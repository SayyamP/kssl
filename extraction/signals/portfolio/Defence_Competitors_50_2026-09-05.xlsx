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3d298de6d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b9ef427c6b4073"/>
    <x:sheet xmlns:r="http://schemas.openxmlformats.org/officeDocument/2006/relationships" name="DASHBOARD" sheetId="2" r:id="R46a4350cf0a0465d"/>
    <x:sheet xmlns:r="http://schemas.openxmlformats.org/officeDocument/2006/relationships" name="COMPANY DIRECTORY" sheetId="3" r:id="R304b9426942b4a93"/>
    <x:sheet xmlns:r="http://schemas.openxmlformats.org/officeDocument/2006/relationships" name="PRODUCT MASTER" sheetId="4" r:id="Rae0b5787ccd24379"/>
    <x:sheet xmlns:r="http://schemas.openxmlformats.org/officeDocument/2006/relationships" name="PRODUCT INDEX" sheetId="5" r:id="Rdfa2a6472ea74dec"/>
    <x:sheet xmlns:r="http://schemas.openxmlformats.org/officeDocument/2006/relationships" name="COMPANY x CATEGORY" sheetId="6" r:id="Rd6e7ac9841904bd5"/>
    <x:sheet xmlns:r="http://schemas.openxmlformats.org/officeDocument/2006/relationships" name="BATCH SUMMARY" sheetId="7" r:id="R2611a52cd91540f4"/>
    <x:sheet xmlns:r="http://schemas.openxmlformats.org/officeDocument/2006/relationships" name="SOURCE INDEX" sheetId="8" r:id="R5863d715445d4a54"/>
    <x:sheet xmlns:r="http://schemas.openxmlformats.org/officeDocument/2006/relationships" name="DATA QUALITY" sheetId="9" r:id="Raa60446da8414775"/>
    <x:sheet xmlns:r="http://schemas.openxmlformats.org/officeDocument/2006/relationships" name="AUDIT CHANGES" sheetId="10" r:id="Ra1ae9b9bc31f4924"/>
    <x:sheet xmlns:r="http://schemas.openxmlformats.org/officeDocument/2006/relationships" name="SUBSYSTEMS &amp; WORKSHARES" sheetId="11" r:id="R1598225ca37f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53F"/>
      <x:name val="Carlito"/>
    </x:font>
    <x:font>
      <x:b/>
      <x:sz val="11"/>
      <x:color rgb="FFFFFFFF"/>
      <x:name val="Carlito"/>
    </x:font>
    <x:font>
      <x:b/>
      <x:sz val="11"/>
      <x:color rgb="FF1025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53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db6c5447344db" /><Relationship Type="http://schemas.openxmlformats.org/officeDocument/2006/relationships/theme" Target="/xl/theme/theme1.xml" Id="Rf148cd69789445a6" /><Relationship Type="http://schemas.openxmlformats.org/officeDocument/2006/relationships/sharedStrings" Target="/xl/sharedStrings.xml" Id="Re990fe716e85437c" /><Relationship Type="http://schemas.openxmlformats.org/officeDocument/2006/relationships/worksheet" Target="/xl/worksheets/sheet1.xml" Id="Rabb9ef427c6b4073" /><Relationship Type="http://schemas.openxmlformats.org/officeDocument/2006/relationships/worksheet" Target="/xl/worksheets/sheet2.xml" Id="R46a4350cf0a0465d" /><Relationship Type="http://schemas.openxmlformats.org/officeDocument/2006/relationships/worksheet" Target="/xl/worksheets/sheet3.xml" Id="R304b9426942b4a93" /><Relationship Type="http://schemas.openxmlformats.org/officeDocument/2006/relationships/worksheet" Target="/xl/worksheets/sheet4.xml" Id="Rae0b5787ccd24379" /><Relationship Type="http://schemas.openxmlformats.org/officeDocument/2006/relationships/worksheet" Target="/xl/worksheets/sheet5.xml" Id="Rdfa2a6472ea74dec" /><Relationship Type="http://schemas.openxmlformats.org/officeDocument/2006/relationships/worksheet" Target="/xl/worksheets/sheet6.xml" Id="Rd6e7ac9841904bd5" /><Relationship Type="http://schemas.openxmlformats.org/officeDocument/2006/relationships/worksheet" Target="/xl/worksheets/sheet7.xml" Id="R2611a52cd91540f4" /><Relationship Type="http://schemas.openxmlformats.org/officeDocument/2006/relationships/worksheet" Target="/xl/worksheets/sheet8.xml" Id="R5863d715445d4a54" /><Relationship Type="http://schemas.openxmlformats.org/officeDocument/2006/relationships/worksheet" Target="/xl/worksheets/sheet9.xml" Id="Raa60446da8414775" /><Relationship Type="http://schemas.openxmlformats.org/officeDocument/2006/relationships/worksheet" Target="/xl/worksheets/sheet10.xml" Id="Ra1ae9b9bc31f4924" /><Relationship Type="http://schemas.openxmlformats.org/officeDocument/2006/relationships/worksheet" Target="/xl/worksheets/sheet11.xml" Id="R1598225ca37f48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49a427557c4667" /><Relationship Type="http://schemas.openxmlformats.org/officeDocument/2006/relationships/chart" Target="/xl/drawings/charts/chart2.xml" Id="R2bd4891c8f9e49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Strict products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Strict products by batch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Strict Products</c:v>
          </c:tx>
          <c:cat>
            <c:strRef>
              <c:f>'DASHBOARD'!$D$9:$D$18</c:f>
              <c:strCache>
                <c:ptCount val="0"/>
              </c:strCache>
            </c:strRef>
          </c:cat>
          <c:val>
            <c:numRef>
              <c:f>'DASHBOARD'!$E$9:$E$18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49a427557c4667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d4891c8f9e49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ditedCompanyDirectory" displayName="AuditedCompanyDirectory" ref="A1:P51" headerRowCount="1" totalsRowCount="0" totalsRowShown="0">
  <x:tableColumns count="16">
    <x:tableColumn id="1" name="Company"/>
    <x:tableColumn id="2" name="Country / Region"/>
    <x:tableColumn id="3" name="Batch"/>
    <x:tableColumn id="4" name="Source Entity Label"/>
    <x:tableColumn id="5" name="Starting Year / Corporate Origin"/>
    <x:tableColumn id="6" name="Headquarters"/>
    <x:tableColumn id="7" name="Global Locations"/>
    <x:tableColumn id="8" name="Company Size"/>
    <x:tableColumn id="9" name="Annual Revenue / Sales"/>
    <x:tableColumn id="10" name="Financial Year"/>
    <x:tableColumn id="11" name="Industry / Sector"/>
    <x:tableColumn id="12" name="CEO / Managing Director"/>
    <x:tableColumn id="13" name="Chairman"/>
    <x:tableColumn id="14" name="Board / Leadership"/>
    <x:tableColumn id="15" name="Facilities &amp; Operating Units"/>
    <x:tableColumn id="16" name="Sour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edProductMaster" displayName="AuditedProductMaster" ref="A1:F1084" headerRowCount="1" totalsRowCount="0" totalsRowShown="0">
  <x:tableColumns count="6">
    <x:tableColumn id="1" name="Company"/>
    <x:tableColumn id="2" name="Category"/>
    <x:tableColumn id="3" name="Product"/>
    <x:tableColumn id="4" name="Technical Specifications"/>
    <x:tableColumn id="5" name="Features &amp; Capabilities"/>
    <x:tableColumn id="6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edProductIndex" displayName="AuditedProductIndex" ref="A1:I1084" headerRowCount="1" totalsRowCount="0" totalsRowShown="0">
  <x:tableColumns count="9">
    <x:tableColumn id="1" name="Batch"/>
    <x:tableColumn id="2" name="Country / Region"/>
    <x:tableColumn id="3" name="Company"/>
    <x:tableColumn id="4" name="Category"/>
    <x:tableColumn id="5" name="Product"/>
    <x:tableColumn id="6" name="Source Count"/>
    <x:tableColumn id="7" name="Specs Coverage"/>
    <x:tableColumn id="8" name="Features Coverage"/>
    <x:tableColumn id="9" name="Review 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edCompanyCategoryMatrix" displayName="AuditedCompanyCategoryMatrix" ref="A1:I51" headerRowCount="1" totalsRowCount="0" totalsRowShown="0">
  <x:tableColumns count="9">
    <x:tableColumn id="1" name="Company"/>
    <x:tableColumn id="2" name="Artillery"/>
    <x:tableColumn id="3" name="Ammunition"/>
    <x:tableColumn id="4" name="Small Arms"/>
    <x:tableColumn id="5" name="Protected Vehicles"/>
    <x:tableColumn id="6" name="Marine/Naval"/>
    <x:tableColumn id="7" name="UAVs/Drones"/>
    <x:tableColumn id="8" name="Missiles"/>
    <x:tableColumn id="9" name="Tot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edBatchSummary" displayName="AuditedBatchSummary" ref="A1:D11" headerRowCount="1" totalsRowCount="0" totalsRowShown="0">
  <x:tableColumns count="4">
    <x:tableColumn id="1" name="Batch"/>
    <x:tableColumn id="2" name="Strict Product Count"/>
    <x:tableColumn id="3" name="Companies"/>
    <x:tableColumn id="4" name="Company Nam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edSourceIndex" displayName="AuditedSourceIndex" ref="A1:D1184" headerRowCount="1" totalsRowCount="0" totalsRowShown="0">
  <x:tableColumns count="4">
    <x:tableColumn id="1" name="Source URL"/>
    <x:tableColumn id="2" name="Companies"/>
    <x:tableColumn id="3" name="Batches"/>
    <x:tableColumn id="4" name="Used For (sample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Changes" displayName="AuditChanges" ref="A1:E87" headerRowCount="1" totalsRowCount="0" totalsRowShown="0">
  <x:tableColumns count="5">
    <x:tableColumn id="1" name="Change Type"/>
    <x:tableColumn id="2" name="Company"/>
    <x:tableColumn id="3" name="Product / Area"/>
    <x:tableColumn id="4" name="Action"/>
    <x:tableColumn id="5" name="Reason / Verification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bsystemWorkshareAppendix" displayName="SubsystemWorkshareAppendix" ref="A1:I56" headerRowCount="1" totalsRowCount="0" totalsRowShown="0">
  <x:tableColumns count="9">
    <x:tableColumn id="1" name="Record Type"/>
    <x:tableColumn id="2" name="Company"/>
    <x:tableColumn id="3" name="Original Category"/>
    <x:tableColumn id="4" name="Product"/>
    <x:tableColumn id="5" name="Technical Specifications"/>
    <x:tableColumn id="6" name="Features &amp; Capabilities"/>
    <x:tableColumn id="7" name="Sources"/>
    <x:tableColumn id="8" name="Reason"/>
    <x:tableColumn id="9" name="Relation / 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8e08da8334c49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91c3ead275b4d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bb74bf80853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de1014d295f46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ed2fc4401694b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f639434e164a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7d15813a43744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9160194c5ab48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03d79f332bf43d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2" hidden="0" customWidth="1"/>
  </x:cols>
  <x:sheetData>
    <x:row r="1">
      <x:c r="A1" s="5" t="str">
        <x:v>DEFENCE COMPETITOR MASTER DATASET — 50 COMPANIES — AUDITED FINAL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Gemini-review corrections selectively applied after cross-checking: taxonomy cleanup, attribution cleanup, technical fixes and verified missing products.</x:v>
      </x:c>
      <x:c r="B2" s="14"/>
      <x:c r="C2" s="14"/>
      <x:c r="D2" s="14"/>
      <x:c r="E2" s="14"/>
      <x:c r="F2" s="14"/>
      <x:c r="G2" s="14"/>
      <x:c r="H2" s="14"/>
    </x:row>
    <x:row r="4">
      <x:c r="A4" s="24" t="str">
        <x:v>Item</x:v>
      </x:c>
      <x:c r="B4" s="24" t="str">
        <x:v>Final audited implementation</x:v>
      </x:c>
    </x:row>
    <x:row r="5">
      <x:c r="A5" s="30" t="str">
        <x:v>Companies</x:v>
      </x:c>
      <x:c r="B5" s="30" t="str">
        <x:v>50 / 50 original competitor companies retained.</x:v>
      </x:c>
    </x:row>
    <x:row r="6">
      <x:c r="A6" s="30" t="str">
        <x:v>Strict PRODUCT MASTER</x:v>
      </x:c>
      <x:c r="B6" s="30" t="str">
        <x:v>1,083 rows after removing out-of-scope UGVs, duplicate naval-ammunition rows, standalone vehicle subsystems and clear industrial-workshare duplicates.</x:v>
      </x:c>
    </x:row>
    <x:row r="7">
      <x:c r="A7" s="30" t="str">
        <x:v>Unique source URLs</x:v>
      </x:c>
      <x:c r="B7" s="30" t="str">
        <x:v>1,183 URLs consolidated across product, company and audit-appendix records.</x:v>
      </x:c>
    </x:row>
    <x:row r="8">
      <x:c r="A8" s="30" t="str">
        <x:v>Taxonomy fixes</x:v>
      </x:c>
      <x:c r="B8" s="30" t="str">
        <x:v>Nammo M72/M141/APOBS and Saab AT4CS moved to Ammunition; Poongsan naval ammunition moved to Ammunition; ground UGVs removed from strict UAV scope.</x:v>
      </x:c>
    </x:row>
    <x:row r="9">
      <x:c r="A9" s="30" t="str">
        <x:v>Subsystem handling</x:v>
      </x:c>
      <x:c r="B9" s="30" t="str">
        <x:v>Remote weapon stations, APS and standalone chain guns are preserved in SUBSYSTEMS &amp; WORKSHARES, but no longer counted as complete Protected Vehicles.</x:v>
      </x:c>
    </x:row>
    <x:row r="10">
      <x:c r="A10" s="30" t="str">
        <x:v>OEM/workshare handling</x:v>
      </x:c>
      <x:c r="B10" s="30" t="str">
        <x:v>MBDA missiles listed only under MBDA in strict portfolio where BAE/Leonardo rows were merely industrial workshare; UVision HERO and Anduril Barracuda are not double-counted under Rheinmetall; Adani/PLR small-arms duplication is separated.</x:v>
      </x:c>
    </x:row>
    <x:row r="11">
      <x:c r="A11" s="30" t="str">
        <x:v>Technical fixes</x:v>
      </x:c>
      <x:c r="B11" s="30" t="str">
        <x:v>AWEIL rifle conflation split; Sharang, Dhanush, CAESAR Mk2, K9A2, M1A2 SEPv3, M250 and BrahMos range qualifications corrected/enriched.</x:v>
      </x:c>
    </x:row>
    <x:row r="12">
      <x:c r="A12" s="30" t="str">
        <x:v>Verified additions</x:v>
      </x:c>
      <x:c r="B12" s="30" t="str">
        <x:v>Skyranger 30, Skyranger 35, LEOPARD 2 A-RC 3.0, EMBT ADT 140, COLIBRI, Type 45 destroyer and Hermes 450 added from official sources; Iron Fist added to subsystem appendix.</x:v>
      </x:c>
    </x:row>
    <x:row r="13">
      <x:c r="A13" s="30" t="str">
        <x:v>Time-sensitive leadership</x:v>
      </x:c>
      <x:c r="B13" s="30" t="str">
        <x:v>Existing current-date directory wording retained where it was already correct: MBDA CEO transition remains future-dated to 1 Nov 2026; IAI permanent CEO selection remains qualified pending approvals unless a later formal approval is sourced.</x:v>
      </x:c>
    </x:row>
    <x:row r="14">
      <x:c r="A14" s="30" t="str">
        <x:v>Research policy</x:v>
      </x:c>
      <x:c r="B14" s="30" t="str">
        <x:v>No blanket acceptance of the external review: only corrections judged supportable were applied; ambiguous or unsupported claims were not automatically imported.</x:v>
      </x:c>
    </x:row>
    <x:row r="15">
      <x:c r="A15" s="30" t="str">
        <x:v>Research date</x:v>
      </x:c>
      <x:c r="B15" s="30" t="str">
        <x:v>05-Sep-2026</x:v>
      </x:c>
    </x:row>
    <x:row r="16">
      <x:c r="A16" s="30"/>
      <x:c r="B16" s="30"/>
    </x:row>
    <x:row r="17">
      <x:c r="A17" s="30"/>
      <x:c r="B17" s="30"/>
    </x:row>
    <x:row r="18">
      <x:c r="A18" s="30"/>
      <x:c r="B18" s="30"/>
    </x:row>
    <x:row r="19">
      <x:c r="A19" s="30"/>
      <x:c r="B19" s="30"/>
    </x:row>
    <x:row r="20">
      <x:c r="A20" s="30"/>
      <x:c r="B20" s="30"/>
    </x:row>
    <x:row r="21">
      <x:c r="A21" s="30"/>
      <x:c r="B21" s="30"/>
    </x:row>
    <x:row r="22">
      <x:c r="A22" s="30"/>
      <x:c r="B22" s="30"/>
    </x:row>
    <x:row r="23">
      <x:c r="A23" s="30"/>
      <x:c r="B23" s="30"/>
    </x:row>
    <x:row r="24">
      <x:c r="A24" s="30"/>
      <x:c r="B24" s="3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4" hidden="0" customWidth="1"/>
    <x:col min="7" max="7" width="28" hidden="0" customWidth="1"/>
    <x:col min="8" max="8" width="18" hidden="0" customWidth="1"/>
    <x:col min="9" max="9" width="4" hidden="0" customWidth="1"/>
    <x:col min="10" max="10" width="22" hidden="0" customWidth="1"/>
    <x:col min="11" max="11" width="18" hidden="0" customWidth="1"/>
    <x:col min="12" max="12" width="4" hidden="0" customWidth="1"/>
    <x:col min="13" max="13" width="18" hidden="0" customWidth="1"/>
    <x:col min="14" max="14" width="18" hidden="0" customWidth="1"/>
  </x:cols>
  <x:sheetData>
    <x:row r="1">
      <x:c r="A1" s="5" t="str">
        <x:v>50-COMPANY DEFENCE PORTFOLIO — AUDITED FINAL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Strict portfolio counts exclude ground UGVs, standalone vehicle subsystems and clear workshare duplicates; those records remain preserved in the appendix.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>
      <x:c r="A4" s="51" t="str">
        <x:v>Companies</x:v>
      </x:c>
      <x:c r="B4" s="51" t="n">
        <x:v>50</x:v>
      </x:c>
      <x:c r="D4" s="51" t="str">
        <x:v>Strict Products</x:v>
      </x:c>
      <x:c r="E4" s="51" t="n">
        <x:v>1083</x:v>
      </x:c>
      <x:c r="G4" s="51" t="str">
        <x:v>Unique Sources</x:v>
      </x:c>
      <x:c r="H4" s="51" t="n">
        <x:v>1183</x:v>
      </x:c>
      <x:c r="J4" s="51" t="str">
        <x:v>Audit Changes</x:v>
      </x:c>
      <x:c r="K4" s="51" t="n">
        <x:v>86</x:v>
      </x:c>
    </x:row>
    <x:row r="8">
      <x:c r="A8" s="24" t="str">
        <x:v>Category</x:v>
      </x:c>
      <x:c r="B8" s="24" t="str">
        <x:v>Count</x:v>
      </x:c>
      <x:c r="D8" s="24" t="str">
        <x:v>Batch</x:v>
      </x:c>
      <x:c r="E8" s="24" t="str">
        <x:v>Strict Products</x:v>
      </x:c>
    </x:row>
    <x:row r="9">
      <x:c r="A9" t="str">
        <x:v>Artillery</x:v>
      </x:c>
      <x:c r="B9" t="n">
        <x:f>COUNTIF('PRODUCT MASTER'!$B$2:$B$1084,A9)</x:f>
        <x:v>69</x:v>
      </x:c>
      <x:c r="D9" t="str">
        <x:v>Batch 1</x:v>
      </x:c>
      <x:c r="E9" t="n">
        <x:v>192</x:v>
      </x:c>
    </x:row>
    <x:row r="10">
      <x:c r="A10" t="str">
        <x:v>Ammunition</x:v>
      </x:c>
      <x:c r="B10" t="n">
        <x:f>COUNTIF('PRODUCT MASTER'!$B$2:$B$1084,A10)</x:f>
        <x:v>364</x:v>
      </x:c>
      <x:c r="D10" t="str">
        <x:v>Batch 2</x:v>
      </x:c>
      <x:c r="E10" t="n">
        <x:v>82</x:v>
      </x:c>
    </x:row>
    <x:row r="11">
      <x:c r="A11" t="str">
        <x:v>Small Arms</x:v>
      </x:c>
      <x:c r="B11" t="n">
        <x:f>COUNTIF('PRODUCT MASTER'!$B$2:$B$1084,A11)</x:f>
        <x:v>95</x:v>
      </x:c>
      <x:c r="D11" t="str">
        <x:v>Batch 3</x:v>
      </x:c>
      <x:c r="E11" t="n">
        <x:v>82</x:v>
      </x:c>
    </x:row>
    <x:row r="12">
      <x:c r="A12" t="str">
        <x:v>Protected Vehicles</x:v>
      </x:c>
      <x:c r="B12" t="n">
        <x:f>COUNTIF('PRODUCT MASTER'!$B$2:$B$1084,A12)</x:f>
        <x:v>140</x:v>
      </x:c>
      <x:c r="D12" t="str">
        <x:v>Batch 4</x:v>
      </x:c>
      <x:c r="E12" t="n">
        <x:v>58</x:v>
      </x:c>
    </x:row>
    <x:row r="13">
      <x:c r="A13" t="str">
        <x:v>Marine/Naval</x:v>
      </x:c>
      <x:c r="B13" t="n">
        <x:f>COUNTIF('PRODUCT MASTER'!$B$2:$B$1084,A13)</x:f>
        <x:v>141</x:v>
      </x:c>
      <x:c r="D13" t="str">
        <x:v>Batch 5</x:v>
      </x:c>
      <x:c r="E13" t="n">
        <x:v>79</x:v>
      </x:c>
    </x:row>
    <x:row r="14">
      <x:c r="A14" t="str">
        <x:v>UAVs/Drones</x:v>
      </x:c>
      <x:c r="B14" t="n">
        <x:f>COUNTIF('PRODUCT MASTER'!$B$2:$B$1084,A14)</x:f>
        <x:v>114</x:v>
      </x:c>
      <x:c r="D14" t="str">
        <x:v>Batch 6</x:v>
      </x:c>
      <x:c r="E14" t="n">
        <x:v>275</x:v>
      </x:c>
    </x:row>
    <x:row r="15">
      <x:c r="A15" t="str">
        <x:v>Missiles</x:v>
      </x:c>
      <x:c r="B15" t="n">
        <x:f>COUNTIF('PRODUCT MASTER'!$B$2:$B$1084,A15)</x:f>
        <x:v>160</x:v>
      </x:c>
      <x:c r="D15" t="str">
        <x:v>Batch 7</x:v>
      </x:c>
      <x:c r="E15" t="n">
        <x:v>86</x:v>
      </x:c>
    </x:row>
    <x:row r="16">
      <x:c r="D16" t="str">
        <x:v>Batch 8</x:v>
      </x:c>
      <x:c r="E16" t="n">
        <x:v>83</x:v>
      </x:c>
    </x:row>
    <x:row r="17">
      <x:c r="D17" t="str">
        <x:v>Batch 9</x:v>
      </x:c>
      <x:c r="E17" t="n">
        <x:v>61</x:v>
      </x:c>
    </x:row>
    <x:row r="18">
      <x:c r="D18" t="str">
        <x:v>Batch 10</x:v>
      </x:c>
      <x:c r="E18" t="n">
        <x:v>85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b8e08da8334c49c5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0" hidden="0" customWidth="1"/>
    <x:col min="4" max="4" width="46" hidden="0" customWidth="1"/>
    <x:col min="5" max="5" width="38" hidden="0" customWidth="1"/>
    <x:col min="6" max="6" width="54" hidden="0" customWidth="1"/>
    <x:col min="7" max="7" width="78" hidden="0" customWidth="1"/>
    <x:col min="8" max="8" width="44" hidden="0" customWidth="1"/>
    <x:col min="9" max="9" width="52" hidden="0" customWidth="1"/>
    <x:col min="10" max="10" width="20" hidden="0" customWidth="1"/>
    <x:col min="11" max="11" width="62" hidden="0" customWidth="1"/>
    <x:col min="12" max="12" width="42" hidden="0" customWidth="1"/>
    <x:col min="13" max="13" width="42" hidden="0" customWidth="1"/>
    <x:col min="14" max="14" width="86" hidden="0" customWidth="1"/>
    <x:col min="15" max="15" width="108" hidden="0" customWidth="1"/>
    <x:col min="16" max="16" width="100" hidden="0" customWidth="1"/>
  </x:cols>
  <x:sheetData>
    <x:row r="1">
      <x:c r="A1" s="24" t="str">
        <x:v>Company</x:v>
      </x:c>
      <x:c r="B1" s="24" t="str">
        <x:v>Country / Region</x:v>
      </x:c>
      <x:c r="C1" s="24" t="str">
        <x:v>Batch</x:v>
      </x:c>
      <x:c r="D1" s="24" t="str">
        <x:v>Source Entity Label</x:v>
      </x:c>
      <x:c r="E1" s="24" t="str">
        <x:v>Starting Year / Corporate Origin</x:v>
      </x:c>
      <x:c r="F1" s="24" t="str">
        <x:v>Headquarters</x:v>
      </x:c>
      <x:c r="G1" s="24" t="str">
        <x:v>Global Locations</x:v>
      </x:c>
      <x:c r="H1" s="24" t="str">
        <x:v>Company Size</x:v>
      </x:c>
      <x:c r="I1" s="24" t="str">
        <x:v>Annual Revenue / Sales</x:v>
      </x:c>
      <x:c r="J1" s="24" t="str">
        <x:v>Financial Year</x:v>
      </x:c>
      <x:c r="K1" s="24" t="str">
        <x:v>Industry / Sector</x:v>
      </x:c>
      <x:c r="L1" s="24" t="str">
        <x:v>CEO / Managing Director</x:v>
      </x:c>
      <x:c r="M1" s="24" t="str">
        <x:v>Chairman</x:v>
      </x:c>
      <x:c r="N1" s="24" t="str">
        <x:v>Board / Leadership</x:v>
      </x:c>
      <x:c r="O1" s="24" t="str">
        <x:v>Facilities &amp; Operating Units</x:v>
      </x:c>
      <x:c r="P1" s="24" t="str">
        <x:v>Sources</x:v>
      </x:c>
    </x:row>
    <x:row r="2" ht="190" customHeight="1">
      <x:c r="A2" s="32" t="str">
        <x:v>AWEIL</x:v>
      </x:c>
      <x:c r="B2" s="32" t="str">
        <x:v>India</x:v>
      </x:c>
      <x:c r="C2" s="32" t="n">
        <x:v>1</x:v>
      </x:c>
      <x:c r="D2" s="32" t="str">
        <x:v>AWEIL</x:v>
      </x:c>
      <x:c r="E2" s="32" t="str">
        <x:v>14 Aug 2021 incorporation; business commenced 1 Oct 2021</x:v>
      </x:c>
      <x:c r="F2" s="32" t="str">
        <x:v>Ordnance Factory Kanpur, Kalpi Road, Kanpur, Uttar Pradesh 208009, India</x:v>
      </x:c>
      <x:c r="G2" s="32" t="str">
        <x:v>India-based defence PSU; 8 production units plus training academy / learning institute and safety controllerate</x:v>
      </x:c>
      <x:c r="H2" s="32" t="str">
        <x:v>12,007 employees (31 Mar 2025)</x:v>
      </x:c>
      <x:c r="I2" s="32" t="str">
        <x:v>₹2,530.93 crore revenue from operations; ₹2,502.68 crore revenue from sale of products/services</x:v>
      </x:c>
      <x:c r="J2" s="32" t="str">
        <x:v>FY2024-25</x:v>
      </x:c>
      <x:c r="K2" s="32" t="str">
        <x:v>Government defence manufacturing PSU; artillery, small arms, mortars, naval/AA guns, ammunition hardware</x:v>
      </x:c>
      <x:c r="L2" s="32" t="str">
        <x:v>Umesh Singh — Chairman &amp; Managing Director</x:v>
      </x:c>
      <x:c r="M2" s="32" t="str">
        <x:v>Umesh Singh — CMD</x:v>
      </x:c>
      <x:c r="N2" s="32" t="str">
        <x:v>• Umesh Singh — Chairman &amp; Managing Director
• Jai Gopal Mahajan — Director (Finance) &amp; CFO
• Dr Garima Bhagat — Government Nominee Director
• Manas Kaviraj — Director (HR)</x:v>
      </x:c>
      <x:c r="O2" s="32" t="str">
        <x:v>• Rifle Factory Ishapore (RFI)
• Small Arms Factory Kanpur (SAF)
• Gun &amp; Shell Factory Cossipore (GSF)
• Ordnance Factory Tiruchirapalli (OFT)
• Ordnance Factory Kanpur (OFC)
• Field Gun Factory Kanpur (FGK)
• Gun Carriage Factory Jabalpur (GCF)
• Ordnance Factory Project Korwa (OFPKR)
• Ordnance Factories Institute of Learning, Ishapore
• Regional Controllerate of Safety, Kanpur
• Core capabilities include gun/barrel manufacturing, forging/machining, CNC production, cold swaging, tool rooms, metrology and NABL-accredited quality laboratories</x:v>
      </x:c>
      <x:c r="P2" s="32" t="str">
        <x:v>https://www.aweil.in/about?lang=en
https://www.aweil.in/?lang=en
https://www.aweil.in/download/Annual-Report-2024-25-en.pdf?v=1.87
https://www.aweil.in/download/rti/manuals_standard/1.1.pdf</x:v>
      </x:c>
    </x:row>
    <x:row r="3" ht="190" customHeight="1">
      <x:c r="A3" s="32" t="str">
        <x:v>Nexter (KNDS France)</x:v>
      </x:c>
      <x:c r="B3" s="32" t="str">
        <x:v>France</x:v>
      </x:c>
      <x:c r="C3" s="32" t="n">
        <x:v>1</x:v>
      </x:c>
      <x:c r="D3" s="32" t="str">
        <x:v>KNDS France (formerly Nexter)</x:v>
      </x:c>
      <x:c r="E3" s="32" t="str">
        <x:v>Current legal name since 8 Apr 2024; predecessor Nexter Systems; KNDS parent formed 2015</x:v>
      </x:c>
      <x:c r="F3" s="32" t="str">
        <x:v>13 route de la Minière, 78034 Versailles, France</x:v>
      </x:c>
      <x:c r="G3" s="32" t="str">
        <x:v>France plus KNDS international footprint; KNDS group has subsidiaries/sites across Europe, North America, South America and Asia</x:v>
      </x:c>
      <x:c r="H3" s="32" t="str">
        <x:v>4,500 employees</x:v>
      </x:c>
      <x:c r="I3" s="32" t="str">
        <x:v>€1.3 billion — KNDS Land Systems France segment revenue</x:v>
      </x:c>
      <x:c r="J3" s="32" t="str">
        <x:v>FY2025</x:v>
      </x:c>
      <x:c r="K3" s="32" t="str">
        <x:v>Land defence systems; armoured vehicles, artillery, weapons/turrets, ammunition, robotics and defence equipment</x:v>
      </x:c>
      <x:c r="L3" s="32" t="str">
        <x:v>Nicolas Groult — CEO KNDS France</x:v>
      </x:c>
      <x:c r="M3" s="32" t="str">
        <x:v>KNDS France executive leadership under CEO Nicolas Groult</x:v>
      </x:c>
      <x:c r="N3" s="32" t="str">
        <x:v>• Nicolas Groult — CEO
• Nicolas Million — CFO
• Alexandre Dupuy — Business Unit Systems / KAM France
• Dominique Guillet — Business Unit Weapons &amp; Ammunition
• David Marquette — Business Unit Customers &amp; Services
• Olivier Travert — Marketing &amp; Sales
• Christophe Ramaen — Engineering &amp; Innovation
• Olivier Bonfils — Industry &amp; Supply Chain
• Carole Prouheze — Human Resources
• Ghislain Passebecq — Procurement
• Frédéric Bouty — Corporate Development
• Cédric Collange — M&amp;A</x:v>
      </x:c>
      <x:c r="O3" s="32" t="str">
        <x:v>• Versailles — headquarters / systems activities
• KNDS Ammo France — ammunition business
• KNDS France Mechanics — Tulle precision/mechanical production
• KNDS France Robotics — robotics / unmanned ground systems
• KNDS France Training
• KNDS Optronics
• SCORPION industrial activities supporting GRIFFON, JAGUAR, SERVAL and Leclerc XLR</x:v>
      </x:c>
      <x:c r="P3" s="32" t="str">
        <x:v>https://knds.com/en/subsidiaries/knds-france
https://knds.com/en/subsidiaries
https://knds.com/en/press-releases/knds-achieves-strong-revenue-growth-and-record-order-intake-in-2025
https://knds.com/en/press-releases/uniform-brand-identity-land-defence-group-knds-completes-the-legal-renaming-of-its-group-companies</x:v>
      </x:c>
    </x:row>
    <x:row r="4" ht="190" customHeight="1">
      <x:c r="A4" s="32" t="str">
        <x:v>KNDS Germany</x:v>
      </x:c>
      <x:c r="B4" s="32" t="str">
        <x:v>Germany</x:v>
      </x:c>
      <x:c r="C4" s="32" t="n">
        <x:v>1</x:v>
      </x:c>
      <x:c r="D4" s="32" t="str">
        <x:v>KNDS Germany</x:v>
      </x:c>
      <x:c r="E4" s="32" t="str">
        <x:v>Current legal name since 8 Apr 2024; predecessor Krauss-Maffei Wegmann (KMW); KNDS parent formed 2015</x:v>
      </x:c>
      <x:c r="F4" s="32" t="str">
        <x:v>Krauss-Maffei-Strasse 11, 80997 Munich, Germany</x:v>
      </x:c>
      <x:c r="G4" s="32" t="str">
        <x:v>Sites/operations in Germany, Brazil, Greece, Hungary, Singapore, the UK and the US</x:v>
      </x:c>
      <x:c r="H4" s="32" t="str">
        <x:v>More than 4,000 employees</x:v>
      </x:c>
      <x:c r="I4" s="32" t="str">
        <x:v>€2.5 billion — KNDS Land Systems Germany segment revenue</x:v>
      </x:c>
      <x:c r="J4" s="32" t="str">
        <x:v>FY2025</x:v>
      </x:c>
      <x:c r="K4" s="32" t="str">
        <x:v>Land defence systems; main battle tanks, armoured vehicles, artillery, air-defence/mission systems, support and simulation</x:v>
      </x:c>
      <x:c r="L4" s="32" t="str">
        <x:v>Florian Hohenwarter — CEO KNDS Germany</x:v>
      </x:c>
      <x:c r="M4" s="32" t="str">
        <x:v>Jean-Paul Alary — Supervisory Board Chair</x:v>
      </x:c>
      <x:c r="N4" s="32" t="str">
        <x:v>• Florian Hohenwarter — CEO
• Dr Axel Scheibel — CTO
• Markus Helm — CFO
• Jean-Paul Alary — Supervisory Board Chair</x:v>
      </x:c>
      <x:c r="O4" s="32" t="str">
        <x:v>• Munich — headquarters / core land-systems activities
• Kassel — key LEOPARD 2, BOXER and PUMA production/industrial site
• Görlitz — expanded defence manufacturing site
• KNDS Deutschland Maintenance
• KNDS Deutschland Mission Electronics — Konstanz
• KNDS Deutschland Steel Constructions
• KNDS Deutschland Battle Tank Dismantling
• KNDS Tracks
• International operating entities in Brazil, Greece, Hungary, Singapore, UK and US</x:v>
      </x:c>
      <x:c r="P4" s="32" t="str">
        <x:v>https://knds.com/en/subsidiaries/knds-deutschland
https://knds.com/en/subsidiaries
https://knds.com/en/press-releases/knds-achieves-strong-revenue-growth-and-record-order-intake-in-2025
https://knds.com/en/press-releases/goerlitz-builds-the-future-knds-successfully-transforms-former-rail-factory-into-a-modern-defense-manufacturing-site
https://knds.com/en/press-releases/uniform-brand-identity-land-defence-group-knds-completes-the-legal-renaming-of-its-group-companies</x:v>
      </x:c>
    </x:row>
    <x:row r="5" ht="190" customHeight="1">
      <x:c r="A5" s="32" t="str">
        <x:v>BAE Systems</x:v>
      </x:c>
      <x:c r="B5" s="32" t="str">
        <x:v>UK/US</x:v>
      </x:c>
      <x:c r="C5" s="32" t="n">
        <x:v>1</x:v>
      </x:c>
      <x:c r="D5" s="32" t="str">
        <x:v>BAE Systems</x:v>
      </x:c>
      <x:c r="E5" s="32" t="str">
        <x:v>29 Nov 1999 — merger of British Aerospace and GEC's Marconi Electronic Systems</x:v>
      </x:c>
      <x:c r="F5" s="32" t="str">
        <x:v>6 Carlton Gardens, London SW1Y 5AD, United Kingdom</x:v>
      </x:c>
      <x:c r="G5" s="32" t="str">
        <x:v>40+ countries; major markets/operations in UK, US, Europe, Saudi Arabia and Australia</x:v>
      </x:c>
      <x:c r="H5" s="32" t="str">
        <x:v>111,400 employees (31 Dec 2025, including share of equity-accounted investments)</x:v>
      </x:c>
      <x:c r="I5" s="32" t="str">
        <x:v>£30.7 billion sales (IFRS revenue £28.336 billion)</x:v>
      </x:c>
      <x:c r="J5" s="32" t="str">
        <x:v>FY2025</x:v>
      </x:c>
      <x:c r="K5" s="32" t="str">
        <x:v>Defence, aerospace and security; Electronic Systems, Platforms &amp; Services, Air, Maritime, Cyber &amp; Intelligence</x:v>
      </x:c>
      <x:c r="L5" s="32" t="str">
        <x:v>Dr Charles Woodburn CBE — Group CEO</x:v>
      </x:c>
      <x:c r="M5" s="32" t="str">
        <x:v>Cressida Hogg CBE — Chair</x:v>
      </x:c>
      <x:c r="N5" s="32" t="str">
        <x:v>• Cressida Hogg CBE — Chair
• Dr Charles Woodburn CBE — Group CEO
• Brad Greve — CFO
• Tom Arseneault — President &amp; CEO, BAE Systems Inc.
• Nick Anderson — Non-executive director
• Angus Cockburn — Non-executive director
• Dr Jane Griffiths — Non-executive director
• John Pettigrew CBE — Non-executive director
• Stephen Pearce — Non-executive director
• Nicole Piasecki — Senior Independent Director</x:v>
      </x:c>
      <x:c r="O5" s="32" t="str">
        <x:v>• Maritime — Barrow-in-Furness submarine design/build; Devonshire Dock Hall
• Maritime — Govan/Glasgow shipbuilding for Type 26
• Combat Mission Systems — York, Pennsylvania and wider US industrial base
• BAE Systems Hägglunds — Örnsköldsvik, Sweden (CV90 family)
• BAE Systems Bofors — Sweden (artillery / weapon systems / BONUS)
• Munitions — Radway Green (small-arms ammunition) and other UK munitions sites
• APKWS production — Hudson, New Hampshire and Austin, Texas
• Platforms &amp; Services operations in US, Sweden and UK</x:v>
      </x:c>
      <x:c r="P5" s="32" t="str">
        <x:v>https://www.baesystems.com/annualreport/2025
https://www.baesystems.com/en/our-company/company-information
https://www.baesystems.com/investors/shareholder-faqs
https://www.baesystems.com/en/leadership/board-of-directors
https://www.baesystems.com/en/leadership/executive-committee
https://www.baesystems.com/en/product/astute-class-submarines
https://www.baesystems.com/en/product/cv90-ifv-worldleading-combat-capability
https://www.baesystems.com/en-us/product/apkws</x:v>
      </x:c>
    </x:row>
    <x:row r="6" ht="190" customHeight="1">
      <x:c r="A6" s="32" t="str">
        <x:v>Leonardo</x:v>
      </x:c>
      <x:c r="B6" s="32" t="str">
        <x:v>Italy</x:v>
      </x:c>
      <x:c r="C6" s="32" t="n">
        <x:v>1</x:v>
      </x:c>
      <x:c r="D6" s="32" t="str">
        <x:v>Leonardo</x:v>
      </x:c>
      <x:c r="E6" s="32" t="str">
        <x:v>1948 — Finmeccanica founded; renamed Leonardo in 2016</x:v>
      </x:c>
      <x:c r="F6" s="32" t="str">
        <x:v>Piazza Monte Grappa 4, 00195 Rome, Italy</x:v>
      </x:c>
      <x:c r="G6" s="32" t="str">
        <x:v>Operates in 150 countries; 131 sites globally</x:v>
      </x:c>
      <x:c r="H6" s="32" t="str">
        <x:v>62,762 employees (31 Dec 2025)</x:v>
      </x:c>
      <x:c r="I6" s="32" t="str">
        <x:v>€19.5 billion revenue (€19.503 billion)</x:v>
      </x:c>
      <x:c r="J6" s="32" t="str">
        <x:v>FY2025</x:v>
      </x:c>
      <x:c r="K6" s="32" t="str">
        <x:v>Aerospace, Defence &amp; Security; Defence Electronics &amp; Security, Helicopters, Aeronautics, Cyber Security, Space</x:v>
      </x:c>
      <x:c r="L6" s="32" t="str">
        <x:v>Lorenzo Mariani — CEO &amp; General Manager</x:v>
      </x:c>
      <x:c r="M6" s="32" t="str">
        <x:v>Francesco Macrì — Chairman</x:v>
      </x:c>
      <x:c r="N6" s="32" t="str">
        <x:v>• Francesco Macrì — Chairman
• Lorenzo Mariani — CEO &amp; General Manager
• Gian Piero Cutillo — Co-General Manager
• Elena Vasco — Director
• Rosalba Veltri — Director
• Trifone Altieri — Director
• Enrica Giorgetti — Director
• Francesco Soro — Director
• Cristina Manara — Director
• Dominique Levy — Director
• Roberto Diacetti — Director
• Elena Grifoni — Director
• Maurizio Tucci — Director</x:v>
      </x:c>
      <x:c r="O6" s="32" t="str">
        <x:v>• Rome — registered headquarters
• La Spezia — naval weapon systems / gun activities
• Ronchi dei Legionari — uncrewed/Falco-related aeronautics activities
• Cascina Costa di Samarate — Helicopters headquarters
• Venegono Superiore — aircraft/trainer production
• UK sites include Basildon, Bristol, Edinburgh, Luton, Newcastle, Southampton and Yeovil
• US and Polish industrial presence via Leonardo DRS and PZL-Świdnik
• Underwater Armaments &amp; Systems business sold to Fincantieri in Jan 2025; torpedo products are therefore excluded from Leonardo's current product rows here</x:v>
      </x:c>
      <x:c r="P6" s="32" t="str">
        <x:v>https://www.leonardo.com/documents/15646808/30043445/Integrated%2BReport%2B2025.pdf
https://www.leonardo.com/documents/15646808/16737698/Leonardo_2018%2BSustainability%2BReport_Non-financial%2BStatement-final.pdf?t=1556644909652
https://electronics.leonardo.com/en/products/strategic-c4i
https://www.leonardo.com/documents/15646808/0/ComLDO_CdA_07_05_2026_ENG1%2B%281%29.pdf?t=1778178508710
https://www.leonardo.com/documents/15646808/31894715/Ordinary%2BSummary%2Bof%2BResolutions_7May%2B2026%2Bv2.pdf?t=1779804437867
https://www.leonardo.com/en/press-release-detail/-/detail/14-01-2025-leonardo-completed-the-sale-of-its-underwater-business-to-fincantieri</x:v>
      </x:c>
    </x:row>
    <x:row r="7" ht="190" customHeight="1">
      <x:c r="A7" s="32" t="str">
        <x:v>Rheinmetall</x:v>
      </x:c>
      <x:c r="B7" s="32" t="str">
        <x:v>Germany</x:v>
      </x:c>
      <x:c r="C7" s="32" t="n">
        <x:v>2</x:v>
      </x:c>
      <x:c r="D7" s="32" t="str">
        <x:v>Rheinmetall</x:v>
      </x:c>
      <x:c r="E7" s="32" t="str">
        <x:v>1889</x:v>
      </x:c>
      <x:c r="F7" s="32" t="str">
        <x:v>Rheinmetall Platz 1, 40476 Düsseldorf, Germany</x:v>
      </x:c>
      <x:c r="G7" s="32" t="str">
        <x:v>161 offices and production sites in more than 30 countries across Europe, Africa, the Americas, Asia and Australasia</x:v>
      </x:c>
      <x:c r="H7" s="32" t="str">
        <x:v>33,217 employees at 31 Dec 2025; around 34,000 in mid-2026</x:v>
      </x:c>
      <x:c r="I7" s="32" t="str">
        <x:v>€9.935 billion consolidated sales</x:v>
      </x:c>
      <x:c r="J7" s="32" t="str">
        <x:v>FY2025</x:v>
      </x:c>
      <x:c r="K7" s="32" t="str">
        <x:v>Defence technology and systems; vehicle systems, weapon &amp; ammunition, electronic solutions, power systems</x:v>
      </x:c>
      <x:c r="L7" s="32" t="str">
        <x:v>Armin Papperger — Chief Executive Officer</x:v>
      </x:c>
      <x:c r="M7" s="32" t="str">
        <x:v>Ulrich Grillo — Chairman, Supervisory Board</x:v>
      </x:c>
      <x:c r="N7" s="32" t="str">
        <x:v>• Armin Papperger — CEO
• Klaus Neumann — CFO
• Dr Vera Saal — CHRO / Labour Director
• René Gansauge — COO
• Ulrich Grillo — Supervisory Board Chairman</x:v>
      </x:c>
      <x:c r="O7" s="32" t="str">
        <x:v>• Düsseldorf — Group headquarters
• Unterlüß — major weapons and ammunition industrial site
• Kassel — military vehicle activities
• Rheinmetall Air Defence — Zürich, Switzerland
• Rheinmetall Denel Munition — South Africa
• Rheinmetall Expal Munitions — Spain
• Rheinmetall vehicle and defence operations across Europe, US, Australia and other global sites</x:v>
      </x:c>
      <x:c r="P7" s="32" t="str">
        <x:v>https://www.rheinmetall.com/en/company/about-rheinmetall
https://www.rheinmetall.com/en/company/locations-worldwide
https://www.rheinmetall.com/Rheinmetall%20Group/Investor%20Relations/Ver%C3%B6ffentlichungen/Pr%C3%A4sentationen%20und%20Berichte/2026/GB/Rheinmetall-Annual-Report-2025.pdf
https://www.rheinmetall.com/en/media/news-watch/news/2026/03/2026-03-11-rheinmetall-presents-annual-report-for-2025
https://www.rheinmetall.com/en/company/management
https://www.rheinmetall.com/en/company/management/supervisory-board/representative-supervisory-board
https://www.rheinmetall.com/en/company/divisions/weapon-and-ammunition</x:v>
      </x:c>
    </x:row>
    <x:row r="8" ht="190" customHeight="1">
      <x:c r="A8" s="32" t="str">
        <x:v>Hanwha (Aerospace/Group)</x:v>
      </x:c>
      <x:c r="B8" s="32" t="str">
        <x:v>South Korea</x:v>
      </x:c>
      <x:c r="C8" s="32" t="n">
        <x:v>2</x:v>
      </x:c>
      <x:c r="D8" s="32" t="str">
        <x:v>Hanwha Aerospace / Hanwha Group Defence</x:v>
      </x:c>
      <x:c r="E8" s="32" t="str">
        <x:v>1 Aug 1977</x:v>
      </x:c>
      <x:c r="F8" s="32" t="str">
        <x:v>86 Cheonggyecheon-ro, Jung-gu, Seoul, South Korea (Seoul headquarters); major manufacturing in Changwon</x:v>
      </x:c>
      <x:c r="G8" s="32" t="str">
        <x:v>Domestic sites across Seoul, Pangyo, Yangju, Daejeon, Boeun, Asan, Changwon and Yeosu; overseas defence/industrial presence in US, Australia, Poland/Europe, Romania, Saudi Arabia/MENA and Vietnam</x:v>
      </x:c>
      <x:c r="H8" s="32" t="str">
        <x:v>7,659 employees at 31 Dec 2024 (latest employee count located in sustainability reporting)</x:v>
      </x:c>
      <x:c r="I8" s="32" t="str">
        <x:v>KRW 26.703 trillion consolidated revenue</x:v>
      </x:c>
      <x:c r="J8" s="32" t="str">
        <x:v>FY2025</x:v>
      </x:c>
      <x:c r="K8" s="32" t="str">
        <x:v>Aerospace, land defence, artillery, combat vehicles, precision-guided weapons, ammunition, space; Hanwha Group also includes naval defence through Hanwha Ocean</x:v>
      </x:c>
      <x:c r="L8" s="32" t="str">
        <x:v>Dongkwan Kim — CEO, Strategy Division; Jaeil Son — CEO, Business Division</x:v>
      </x:c>
      <x:c r="M8" s="32" t="str">
        <x:v>Seungmo Kim — Chairperson of the Board</x:v>
      </x:c>
      <x:c r="N8" s="32" t="str">
        <x:v>• Dongkwan Kim — CEO, Strategy Division
• Jaeil Son — CEO, Business Division
• Seungmo Kim — Chairperson of the Board
• Michael William Coulter — Inside Director / CEO Hanwha Defense USA</x:v>
      </x:c>
      <x:c r="O8" s="32" t="str">
        <x:v>• Seoul Headquarters
• Pangyo R&amp;D Campus — engines, manned-unmanned teaming, electric propulsion
• Daejeon R&amp;D Campus — guided weapons, ammunition, warheads/energetics/fuzes
• Daejeon Site — propulsion and tactical surface-to-surface systems
• Boeun Site — precision-guided systems, ammunition/fuzes
• Changwon Sites 1/2/3 — engines, mobility, launchers, air defence, firepower systems
• Yeosu Site — gun propellant/high explosives
• Hanwha Armoured Vehicle Centre of Excellence — Australia
• Hanwha Aerospace Romania — planned/established European land-systems production base</x:v>
      </x:c>
      <x:c r="P8" s="32" t="str">
        <x:v>https://www.hanwhaaerospace.com/eng/ir/financial-info/finance01.do
https://www.hanwhaaerospace.com/eng/esg/association/directors.do
https://www.hanwhaaerospace.com/eng/whoweare/location/domestic.do
https://m.hanwhaaerospace.com/eng/whoweare/location/overseas.do
https://www.hanwhaaerospace.com/assets/content/esg/sustainBusiness/download/en/HanwhaAerospace_SustainabilityReport_2025_ENG.pdf</x:v>
      </x:c>
    </x:row>
    <x:row r="9" ht="190" customHeight="1">
      <x:c r="A9" s="32" t="str">
        <x:v>Elbit Systems</x:v>
      </x:c>
      <x:c r="B9" s="32" t="str">
        <x:v>Israel</x:v>
      </x:c>
      <x:c r="C9" s="32" t="n">
        <x:v>2</x:v>
      </x:c>
      <x:c r="D9" s="32" t="str">
        <x:v>Elbit Systems</x:v>
      </x:c>
      <x:c r="E9" s="32" t="str">
        <x:v>1966</x:v>
      </x:c>
      <x:c r="F9" s="32" t="str">
        <x:v>Haifa, Israel</x:v>
      </x:c>
      <x:c r="G9" s="32" t="str">
        <x:v>Subsidiaries and operations in dozens of countries across five continents, including major business presence in Israel, United States, Europe and Asia-Pacific</x:v>
      </x:c>
      <x:c r="H9" s="32" t="str">
        <x:v>Over 21,000 employees (2026 company disclosure; ~20,000 in 2025 presentation)</x:v>
      </x:c>
      <x:c r="I9" s="32" t="str">
        <x:v>US$7.939 billion revenue</x:v>
      </x:c>
      <x:c r="J9" s="32" t="str">
        <x:v>FY2025</x:v>
      </x:c>
      <x:c r="K9" s="32" t="str">
        <x:v>Global defence technology; aerospace, land systems, C4I &amp; cyber, ISTAR/EW, autonomous systems, precision munitions and maritime systems</x:v>
      </x:c>
      <x:c r="L9" s="32" t="str">
        <x:v>Bezhalel (Butzi) Machlis — President &amp; CEO</x:v>
      </x:c>
      <x:c r="M9" s="32" t="str">
        <x:v>David Federmann — Chairman</x:v>
      </x:c>
      <x:c r="N9" s="32" t="str">
        <x:v>• David Federmann — Chairman
• Bezhalel (Butzi) Machlis — President &amp; CEO
• Yaacov (Kobi) Kagan — CFO
• Yoram Shmuely — General Manager Aerospace
• Boaz Cohen — General Manager Land
• Haim Delmar — General Manager C4I &amp; Cyber
• Oren Sabag — General Manager ISTAR &amp; EW</x:v>
      </x:c>
      <x:c r="O9" s="32" t="str">
        <x:v>• Haifa — headquarters
• Major Israeli development/manufacturing sites across Haifa, Yokneam, Ramat Hasharon and other locations
• Elbit Systems of America — US operations and manufacturing
• European industrial subsidiaries and local production entities
• Land, Aerospace, C4I &amp; Cyber, ISTAR &amp; EW business divisions</x:v>
      </x:c>
      <x:c r="P9" s="32" t="str">
        <x:v>https://www.elbitsystems.com/about-us
https://www.elbitsystems.com/sites/default/files/2026-06/elbitsystems_company_presentation_2026_q1_ak.pdf
https://www.elbitsystems.com/news/elbit-systems-reports-fourth-quarter-and-full-year-2025-results
https://www.elbitsystems.com/corporate-governance
https://www.elbitsystems.com/news/elbit-systems-announces-results-its-annual-general-meeting-shareholders-held-august-5-2026
https://www.elbitsystems.com/business-overview</x:v>
      </x:c>
    </x:row>
    <x:row r="10" ht="190" customHeight="1">
      <x:c r="A10" s="32" t="str">
        <x:v>General Dynamics</x:v>
      </x:c>
      <x:c r="B10" s="32" t="str">
        <x:v>US</x:v>
      </x:c>
      <x:c r="C10" s="32" t="n">
        <x:v>2</x:v>
      </x:c>
      <x:c r="D10" s="32" t="str">
        <x:v>General Dynamics</x:v>
      </x:c>
      <x:c r="E10" s="32" t="str">
        <x:v>21 Feb 1952</x:v>
      </x:c>
      <x:c r="F10" s="32" t="str">
        <x:v>Reston, Virginia, United States</x:v>
      </x:c>
      <x:c r="G10" s="32" t="str">
        <x:v>Worldwide operations through Aerospace, Marine Systems, Combat Systems and Technologies business groups</x:v>
      </x:c>
      <x:c r="H10" s="32" t="str">
        <x:v>More than 120,000 employees worldwide</x:v>
      </x:c>
      <x:c r="I10" s="32" t="str">
        <x:v>US$52.6 billion revenue</x:v>
      </x:c>
      <x:c r="J10" s="32" t="str">
        <x:v>FY2025</x:v>
      </x:c>
      <x:c r="K10" s="32" t="str">
        <x:v>Aerospace and defence; shipbuilding, nuclear submarines, armoured vehicles, weapons/munitions, mission systems, IT and business aviation</x:v>
      </x:c>
      <x:c r="L10" s="32" t="str">
        <x:v>Phebe N. Novakovic — Chairman &amp; Chief Executive Officer</x:v>
      </x:c>
      <x:c r="M10" s="32" t="str">
        <x:v>Phebe N. Novakovic — Chairman</x:v>
      </x:c>
      <x:c r="N10" s="32" t="str">
        <x:v>• Phebe N. Novakovic — Chairman &amp; CEO
• Danny Deep — President
• Jason W. Aiken — EVP, Combat and Mission Systems
• Robert E. Smith — EVP, Marine Systems
• Kimberly A. Kuryea — CFO
• Dave Paddock — President, Land Systems
• Mark Rayha — President, Electric Boat
• Charles Krugh — President, Bath Iron Works
• David J. Carver — President, NASSCO
• Josh Thompson — President, Ordnance and Tactical Systems</x:v>
      </x:c>
      <x:c r="O10" s="32" t="str">
        <x:v>• Reston, Virginia — corporate headquarters
• General Dynamics Land Systems — Sterling Heights, Michigan and global land-systems sites
• Electric Boat — Groton, Connecticut / Quonset Point, Rhode Island
• Bath Iron Works — Bath, Maine
• NASSCO — San Diego, California
• General Dynamics Ordnance and Tactical Systems — multiple US munitions/armament plants
• General Dynamics European Land Systems — European armoured-vehicle operations
• General Dynamics Mission Systems — US and international mission-systems facilities</x:v>
      </x:c>
      <x:c r="P10" s="32" t="str">
        <x:v>https://www.gd.com/about-gd/our-history
https://www.gd.com/about-gd
https://www.gd.com/Articles/2026/01/28/general-dynamics-reports-fourth-quarter-and-full-year-2025-financial-results
https://www.gd.com/Articles/2026/07/29/general-dynamics-reports-second-quarter-2026-financial-results
https://www.gd.com/about-gd/leadership
https://www.gd.com/our-businesses
https://www.gd.com/contact/business
https://investorrelations.gd.com/corporate-governance/board-of-directors/default.aspx</x:v>
      </x:c>
    </x:row>
    <x:row r="11" ht="190" customHeight="1">
      <x:c r="A11" s="32" t="str">
        <x:v>NORINCO</x:v>
      </x:c>
      <x:c r="B11" s="32" t="str">
        <x:v>China</x:v>
      </x:c>
      <x:c r="C11" s="32" t="n">
        <x:v>2</x:v>
      </x:c>
      <x:c r="D11" s="32" t="str">
        <x:v>NORINCO / China North Industries Group</x:v>
      </x:c>
      <x:c r="E11" s="32" t="str">
        <x:v>1980</x:v>
      </x:c>
      <x:c r="F11" s="32" t="str">
        <x:v>46 Sanlihe Road, Beijing 100821, China</x:v>
      </x:c>
      <x:c r="G11" s="32" t="str">
        <x:v>Large state-owned industrial group with extensive subsidiaries and manufacturing bases across China; international defence sales conducted globally through NORINCO entities</x:v>
      </x:c>
      <x:c r="H11" s="32" t="str">
        <x:v>223,575 employees (Fortune Global 500, 2025)</x:v>
      </x:c>
      <x:c r="I11" s="32" t="str">
        <x:v>US$61.5195 billion revenue (Fortune Global 500)</x:v>
      </x:c>
      <x:c r="J11" s="32" t="str">
        <x:v>FY2024 / Fortune 2025 ranking</x:v>
      </x:c>
      <x:c r="K11" s="32" t="str">
        <x:v>State-owned defence and industrial group; weapons, ammunition, armoured vehicles, artillery, missiles, engineering and industrial products</x:v>
      </x:c>
      <x:c r="L11" s="32" t="str">
        <x:v>Cheng Fubo — Fortune-listed CEO / senior group leader</x:v>
      </x:c>
      <x:c r="M11" s="32" t="str">
        <x:v>Cheng Fubo — Chairman (reported by MERICS)</x:v>
      </x:c>
      <x:c r="N11" s="32" t="str">
        <x:v>• Cheng Fubo — Chairman / senior executive; Fortune lists him as CEO</x:v>
      </x:c>
      <x:c r="O11" s="32" t="str">
        <x:v>• Beijing — headquarters
• Extensive land-systems, artillery, ammunition, missile and vehicle industrial subsidiaries/arsenals across China
• International defence marketing/export network through NORINCO-related entities</x:v>
      </x:c>
      <x:c r="P11" s="32" t="str">
        <x:v>https://www.fortunechina.com/global500/513/2025
https://mt.merics.org/sites/default/files/2024-08/MERICS%20China%20Global%20Competition%20Tracker%20No.%202%202024.pdf
https://www.researchbank.co.uk/China-North-Industries-Group-Company-Profile.html</x:v>
      </x:c>
    </x:row>
    <x:row r="12" ht="190" customHeight="1">
      <x:c r="A12" s="32" t="str">
        <x:v>Tata Advanced Systems</x:v>
      </x:c>
      <x:c r="B12" s="32" t="str">
        <x:v>India</x:v>
      </x:c>
      <x:c r="C12" s="32" t="n">
        <x:v>3</x:v>
      </x:c>
      <x:c r="D12" s="32" t="str">
        <x:v>Tata Advanced Systems Limited</x:v>
      </x:c>
      <x:c r="E12" s="32" t="str">
        <x:v>2007</x:v>
      </x:c>
      <x:c r="F12" s="32" t="str">
        <x:v>Hardware Park, Plot No.21, Sy No.1/1, Imarat Kancha Raviryala Village, Maheshwaram Mandal, Hyderabad 501218, Telangana, India</x:v>
      </x:c>
      <x:c r="G12" s="32" t="str">
        <x:v>India-wide defence/aerospace footprint with facilities in Hyderabad/Adibatla, Bengaluru, Pune, Vadodara and Vemagal; partnerships/JVs connect TASL to global aerospace and defence supply chains</x:v>
      </x:c>
      <x:c r="H12" s="32" t="str">
        <x:v>5000+ employees across the globe</x:v>
      </x:c>
      <x:c r="I12" s="32" t="str">
        <x:v>₹5,051.20 crore turnover</x:v>
      </x:c>
      <x:c r="J12" s="32" t="str">
        <x:v>FY2024-25</x:v>
      </x:c>
      <x:c r="K12" s="32" t="str">
        <x:v>Aerospace &amp; defence; aerostructures, airborne platforms, land mobility, weapon systems, missiles/launchers, UAVs, radars, command &amp; control</x:v>
      </x:c>
      <x:c r="L12" s="32" t="str">
        <x:v>Sukaran Singh — CEO &amp; Managing Director</x:v>
      </x:c>
      <x:c r="M12" s="32" t="str">
        <x:v>Banmali Agrawala — Chairman</x:v>
      </x:c>
      <x:c r="N12" s="32" t="str">
        <x:v>• Banmali Agrawala — Chairman
• Sukaran Singh — CEO &amp; Managing Director
• Air Chief Marshal NAK Browne (Retd.) — Director
• Radha Krishna Mathur — Director</x:v>
      </x:c>
      <x:c r="O12" s="32" t="str">
        <x:v>• Hyderabad / Adibatla — aerospace and defence manufacturing
• Bengaluru — engineering / aerospace operations
• Pune — land and defence systems activity
• Vadodara, Gujarat — Airbus C295 final assembly line
• Vemagal, Karnataka — Airbus H125 helicopter final assembly line
• Company states 6+ research and production centres</x:v>
      </x:c>
      <x:c r="P12" s="32" t="str">
        <x:v>https://www.tataadvancedsystems.com/policies-and-documents
https://www.tataadvancedsystems.com/pdf/new_policy/Annual%20Return%20FY25.pdf
https://www.tataadvancedsystems.com/people-culture
https://www.tataadvancedsystems.com/public/about
https://www.tataadvancedsystems.com/public/
https://www.tata.com/business/tata-advanced-systems-ltd-tasl
https://www.cbinsights.com/company/tata-advanced-systems</x:v>
      </x:c>
    </x:row>
    <x:row r="13" ht="190" customHeight="1">
      <x:c r="A13" s="32" t="str">
        <x:v>Mahindra Defence</x:v>
      </x:c>
      <x:c r="B13" s="32" t="str">
        <x:v>India</x:v>
      </x:c>
      <x:c r="C13" s="32" t="n">
        <x:v>3</x:v>
      </x:c>
      <x:c r="D13" s="32" t="str">
        <x:v>Mahindra Defence Systems Limited</x:v>
      </x:c>
      <x:c r="E13" s="32" t="str">
        <x:v>30 Jul 2012</x:v>
      </x:c>
      <x:c r="F13" s="32" t="str">
        <x:v>Mahindra Towers, P.K. Kurne Chowk, Dr. G. M. Bhosale Marg, Worli, Mumbai 400018, Maharashtra, India</x:v>
      </x:c>
      <x:c r="G13" s="32" t="str">
        <x:v>India-based operations with land-systems manufacturing at Prithla Industrial Area, Palwal, Haryana; defence group also includes Mahindra Telephonics and overseas armouring entities under Mahindra Advanced Technologies</x:v>
      </x:c>
      <x:c r="H13" s="32" t="str">
        <x:v>Standalone defence-subsidiary headcount not publicly disclosed; previously used 5,001–10,000 LinkedIn company-size band may reflect a broader/corporate grouping and should not be treated as audited Mahindra Defence headcount.</x:v>
      </x:c>
      <x:c r="I13" s="32" t="str">
        <x:v>₹805.59 crore gross turnover</x:v>
      </x:c>
      <x:c r="J13" s="32" t="str">
        <x:v>FY2025-26</x:v>
      </x:c>
      <x:c r="K13" s="32" t="str">
        <x:v>Defence systems; armoured vehicles, naval/underwater warfare systems, radar/surveillance, composites and military engineering</x:v>
      </x:c>
      <x:c r="L13" s="32" t="str">
        <x:v>Vinod Kumar Sahay — Managing Director</x:v>
      </x:c>
      <x:c r="M13" s="32" t="str">
        <x:v>Shriprakash Shukla — Chairman of the Board</x:v>
      </x:c>
      <x:c r="N13" s="32" t="str">
        <x:v>• Shriprakash Shukla — Chairman
• Vinod Kumar Sahay — Managing Director
• Devendra Bhatnagar — Whole-time Director
• Abanti Sankaranarayanan — Director
• Ruzbeh Baman Irani — Director</x:v>
      </x:c>
      <x:c r="O13" s="32" t="str">
        <x:v>• Prithla Industrial Area, Palwal, Haryana — land systems / armoured vehicle facility
• Mumbai — registered office / corporate functions
• Naval Systems business — underwater warfare systems including IADS, torpedo launchers, decoy launchers and sonar-related products
• Mahindra Defence became a wholly owned subsidiary of Mahindra Advanced Technologies Limited in 2025</x:v>
      </x:c>
      <x:c r="P13" s="32" t="str">
        <x:v>https://www.mahindra.com/annual-report-FY2026/487/
https://www.mahindra.com/annual-report-FY2026/107/
https://www.mahindra.com/sites/default/files/2024-07/MM-Subsidiary-AR-2023-24.pdf
https://tdb.gov.in/board-members
https://www.zaubacorp.com/MAHINDRA-DEFENCE-SYSTEMS-LIMITED-U75220MH2012PLC233889
https://www.ddpmod.gov.in/sites/default/files/bf61221eee3553c03edd105e1dd467671bab7375e0629701ab5da8253410cab6/a83ee5c715c65dd2eee569675fa4423f1d74f8be474e06fb950ab406169edee1.pdf
https://in.linkedin.com/company/mahindra-defence-system-ltd-division-mahindra-special-services-group</x:v>
      </x:c>
    </x:row>
    <x:row r="14" ht="190" customHeight="1">
      <x:c r="A14" s="32" t="str">
        <x:v>Larsen &amp; Toubro (L&amp;T)</x:v>
      </x:c>
      <x:c r="B14" s="32" t="str">
        <x:v>India</x:v>
      </x:c>
      <x:c r="C14" s="32" t="n">
        <x:v>3</x:v>
      </x:c>
      <x:c r="D14" s="32" t="str">
        <x:v>Larsen &amp; Toubro (L&amp;T)</x:v>
      </x:c>
      <x:c r="E14" s="32" t="str">
        <x:v>1938</x:v>
      </x:c>
      <x:c r="F14" s="32" t="str">
        <x:v>L&amp;T House, N. M. Marg, Ballard Estate, Mumbai 400001, Maharashtra, India</x:v>
      </x:c>
      <x:c r="G14" s="32" t="str">
        <x:v>Global engineering conglomerate; defence manufacturing and R&amp;D facilities in Hazira, Talegaon, Coimbatore, Bengaluru, Powai and Kattupalli, with wider L&amp;T facilities across India and overseas</x:v>
      </x:c>
      <x:c r="H14" s="32" t="str">
        <x:v>62,100 employees disclosed in FY2024-25 BRSR comparison table; very large additional contract/workforce base</x:v>
      </x:c>
      <x:c r="I14" s="32" t="str">
        <x:v>₹161,038.62 crore total income (standalone)</x:v>
      </x:c>
      <x:c r="J14" s="32" t="str">
        <x:v>FY2025-26</x:v>
      </x:c>
      <x:c r="K14" s="32" t="str">
        <x:v>Engineering, construction, technology and manufacturing; defence activities through Precision Engineering &amp; Systems and Shipbuilding</x:v>
      </x:c>
      <x:c r="L14" s="32" t="str">
        <x:v>S. N. Subrahmanyan — Chairman &amp; Managing Director</x:v>
      </x:c>
      <x:c r="M14" s="32" t="str">
        <x:v>S. N. Subrahmanyan — Chairman &amp; Managing Director</x:v>
      </x:c>
      <x:c r="N14" s="32" t="str">
        <x:v>• S. N. Subrahmanyan — Chairman &amp; Managing Director
• Subramanian Sarma — Deputy Managing Director &amp; President
• R. Shankar Raman — President, Whole-time Director &amp; CFO
• Anil V. Parab — Whole-time Director &amp; Sr EVP (Manufacturing)
• Arun T Ramchandani — Sr VP &amp; Head, Precision Engineering and Systems</x:v>
      </x:c>
      <x:c r="O14" s="32" t="str">
        <x:v>• Hazira, Gujarat — Strategic Manufacturing / Armoured Systems Complex; K9 Vajra-T production
• Talegaon, Maharashtra — Strategic Systems Complex
• Coimbatore — Precision Manufacturing &amp; Systems Complex
• Bengaluru — Strategic Electronics / engineering
• Powai, Mumbai — R&amp;D labs and technology centres
• Kattupalli, Tamil Nadu — shipbuilding yard
• Hazira and Kattupalli — naval shipbuilding / heavy integration infrastructure</x:v>
      </x:c>
      <x:c r="P14" s="32" t="str">
        <x:v>https://investors.larsentoubro.com/upload/AnnualRep/FY2026AnnualRepLNTIARFY2026.pdf
https://investors.larsentoubro.com/board-report.aspx
https://investors.larsentoubro.com/upload/AnnualRep/FY2025AnnualRepL%26T-ANNUAL%20REPORT%202024-25%20-%20LOW%202.pdf
https://www.larsentoubro.com/facilities
https://www.larsentoubro.com/lt-pes/capabilities/manufacturing/india/strategic-systems-complex-talegaon/
https://www.lntpes.com/capabilities/rd
https://www.larsentoubro.com/corporate/media/media-kit/spokespersons</x:v>
      </x:c>
    </x:row>
    <x:row r="15" ht="190" customHeight="1">
      <x:c r="A15" s="32" t="str">
        <x:v>Patria</x:v>
      </x:c>
      <x:c r="B15" s="32" t="str">
        <x:v>Finland</x:v>
      </x:c>
      <x:c r="C15" s="32" t="n">
        <x:v>3</x:v>
      </x:c>
      <x:c r="D15" s="32" t="str">
        <x:v>Patria Oyj</x:v>
      </x:c>
      <x:c r="E15" s="32" t="str">
        <x:v>1997 current Patria entity; historical roots to 1921</x:v>
      </x:c>
      <x:c r="F15" s="32" t="str">
        <x:v>Arkadiankatu 2, 00100 Helsinki, Finland</x:v>
      </x:c>
      <x:c r="G15" s="32" t="str">
        <x:v>Operating countries include Finland, Sweden, Norway, Latvia, Belgium, the Netherlands, Germany, Poland, Slovakia and Japan</x:v>
      </x:c>
      <x:c r="H15" s="32" t="str">
        <x:v>4,111 personnel at end-2025</x:v>
      </x:c>
      <x:c r="I15" s="32" t="str">
        <x:v>€1,086.7 million net sales</x:v>
      </x:c>
      <x:c r="J15" s="32" t="str">
        <x:v>FY2025</x:v>
      </x:c>
      <x:c r="K15" s="32" t="str">
        <x:v>Defence and technology; protected mobility, mortar systems, C5ISR, aviation/engine lifecycle support and defence sustainment</x:v>
      </x:c>
      <x:c r="L15" s="32" t="str">
        <x:v>Panu Routila — President &amp; CEO</x:v>
      </x:c>
      <x:c r="M15" s="32" t="str">
        <x:v>Jyri Häkämies — Chairman of the Board</x:v>
      </x:c>
      <x:c r="N15" s="32" t="str">
        <x:v>• Jyri Häkämies — Chairman
• Panu Routila — President &amp; CEO
• Outi Henriksson — Board member
• Eirik Tord Jensen — Board member
• Jukka Juusti — Board member
• Signe Bjarttun Jørgensen — Board member
• Arild Sodefjed Jørgensen — Board member
• Ilpo Nuutinen — Board member
• Morten Tiller — Board member</x:v>
      </x:c>
      <x:c r="O15" s="32" t="str">
        <x:v>• Helsinki — group head office
• Tampere — group / systems operations
• Hämeenlinna — Patria Land / armoured vehicle production
• Halli — aviation and aerostructures
• Linnavuori — engine operations / F135 assembly and maintenance
• Sites and subsidiaries across Nordic/Baltic/Central European operating countries</x:v>
      </x:c>
      <x:c r="P15" s="32" t="str">
        <x:v>https://www.patriagroup.com/about-us/over-100-years-of-patrias-legacy/the-foundation-for-a-secure-future
https://www.patriagroup.com/about-us/patria-in-brief
https://www.patriagroup.com/about-us/financials/patrias-year-2025
https://www.patriagroup.com/newsroom/news/2026/patria-appoints-new-president-and-ceo-panu-routila-appointed-as-new-president-and-ceo
https://www.patriagroup.com/about-us/management-team/board-of-directors
https://www.patriagroup.com/contacts</x:v>
      </x:c>
    </x:row>
    <x:row r="16" ht="190" customHeight="1">
      <x:c r="A16" s="32" t="str">
        <x:v>Supacat</x:v>
      </x:c>
      <x:c r="B16" s="32" t="str">
        <x:v>UK</x:v>
      </x:c>
      <x:c r="C16" s="32" t="n">
        <x:v>3</x:v>
      </x:c>
      <x:c r="D16" s="32" t="str">
        <x:v>Supacat Limited</x:v>
      </x:c>
      <x:c r="E16" s="32" t="str">
        <x:v>26 Aug 1980</x:v>
      </x:c>
      <x:c r="F16" s="32" t="str">
        <x:v>The Airfield, Dunkeswell, Honiton, Devon, EX14 4LF, United Kingdom</x:v>
      </x:c>
      <x:c r="G16" s="32" t="str">
        <x:v>UK headquarters at Dunkeswell; Australia office in Port Melbourne with presence in Sydney, Perth and Darwin; presence in Auckland, New Zealand</x:v>
      </x:c>
      <x:c r="H16" s="32" t="str">
        <x:v>149 average employees</x:v>
      </x:c>
      <x:c r="I16" s="32" t="str">
        <x:v>£69.06 million turnover</x:v>
      </x:c>
      <x:c r="J16" s="32" t="str">
        <x:v>FY ended 31 Aug 2025</x:v>
      </x:c>
      <x:c r="K16" s="32" t="str">
        <x:v>Defence vehicle design, manufacturing, engineering and through-life support; high-mobility and protected vehicles</x:v>
      </x:c>
      <x:c r="L16" s="32" t="str">
        <x:v>Nick Ames — Chief Executive Officer</x:v>
      </x:c>
      <x:c r="M16" s="32" t="str">
        <x:v>Privately held; no separate non-executive chairman identified in public company material</x:v>
      </x:c>
      <x:c r="N16" s="32" t="str">
        <x:v>• Nick Ames — CEO
• Nick Jones — Founder &amp; Director
• Shaun Mitchell — CFO &amp; Company Secretary
• Lizzie Jones — Operations Director
• Phil Applegarth — Director, Head of Supacat and SC Innovation
• Steve Austen — Engineering Director &amp; Chief Engineer
• Joe Wilcox — Projects Director</x:v>
      </x:c>
      <x:c r="O16" s="32" t="str">
        <x:v>• Dunkeswell, Devon — headquarters, engineering and vehicle production
• Port Melbourne, Victoria — Supacat Asia Pacific office
• Presence in Sydney, Perth, Darwin and Auckland
• SC Group engineering/manufacturing network supports Supacat programmes</x:v>
      </x:c>
      <x:c r="P16" s="32" t="str">
        <x:v>https://find-and-update.company-information.service.gov.uk/company/01514084
https://theaccounts.uk/company/01514084/supacat-limited/
https://supacat.com/about-us/history/
https://supacat.com/meet-the-team/
https://supacat.com/contact-us/</x:v>
      </x:c>
    </x:row>
    <x:row r="17" ht="190" customHeight="1">
      <x:c r="A17" s="32" t="str">
        <x:v>Otokar</x:v>
      </x:c>
      <x:c r="B17" s="32" t="str">
        <x:v>Turkey</x:v>
      </x:c>
      <x:c r="C17" s="32" t="n">
        <x:v>4</x:v>
      </x:c>
      <x:c r="D17" s="32" t="str">
        <x:v>Otokar</x:v>
      </x:c>
      <x:c r="E17" s="32" t="str">
        <x:v>1963</x:v>
      </x:c>
      <x:c r="F17" s="32" t="str">
        <x:v>Taşdelen Mah. Sırrı Çelik Bulvarı No:5, Çekmeköy, Istanbul, Türkiye</x:v>
      </x:c>
      <x:c r="G17" s="32" t="str">
        <x:v>Main production in Arifiye/Sakarya, Türkiye; international subsidiaries/offices in France, Italy, Romania, Kazakhstan and other markets; military-vehicle production also established in Romania</x:v>
      </x:c>
      <x:c r="H17" s="32" t="str">
        <x:v>3,659 employees (2025)</x:v>
      </x:c>
      <x:c r="I17" s="32" t="str">
        <x:v>TL 51.96 billion revenue</x:v>
      </x:c>
      <x:c r="J17" s="32" t="str">
        <x:v>FY2025</x:v>
      </x:c>
      <x:c r="K17" s="32" t="str">
        <x:v>Land systems and automotive manufacturing; wheeled/tracked armoured vehicles, tactical vehicles and turret systems</x:v>
      </x:c>
      <x:c r="L17" s="32" t="str">
        <x:v>İbrahim Aykut Özüner — General Manager</x:v>
      </x:c>
      <x:c r="M17" s="32" t="str">
        <x:v>Yıldırım Ali Koç — Chairman</x:v>
      </x:c>
      <x:c r="N17" s="32" t="str">
        <x:v>• Yıldırım Ali Koç — Chairman
• Selin Ayla Ünver — Vice Chair
• İbrahim Aykut Özüner — Board Member &amp; General Manager
• Levent Çakıroğlu — Board Member
• Haydar Yenigün — Board Member
• Ahmet Serdar Görgüç — Board Member
• Ali İhsan İlkbahar — Board Member
• Fatma Füsun Akkal Bozok — Independent Board Member
• Kenan Güven — Independent Board Member</x:v>
      </x:c>
      <x:c r="O17" s="32" t="str">
        <x:v>• Arifiye, Sakarya — main vehicle production facility
• Istanbul — headquarters/corporate functions
• Romania / Mediaș — local military vehicle production capability
• International subsidiaries/offices in France, Italy, Romania and Kazakhstan</x:v>
      </x:c>
      <x:c r="P17" s="32" t="str">
        <x:v>https://www.otokar.com.tr/getmedia/e31920a6-9ccc-4065-bb2e-4e1eb0d68af8/2025-annual-report
https://www.kap.org.tr/en/sirket-bilgileri/genel/1046-otokar-otomotiv-ve-savunma-sanayi-a-s
https://defense.otokar.com.tr/news/otokar-unveils-first-romanian-built-cobra-ii-in-bsda-2026</x:v>
      </x:c>
    </x:row>
    <x:row r="18" ht="190" customHeight="1">
      <x:c r="A18" s="32" t="str">
        <x:v>Paramount Group</x:v>
      </x:c>
      <x:c r="B18" s="32" t="str">
        <x:v>South Africa</x:v>
      </x:c>
      <x:c r="C18" s="32" t="n">
        <x:v>4</x:v>
      </x:c>
      <x:c r="D18" s="32" t="str">
        <x:v>Paramount Group</x:v>
      </x:c>
      <x:c r="E18" s="32" t="str">
        <x:v>1994</x:v>
      </x:c>
      <x:c r="F18" s="32" t="str">
        <x:v>998 16th Road, Midrand, Gauteng, South Africa</x:v>
      </x:c>
      <x:c r="G18" s="32" t="str">
        <x:v>Operations and regional presence across five continents; locations include Midrand/Pretoria/Cape Town in South Africa, Fort Worth USA and Astana Kazakhstan; local-production partnerships in multiple customer countries</x:v>
      </x:c>
      <x:c r="H18" s="32" t="str">
        <x:v>3,000+ employees stated by company</x:v>
      </x:c>
      <x:c r="I18" s="32" t="str">
        <x:v>Not publicly disclosed — privately held</x:v>
      </x:c>
      <x:c r="J18" s="32" t="str">
        <x:v>Latest public disclosure not available</x:v>
      </x:c>
      <x:c r="K18" s="32" t="str">
        <x:v>Defence and aerospace; protected vehicles, naval systems, aerospace, mission systems and local industrialisation</x:v>
      </x:c>
      <x:c r="L18" s="32" t="str">
        <x:v>Private group; no single current Group CEO clearly identified in the reviewed public material</x:v>
      </x:c>
      <x:c r="M18" s="32" t="str">
        <x:v>Founder: Ivor Ichikowitz; stepped back from executive-chairman/daily-management role</x:v>
      </x:c>
      <x:c r="N18" s="32" t="str">
        <x:v>• Paramount operates through business units including Paramount Land Systems, Paramount Aerospace and Paramount Naval Systems
• Deon Grobler — CEO, Paramount Land Systems in public company releases
• Founder: Ivor Ichikowitz</x:v>
      </x:c>
      <x:c r="O18" s="32" t="str">
        <x:v>• Midrand Campus, Gauteng — group / land systems
• Wonderboom National Airport, Pretoria — aerospace
• Cape Town — Paramount Naval Systems
• Astana, Kazakhstan — regional HQ / local-production partnership
• Fort Worth, Texas — Paramount Group USA
• Portable/local-production model deployed through customer-country industrial partnerships</x:v>
      </x:c>
      <x:c r="P18" s="32" t="str">
        <x:v>https://www.paramountgroup.com/about/
https://www.paramountgroup.com/contact/
https://www.paramountgroup.com/capabilities/
https://www.paramountgroup.com/media/news/paramount-group-s-kazakh-defence-industry-venture-pioneers-to-export-globally/</x:v>
      </x:c>
    </x:row>
    <x:row r="19" ht="190" customHeight="1">
      <x:c r="A19" s="32" t="str">
        <x:v>Roshel</x:v>
      </x:c>
      <x:c r="B19" s="32" t="str">
        <x:v>Canada</x:v>
      </x:c>
      <x:c r="C19" s="32" t="n">
        <x:v>4</x:v>
      </x:c>
      <x:c r="D19" s="32" t="str">
        <x:v>Roshel Inc.</x:v>
      </x:c>
      <x:c r="E19" s="32" t="str">
        <x:v>2016</x:v>
      </x:c>
      <x:c r="F19" s="32" t="str">
        <x:v>255 Biscayne Crescent, Brampton, Ontario L6W 4R2, Canada</x:v>
      </x:c>
      <x:c r="G19" s="32" t="str">
        <x:v>Canadian manufacturing base in the Greater Toronto Area; products supplied to government and defence customers in North America, Europe and other international markets</x:v>
      </x:c>
      <x:c r="H19" s="32" t="str">
        <x:v>Approximately 352 employees at headquarters in 2024 company reporting</x:v>
      </x:c>
      <x:c r="I19" s="32" t="str">
        <x:v>Not publicly disclosed — privately held</x:v>
      </x:c>
      <x:c r="J19" s="32" t="str">
        <x:v>2024 public reporting</x:v>
      </x:c>
      <x:c r="K19" s="32" t="str">
        <x:v>Armoured special-purpose vehicles, military/law-enforcement protected mobility and vehicle-integrated security systems</x:v>
      </x:c>
      <x:c r="L19" s="32" t="str">
        <x:v>Roman Shimonov — Founder, President &amp; CEO</x:v>
      </x:c>
      <x:c r="M19" s="32" t="str">
        <x:v>Privately held; no separate board chair publicly identified</x:v>
      </x:c>
      <x:c r="N19" s="32" t="str">
        <x:v>• Roman Shimonov — Founder, President &amp; CEO
• Maria Tkacheva — Chief Operating Officer
• Demitry Faler — Vice President of Operations
• Dmitry Gorin — Head of Research &amp; Development</x:v>
      </x:c>
      <x:c r="O19" s="32" t="str">
        <x:v>• Brampton / Greater Toronto Area — vertically integrated production
• In-house R&amp;D, metal fabrication, welding, painting, mechanical/electrical assembly, logistics and inventory management
• Manufacturing footprint publicly described at more than 400,000 sq ft in specialist reporting</x:v>
      </x:c>
      <x:c r="P19" s="32" t="str">
        <x:v>https://roshel.com/about/
https://roshel.com/wp-content/uploads/2025/07/annual_report_2024.pdf
https://www.prnewswire.com/news-releases/roshel-unveils-its-senator-mrap-at-cansec-in-ottawa-301837714.html</x:v>
      </x:c>
    </x:row>
    <x:row r="20" ht="190" customHeight="1">
      <x:c r="A20" s="32" t="str">
        <x:v>IDV (Iveco Defence)</x:v>
      </x:c>
      <x:c r="B20" s="32" t="str">
        <x:v>Italy</x:v>
      </x:c>
      <x:c r="C20" s="32" t="n">
        <x:v>4</x:v>
      </x:c>
      <x:c r="D20" s="32" t="str">
        <x:v>IDV — Iveco Defence Vehicles</x:v>
      </x:c>
      <x:c r="E20" s="32" t="str">
        <x:v>1937 roots / current IDV defence business</x:v>
      </x:c>
      <x:c r="F20" s="32" t="str">
        <x:v>Via Alessandro Volta 6, 39100 Bolzano, Italy</x:v>
      </x:c>
      <x:c r="G20" s="32" t="str">
        <x:v>Six manufacturing sites across Italy, Germany, Romania and Brazil; 12 commercial offices in Europe, the US and Brazil; 7 R&amp;D centres across Italy, Brazil, UK and Germany</x:v>
      </x:c>
      <x:c r="H20" s="32" t="str">
        <x:v>Approximately 2,000 employees</x:v>
      </x:c>
      <x:c r="I20" s="32" t="str">
        <x:v>€1.368 billion Defence Business revenue</x:v>
      </x:c>
      <x:c r="J20" s="32" t="str">
        <x:v>FY2025</x:v>
      </x:c>
      <x:c r="K20" s="32" t="str">
        <x:v>Military land systems; armoured vehicles, amphibious vehicles, multirole protected vehicles and military trucks</x:v>
      </x:c>
      <x:c r="L20" s="32" t="str">
        <x:v>Claudio Catalano — CEO</x:v>
      </x:c>
      <x:c r="M20" s="32" t="str">
        <x:v>IDV became a Leonardo company in March 2026</x:v>
      </x:c>
      <x:c r="N20" s="32" t="str">
        <x:v>• Claudio Catalano — CEO
• IDV Group transferred to Leonardo in March 2026</x:v>
      </x:c>
      <x:c r="O20" s="32" t="str">
        <x:v>• Bolzano — headquarters and major defence-vehicle operations
• Six manufacturing sites in Italy, Germany, Romania and Brazil
• Seven R&amp;D centres in Italy, Brazil, UK and Germany
• Twelve commercial offices across Europe, US and Brazil</x:v>
      </x:c>
      <x:c r="P20" s="32" t="str">
        <x:v>https://www.leonardo.com/documents/15646808/0/LDO_Iveco_CS_ENG_18_03_2026.pdf?t=1773854391790
https://www.ivecogroup.com/media/corporate_press_releases/2026/march/iveco_group_transfers_its_defence_business_to_leonardo_to_create_a_european_champion_in_the_defence_segment
https://www.idvgroup.com/products/
https://www.idvgroup.com/2026/06/16/idv-showcases-its-latest-innovations-in-uncrewed-land-vehicles-and-autonomous-systems-at-eurosatory-2026/</x:v>
      </x:c>
    </x:row>
    <x:row r="21" ht="190" customHeight="1">
      <x:c r="A21" s="32" t="str">
        <x:v>PLR Systems (IWI+Adani)</x:v>
      </x:c>
      <x:c r="B21" s="32" t="str">
        <x:v>India</x:v>
      </x:c>
      <x:c r="C21" s="32" t="n">
        <x:v>4</x:v>
      </x:c>
      <x:c r="D21" s="32" t="str">
        <x:v>PLR Systems Pvt Ltd (Adani + IWI)</x:v>
      </x:c>
      <x:c r="E21" s="32" t="str">
        <x:v>5 Feb 2013 incorporation; JV manufacturing operations launched later</x:v>
      </x:c>
      <x:c r="F21" s="32" t="str">
        <x:v>Adani Corporate House, Shantigram, Ahmedabad, Gujarat, India; small-arms manufacturing at Malanpur Industrial Area, Gwalior, Madhya Pradesh</x:v>
      </x:c>
      <x:c r="G21" s="32" t="str">
        <x:v>Manufacturing facility in Gwalior/Malanpur; JV connects Adani Defence and Israel Weapon Industries technology/supply chains</x:v>
      </x:c>
      <x:c r="H21" s="32" t="str">
        <x:v>51–200 employees on public company profile</x:v>
      </x:c>
      <x:c r="I21" s="32" t="str">
        <x:v>₹40.68 crore revenue</x:v>
      </x:c>
      <x:c r="J21" s="32" t="str">
        <x:v>FY2024-25</x:v>
      </x:c>
      <x:c r="K21" s="32" t="str">
        <x:v>Small arms and ammunition manufacturing; India JV of Adani Group and Israel Weapon Industries</x:v>
      </x:c>
      <x:c r="L21" s="32" t="str">
        <x:v>No singular PLR CEO/MD clearly identified in reviewed current public material</x:v>
      </x:c>
      <x:c r="M21" s="32" t="str">
        <x:v>Board-led private JV</x:v>
      </x:c>
      <x:c r="N21" s="32" t="str">
        <x:v>• Shuki Haim Schwartz — Director / IWI representative in public corporate records
• Ashish Rajvanshi — Director / Adani Defence representative
• Shlomo Sabag — Director
• Ashok Wadhawan — Director
• Jatinkumar Rameshchandra Jalundhwala — Director</x:v>
      </x:c>
      <x:c r="O21" s="32" t="str">
        <x:v>• Malanpur Industrial Area, Gwalior, Madhya Pradesh — state-of-the-art small-arms manufacturing facility
• Current Adani disclosure states capacity to manufacture 100,000 weapons annually
• Gunsmith shop and opto-electronic laboratory for MRO of small arms and weapon sights</x:v>
      </x:c>
      <x:c r="P21" s="32" t="str">
        <x:v>https://www.linkedin.com/company/plr-systems-pvt-ltd/?originalSubdomain=in
https://connect.adani.com/2026/apr2026/defence/
https://www.zaubacorp.com/PLR-SYSTEMS-PRIVATE-LIMITED-U74999GJ2013PTC123466
https://www.sensibook.com/companies/2580167/U74999GJ2013PTC123466/PLR-SYSTEMS-PRIVATE-LIMITED</x:v>
      </x:c>
    </x:row>
    <x:row r="22" ht="190" customHeight="1">
      <x:c r="A22" s="32" t="str">
        <x:v>Kalashnikov Concern</x:v>
      </x:c>
      <x:c r="B22" s="32" t="str">
        <x:v>Russia</x:v>
      </x:c>
      <x:c r="C22" s="32" t="n">
        <x:v>5</x:v>
      </x:c>
      <x:c r="D22" s="32" t="str">
        <x:v>Kalashnikov Concern</x:v>
      </x:c>
      <x:c r="E22" s="32" t="str">
        <x:v>2013 current concern; industrial roots to Izhevsk arms production founded 1807</x:v>
      </x:c>
      <x:c r="F22" s="32" t="str">
        <x:v>Deryabina Avenue, Izhevsk, Udmurt Republic, Russian Federation</x:v>
      </x:c>
      <x:c r="G22" s="32" t="str">
        <x:v>Core operations in Izhevsk plus subsidiaries/affiliates in Russia including ZALA Aero, Vympel shipbuilding and other machine-building assets; products exported through Rosoboronexport channels</x:v>
      </x:c>
      <x:c r="H22" s="32" t="str">
        <x:v>Not publicly disclosed in reliable current consolidated reporting located in this pass</x:v>
      </x:c>
      <x:c r="I22" s="32" t="str">
        <x:v>Absolute consolidated revenue not publicly disclosed in accessible reliable sources; Rostec reported 2024 H1 revenue growth of 70% YoY and Kalashnikov reported record 10-year small-arms export revenue in 2024</x:v>
      </x:c>
      <x:c r="J22" s="32" t="str">
        <x:v>Latest public operating disclosures 2024–2026</x:v>
      </x:c>
      <x:c r="K22" s="32" t="str">
        <x:v>Small arms, precision-guided weapons, unmanned aerial systems, loitering munitions, machine tools and military equipment</x:v>
      </x:c>
      <x:c r="L22" s="32" t="str">
        <x:v>Alan Lushnikov — President</x:v>
      </x:c>
      <x:c r="M22" s="32" t="str">
        <x:v>Board/governance not fully disclosed in accessible English public sources</x:v>
      </x:c>
      <x:c r="N22" s="32" t="str">
        <x:v>• Alan Lushnikov — President of Kalashnikov Concern
• Concern operates under a public-private ownership structure with Rostec state participation</x:v>
      </x:c>
      <x:c r="O22" s="32" t="str">
        <x:v>• Izhevsk — principal small-arms design and manufacturing base
• ZALA Aero — unmanned aerial / loitering-munition business
• Vympel Shipbuilding and related machine-building subsidiaries within the wider group structure
• Concern-wide investment in firearms, UAV and precision-weapons production capacity</x:v>
      </x:c>
      <x:c r="P22" s="32" t="str">
        <x:v>https://rostec.ru/en/directions/weapons/products-projects/ak-12-ak-15-ak-19-assault-rifles/
https://www.acra-ratings.ru/upload/iblock/a45/puhsjsz3qb8qz1i011dm56y844izn2of/20250618_AO-_Kontsern-_Kalashnikov_press_reliz_en.pdf
https://rostec.ru/en/media/news/kalashnikov-has-increased-the-output-of-military-and-civilian-products/
https://eur-lex.europa.eu/legal-content/EN/TXT/?uri=CELEX%3A32023R0571</x:v>
      </x:c>
    </x:row>
    <x:row r="23" ht="190" customHeight="1">
      <x:c r="A23" s="32" t="str">
        <x:v>Munitions India Ltd (MIL)</x:v>
      </x:c>
      <x:c r="B23" s="32" t="str">
        <x:v>India</x:v>
      </x:c>
      <x:c r="C23" s="32" t="n">
        <x:v>5</x:v>
      </x:c>
      <x:c r="D23" s="32" t="str">
        <x:v>Munitions India Limited (MIL)</x:v>
      </x:c>
      <x:c r="E23" s="32" t="str">
        <x:v>1 Oct 2021 operationalisation following OFB restructuring</x:v>
      </x:c>
      <x:c r="F23" s="32" t="str">
        <x:v>Ammunition Factory Khadki, 21 Coldicott Road, Ordnance Estate, Khadki, Pune 411003, Maharashtra, India</x:v>
      </x:c>
      <x:c r="G23" s="32" t="str">
        <x:v>12 production units across India: Khadki, Aruvankadu, Tiruchirapalli, Khadki HEF, Bhandara, Bolangir, Chanda, Dehu Road, Itarsi, Khamaria, Nalanda and Varangaon</x:v>
      </x:c>
      <x:c r="H23" s="32" t="str">
        <x:v>21,213 total personnel as on 31 Mar 2025: 12 regular employees + 21,201 on deemed deputation</x:v>
      </x:c>
      <x:c r="I23" s="32" t="str">
        <x:v>₹8,214.10 crore revenue from operations</x:v>
      </x:c>
      <x:c r="J23" s="32" t="str">
        <x:v>FY2024-25</x:v>
      </x:c>
      <x:c r="K23" s="32" t="str">
        <x:v>Ammunition, explosives, propellants, pyrotechnics, rockets, grenades, mines, bombs and military chemicals</x:v>
      </x:c>
      <x:c r="L23" s="32" t="str">
        <x:v>Sanjay Hazari — Chairman &amp; Managing Director</x:v>
      </x:c>
      <x:c r="M23" s="32" t="str">
        <x:v>Sanjay Hazari — Chairman &amp; Managing Director</x:v>
      </x:c>
      <x:c r="N23" s="32" t="str">
        <x:v>• Sanjay Hazari — Chairman &amp; Managing Director
• Rakesh Ojha — Director (Operations)
• Nandkishor Prabhakar Naik — Director (Human Resources)
• Prakash Agarwala — Director (Finance) &amp; CFO in FY2024-25 disclosures</x:v>
      </x:c>
      <x:c r="O23" s="32" t="str">
        <x:v>• Ammunition Factory Khadki
• Cordite Factory Aruvankadu
• High Energy Projectile Factory Tiruchirapalli
• High Explosive Factory Khadki
• Ordnance Factory Bhandara
• Ordnance Factory Bolangir
• Ordnance Factory Chanda
• Ordnance Factory Dehu Road
• Ordnance Factory Itarsi
• Ordnance Factory Khamaria
• Ordnance Factory Nalanda
• Ordnance Factory Varangaon</x:v>
      </x:c>
      <x:c r="P23" s="32" t="str">
        <x:v>https://munitionsindia.in/wp-content/uploads/1.-English-MIL-04th-Annual-Report-2024-25A.pdf
https://munitionsindia.in/wp-content/uploads/MIL-Dir-Fin-Position050625.pdf
https://www.ddpmod.gov.in/sites/default/files/bf61221eee3553c03edd105e1dd467671bab7375e0629701ab5da8253410cab6/a83ee5c715c65dd2eee569675fa4423f1d74f8be474e06fb950ab406169edee1.pdf</x:v>
      </x:c>
    </x:row>
    <x:row r="24" ht="190" customHeight="1">
      <x:c r="A24" s="32" t="str">
        <x:v>Bharat Dynamics Ltd (BDL)</x:v>
      </x:c>
      <x:c r="B24" s="32" t="str">
        <x:v>India</x:v>
      </x:c>
      <x:c r="C24" s="32" t="n">
        <x:v>5</x:v>
      </x:c>
      <x:c r="D24" s="32" t="str">
        <x:v>Bharat Dynamics Limited (BDL)</x:v>
      </x:c>
      <x:c r="E24" s="32" t="str">
        <x:v>16 Jul 1970</x:v>
      </x:c>
      <x:c r="F24" s="32" t="str">
        <x:v>Plot No. 38-39, TSFC Building, Financial District, Nanakramguda, Hyderabad 500032, Telangana, India</x:v>
      </x:c>
      <x:c r="G24" s="32" t="str">
        <x:v>Manufacturing units in Kanchanbagh/Hyderabad, Bhanur, Visakhapatnam and newer facilities/expansion at Amaravati, Ibrahimpatnam and Jhansi</x:v>
      </x:c>
      <x:c r="H24" s="32" t="str">
        <x:v>2,101 employees as on 31 Mar 2026</x:v>
      </x:c>
      <x:c r="I24" s="32" t="str">
        <x:v>₹2,442 crore net sales turnover</x:v>
      </x:c>
      <x:c r="J24" s="32" t="str">
        <x:v>FY2025-26</x:v>
      </x:c>
      <x:c r="K24" s="32" t="str">
        <x:v>Guided missiles, anti-tank guided weapons, surface-to-air missiles, air-to-air missiles, underwater weapons and defence countermeasure systems</x:v>
      </x:c>
      <x:c r="L24" s="32" t="str">
        <x:v>Shailesh Vagerwal — Chairman &amp; Managing Director</x:v>
      </x:c>
      <x:c r="M24" s="32" t="str">
        <x:v>Shailesh Vagerwal — Chairman &amp; Managing Director</x:v>
      </x:c>
      <x:c r="N24" s="32" t="str">
        <x:v>• Shailesh Vagerwal — Chairman &amp; Managing Director
• Commodore Sujay Kapoor (Retd.) — Director (Production)
• Other functional/government nominee directors per FY2025-26 annual report</x:v>
      </x:c>
      <x:c r="O24" s="32" t="str">
        <x:v>• Kanchanbagh / Hyderabad — missile manufacturing and corporate operations
• Bhanur — anti-tank / missile production
• Visakhapatnam — heavy- and lightweight-torpedo production
• Amaravati, Maharashtra — additional manufacturing facility
• Ibrahimpatnam, Telangana — additional manufacturing facility
• Jhansi, Uttar Pradesh — additional manufacturing facility</x:v>
      </x:c>
      <x:c r="P24" s="32" t="str">
        <x:v>https://www.bdl-india.in/annual-reports
https://bdl-india.in/
https://financialfilings.com/filings/bharat-dynamics-limited/annual-report/2026/59455066/
https://www.bdl-india.in/message-cmd</x:v>
      </x:c>
    </x:row>
    <x:row r="25" ht="190" customHeight="1">
      <x:c r="A25" s="32" t="str">
        <x:v>Huta Stalowa Wola (HSW)</x:v>
      </x:c>
      <x:c r="B25" s="32" t="str">
        <x:v>Poland</x:v>
      </x:c>
      <x:c r="C25" s="32" t="n">
        <x:v>5</x:v>
      </x:c>
      <x:c r="D25" s="32" t="str">
        <x:v>Huta Stalowa Wola S.A. (HSW)</x:v>
      </x:c>
      <x:c r="E25" s="32" t="str">
        <x:v>1938</x:v>
      </x:c>
      <x:c r="F25" s="32" t="str">
        <x:v>ul. gen. Tadeusza Kasprzyckiego 8, 37-450 Stalowa Wola, Poland</x:v>
      </x:c>
      <x:c r="G25" s="32" t="str">
        <x:v>Principal operations in Stalowa Wola with branches/acquired facilities in Dęblin and Sanok; part of Polska Grupa Zbrojeniowa (PGZ)</x:v>
      </x:c>
      <x:c r="H25" s="32" t="str">
        <x:v>~2,500 employees including subsidiaries; ~1,700 in Stalowa Wola reported in 2025/26 industry study</x:v>
      </x:c>
      <x:c r="I25" s="32" t="str">
        <x:v>PLN 4.0 billion revenue</x:v>
      </x:c>
      <x:c r="J25" s="32" t="str">
        <x:v>FY2025</x:v>
      </x:c>
      <x:c r="K25" s="32" t="str">
        <x:v>Artillery systems, infantry fighting vehicles, remotely controlled turrets, tracked platforms, engineering and mine-laying systems</x:v>
      </x:c>
      <x:c r="L25" s="32" t="str">
        <x:v>Barbara Cena — President of Management Board &amp; CEO</x:v>
      </x:c>
      <x:c r="M25" s="32" t="str">
        <x:v>Supervisory Board under PGZ ownership</x:v>
      </x:c>
      <x:c r="N25" s="32" t="str">
        <x:v>• Barbara Cena — President of Management Board &amp; CEO from 16 Jul 2026
• Management Board includes functional finance/operations leadership</x:v>
      </x:c>
      <x:c r="O25" s="32" t="str">
        <x:v>• Stalowa Wola — core artillery, turret and tracked-platform production
• Dęblin branch — engineering / special vehicle production including BAOBAB-K
• Sanok branch — expanded manufacturing asset base
• Production expansion includes new lines for Borsuk, Krab and related systems</x:v>
      </x:c>
      <x:c r="P25" s="32" t="str">
        <x:v>https://www.hsw.pl/en/news/announcement-regarding-the-completed-qualification-procedure-for-the-position-of-president-of-the-management-board-general-director-of-hsw-s-a-3/
https://www.hsw.pl/en/company/our-mission/
https://epflicht.ulb.uni-bonn.de/download/pdf/811559</x:v>
      </x:c>
    </x:row>
    <x:row r="26" ht="190" customHeight="1">
      <x:c r="A26" s="32" t="str">
        <x:v>Oshkosh Defense</x:v>
      </x:c>
      <x:c r="B26" s="32" t="str">
        <x:v>US</x:v>
      </x:c>
      <x:c r="C26" s="32" t="n">
        <x:v>5</x:v>
      </x:c>
      <x:c r="D26" s="32" t="str">
        <x:v>Oshkosh Defense</x:v>
      </x:c>
      <x:c r="E26" s="32" t="str">
        <x:v>1917 parent-company roots; Oshkosh Defense brand/business evolved from Oshkosh military-vehicle operations</x:v>
      </x:c>
      <x:c r="F26" s="32" t="str">
        <x:v>2307 Oregon Street, Oshkosh, Wisconsin 54902, United States</x:v>
      </x:c>
      <x:c r="G26" s="32" t="str">
        <x:v>Major U.S. manufacturing footprint in Wisconsin and other U.S. facilities; global defence support for allied customers; part of Oshkosh Corporation Transport segment</x:v>
      </x:c>
      <x:c r="H26" s="32" t="str">
        <x:v>Oshkosh Corporation: ~18,400 employees at 31 Dec 2025; separate Oshkosh Defense employee count not disclosed</x:v>
      </x:c>
      <x:c r="I26" s="32" t="str">
        <x:v>Oshkosh Corporation Transport segment sales: US$2.0967 billion</x:v>
      </x:c>
      <x:c r="J26" s="32" t="str">
        <x:v>FY2025</x:v>
      </x:c>
      <x:c r="K26" s="32" t="str">
        <x:v>Tactical wheeled vehicles, protected mobility, heavy/medium logistics vehicles, weapon-system integration and sustainment</x:v>
      </x:c>
      <x:c r="L26" s="32" t="str">
        <x:v>Steve Nordlund — EVP, Oshkosh Corporation &amp; President, Transport</x:v>
      </x:c>
      <x:c r="M26" s="32" t="str">
        <x:v>John C. Pfeifer — President &amp; CEO, Oshkosh Corporation</x:v>
      </x:c>
      <x:c r="N26" s="32" t="str">
        <x:v>• John C. Pfeifer — President &amp; CEO, Oshkosh Corporation
• Steve Nordlund — EVP &amp; President, Transport
• Nathan Crook — VP Operations, Transport/Oshkosh Defense
• Logan Jones — Chief Growth Officer</x:v>
      </x:c>
      <x:c r="O26" s="32" t="str">
        <x:v>• Oshkosh, Wisconsin — headquarters and principal engineering/manufacturing
• Multiple U.S. production/sustainment sites supporting JLTV, FMTV, HEMTT, PLS and related fleets
• Global field-service and allied-customer support network</x:v>
      </x:c>
      <x:c r="P26" s="32" t="str">
        <x:v>https://www.sec.gov/Archives/edgar/data/775158/000119312526054061/osk-20251231.htm
https://oshkoshdefense.com/about/leadership/
https://oshkoshdefense.com/leadership/steve-nordlund/
https://www.oshkoshcorp.com/news/2025/06-03-25-transport-segment-and-steve-nordlund-as-president</x:v>
      </x:c>
    </x:row>
    <x:row r="27" ht="190" customHeight="1">
      <x:c r="A27" s="32" t="str">
        <x:v>Poongsan</x:v>
      </x:c>
      <x:c r="B27" s="32" t="str">
        <x:v>South Korea</x:v>
      </x:c>
      <x:c r="C27" s="32" t="n">
        <x:v>6</x:v>
      </x:c>
      <x:c r="D27" s="32" t="str">
        <x:v>Poongsan Corporation</x:v>
      </x:c>
      <x:c r="E27" s="32" t="str">
        <x:v>1968</x:v>
      </x:c>
      <x:c r="F27" s="32" t="str">
        <x:v>Poongsan Building, 23 Chungjeong-ro, Seodaemun-gu, Seoul, South Korea</x:v>
      </x:c>
      <x:c r="G27" s="32" t="str">
        <x:v>Domestic plants include Busan and Angang defence-production sites; overseas affiliates and sales/manufacturing network across North America, Europe and Asia</x:v>
      </x:c>
      <x:c r="H27" s="32" t="str">
        <x:v>3,752 employees (Dec 2025 secondary employment database; official annual-report series available)</x:v>
      </x:c>
      <x:c r="I27" s="32" t="str">
        <x:v>KRW 3.849 trillion revenue</x:v>
      </x:c>
      <x:c r="J27" s="32" t="str">
        <x:v>FY2025</x:v>
      </x:c>
      <x:c r="K27" s="32" t="str">
        <x:v>Non-ferrous metals and defence manufacturing; small-, medium- and large-calibre ammunition, propellants, components and precision products</x:v>
      </x:c>
      <x:c r="L27" s="32" t="str">
        <x:v>Jin Ryu — Chairman &amp; CEO; Woo-Dong Park — Representative Director / Vice Chairman</x:v>
      </x:c>
      <x:c r="M27" s="32" t="str">
        <x:v>Jin Ryu — Chairman &amp; CEO</x:v>
      </x:c>
      <x:c r="N27" s="32" t="str">
        <x:v>• Jin Ryu — Chairman &amp; CEO
• Woo-Dong Park — Representative Director / Vice Chairman
• Se-Young Hwang — Executive Director / Vice President
• Board also includes independent directors per 2026 governance disclosure</x:v>
      </x:c>
      <x:c r="O27" s="32" t="str">
        <x:v>• Busan plant — defence ammunition production
• Angang plant — defence ammunition production
• Seoul — corporate headquarters
• Vertically integrated ammunition manufacturing from raw materials/components to finished rounds
• Core component production includes primers, fuzes, links, rotating bands, tungsten penetrators and shell bodies</x:v>
      </x:c>
      <x:c r="P27" s="32" t="str">
        <x:v>https://www.poongsan.co.kr/ir/disclosure/annual_report
https://www.poongsan.co.kr/include/images/ir/2025%20Annual%20Reprot_F.pdf
https://www.poongsan.co.kr/ir/financial/information
https://www.poongsan.co.kr/en/company/ceo/profile
https://www.poongsan.co.kr/ir/disclosure/information
https://www.poongsan.co.kr/en/product/special/military
https://www.poongsan.co.kr/en/product/special/ammunition
https://job.gg.go.kr/empmn/desEntDtl.do?bizrno=1258175323</x:v>
      </x:c>
    </x:row>
    <x:row r="28" ht="190" customHeight="1">
      <x:c r="A28" s="32" t="str">
        <x:v>Nammo</x:v>
      </x:c>
      <x:c r="B28" s="32" t="str">
        <x:v>Norway</x:v>
      </x:c>
      <x:c r="C28" s="32" t="n">
        <x:v>6</x:v>
      </x:c>
      <x:c r="D28" s="32" t="str">
        <x:v>Nammo</x:v>
      </x:c>
      <x:c r="E28" s="32" t="str">
        <x:v>1998</x:v>
      </x:c>
      <x:c r="F28" s="32" t="str">
        <x:v>Enggata 40, 2830 Raufoss, Norway</x:v>
      </x:c>
      <x:c r="G28" s="32" t="str">
        <x:v>27 production sites across 12 countries; major operations across Norway, Sweden, Finland, Denmark and the United States, plus Brussels office</x:v>
      </x:c>
      <x:c r="H28" s="32" t="str">
        <x:v>4,200 employees at end-2025</x:v>
      </x:c>
      <x:c r="I28" s="32" t="str">
        <x:v>NOK 14.41 billion revenue</x:v>
      </x:c>
      <x:c r="J28" s="32" t="str">
        <x:v>FY2025</x:v>
      </x:c>
      <x:c r="K28" s="32" t="str">
        <x:v>Aerospace and defence; small/medium/large calibre ammunition, shoulder-fired weapons, rocket motors and demilitarisation</x:v>
      </x:c>
      <x:c r="L28" s="32" t="str">
        <x:v>Morten Brandtzæg — President &amp; CEO</x:v>
      </x:c>
      <x:c r="M28" s="32" t="str">
        <x:v>Panu Routila — Chair</x:v>
      </x:c>
      <x:c r="N28" s="32" t="str">
        <x:v>• Panu Routila — Chair
• Dag Schjerven — Vice Chair
• Morten Brandtzæg — President &amp; CEO
• Lars Furuseth — SVP Finance &amp; CFO
• Fredrik Erninge — EVP Small &amp; Medium Caliber Ammunition
• Vegard Sande — EVP Large Caliber Systems
• Stein Erik Nodeland — EVP Aerospace Propulsion</x:v>
      </x:c>
      <x:c r="O28" s="32" t="str">
        <x:v>• Raufoss, Norway — headquarters / ammunition / shoulder-fired systems
• Mesa, Arizona — Nammo Defense Systems, shoulder-fired systems
• Manufacturing facilities across Norway, Sweden, Finland, Denmark and United States
• 27 production sites in 12 countries
• 2025 expansion programme added/upgraded production capacity in Europe and US</x:v>
      </x:c>
      <x:c r="P28" s="32" t="str">
        <x:v>https://www.nammo.com/about-us/
https://www.nammo.com/about-us/finance/
https://www.nammo.com/about-us/management/
https://www.nammo.com/about-us/board-of-directors/</x:v>
      </x:c>
    </x:row>
    <x:row r="29" ht="190" customHeight="1">
      <x:c r="A29" s="32" t="str">
        <x:v>SIG Sauer</x:v>
      </x:c>
      <x:c r="B29" s="32" t="str">
        <x:v>US</x:v>
      </x:c>
      <x:c r="C29" s="32" t="n">
        <x:v>6</x:v>
      </x:c>
      <x:c r="D29" s="32" t="str">
        <x:v>SIG SAUER, Inc.</x:v>
      </x:c>
      <x:c r="E29" s="32" t="str">
        <x:v>US operations established 1985 as SIGARMS; SIG SAUER, Inc. name adopted later</x:v>
      </x:c>
      <x:c r="F29" s="32" t="str">
        <x:v>Newington, New Hampshire, United States</x:v>
      </x:c>
      <x:c r="G29" s="32" t="str">
        <x:v>Approximately 1.5 million sq ft across US offices, manufacturing, R&amp;D and training; New Hampshire, Oregon, Arkansas and North Carolina major sites</x:v>
      </x:c>
      <x:c r="H29" s="32" t="str">
        <x:v>2,000+ employees (official company page)</x:v>
      </x:c>
      <x:c r="I29" s="32" t="str">
        <x:v>Not publicly disclosed — privately held</x:v>
      </x:c>
      <x:c r="J29" s="32" t="str">
        <x:v>Latest public company disclosure</x:v>
      </x:c>
      <x:c r="K29" s="32" t="str">
        <x:v>Integrated weapons systems; military small arms, machine guns, pistols, ammunition, suppressors, optics and advanced concepts</x:v>
      </x:c>
      <x:c r="L29" s="32" t="str">
        <x:v>Ron Cohen — President &amp; CEO</x:v>
      </x:c>
      <x:c r="M29" s="32" t="str">
        <x:v>Privately held; separate board chair not publicly disclosed</x:v>
      </x:c>
      <x:c r="N29" s="32" t="str">
        <x:v>• Ron Cohen — President &amp; CEO
• Defence business operates as integrated firearms/ammunition/optics/suppressor provider</x:v>
      </x:c>
      <x:c r="O29" s="32" t="str">
        <x:v>• Newington, New Hampshire — global headquarters
• New Hampshire — firearms manufacturing, testing, R&amp;D and SIG SAUER Academy
• Tualatin, Oregon — electro-optics
• Jacksonville, Arkansas — ammunition R&amp;D and production; JAAC 210,000 sq ft NGSW ammunition facility
• Sanford, North Carolina — Advanced Concepts / drone and warfighter technologies</x:v>
      </x:c>
      <x:c r="P29" s="32" t="str">
        <x:v>https://www.sigsauer.com/company
https://www.sigsauer.com/blog/celebrating-americas-250th-new-film-features-sig-sauers-world-class-american-manufacturing
https://www.sigsauer.com/careers-at-sig-sauer
https://www.sigsauer.com/blog/sig-sauer-opens-jacksonville-arkansas-ammunition-center-
https://www.sigsauer.com/blog/sig-sauer-celebrates-major-milestone-100-million-round-annual-68mm-ammunition-capacity</x:v>
      </x:c>
    </x:row>
    <x:row r="30" ht="190" customHeight="1">
      <x:c r="A30" s="32" t="str">
        <x:v>SSS Defence</x:v>
      </x:c>
      <x:c r="B30" s="32" t="str">
        <x:v>India</x:v>
      </x:c>
      <x:c r="C30" s="32" t="n">
        <x:v>6</x:v>
      </x:c>
      <x:c r="D30" s="32" t="str">
        <x:v>SSS Defence</x:v>
      </x:c>
      <x:c r="E30" s="32" t="str">
        <x:v>2017</x:v>
      </x:c>
      <x:c r="F30" s="32" t="str">
        <x:v>No. 4, Bommasandra Industrial Area, Jigani Link Road, Bommasandra, Bengaluru 560099, Karnataka, India</x:v>
      </x:c>
      <x:c r="G30" s="32" t="str">
        <x:v>Primary small-arms engineering/manufacturing in Bengaluru; SSS-CBC ammunition manufacturing facility operational in Anantapur, Andhra Pradesh</x:v>
      </x:c>
      <x:c r="H30" s="32" t="str">
        <x:v>51–200 employees; LinkedIn currently exposes ~100 employee profiles</x:v>
      </x:c>
      <x:c r="I30" s="32" t="str">
        <x:v>Not publicly disclosed — privately held; historical SIDM directory classified company as ≤₹100 crore turnover in FY2018-19</x:v>
      </x:c>
      <x:c r="J30" s="32" t="str">
        <x:v>Current revenue not publicly disclosed</x:v>
      </x:c>
      <x:c r="K30" s="32" t="str">
        <x:v>Small arms, sniper/precision rifles, SMGs, handguns, small/medium-calibre ammunition and counter-UAS systems</x:v>
      </x:c>
      <x:c r="L30" s="32" t="str">
        <x:v>Vivek Krishnan — CEO &amp; Co-Founder</x:v>
      </x:c>
      <x:c r="M30" s="32" t="str">
        <x:v>Privately held family/group business; separate board chair not publicly disclosed</x:v>
      </x:c>
      <x:c r="N30" s="32" t="str">
        <x:v>• Vivek Krishnan — CEO &amp; Co-Founder
• Dinesh Torka — Co-Founder
• Parent heritage: Stumpp Schuele &amp; Somappa Group</x:v>
      </x:c>
      <x:c r="O30" s="32" t="str">
        <x:v>• Bommasandra, Bengaluru — defence engineering / small-arms manufacturing
• Anantapur, Andhra Pradesh — SSS-CBC ammunition manufacturing facility
• Integrated in-house design, qualification and serial production of small arms</x:v>
      </x:c>
      <x:c r="P30" s="32" t="str">
        <x:v>https://www.sssdefence.com/about
https://www.sssdefence.com/
https://in.linkedin.com/company/sss-defence
https://www.sidm.in/files/SIDM%20Members%20Directory%202020-21.pdf
https://www.sssdefence.com/ammunition
https://theprint.in/defence/homegrown-sss-defence-makes-its-debut-in-the-indian-army-its-shotgun-to-tackle-drones/2969646/</x:v>
      </x:c>
    </x:row>
    <x:row r="31" ht="190" customHeight="1">
      <x:c r="A31" s="32" t="str">
        <x:v>Rafael Advanced Defense Systems</x:v>
      </x:c>
      <x:c r="B31" s="32" t="str">
        <x:v>Israel</x:v>
      </x:c>
      <x:c r="C31" s="32" t="n">
        <x:v>6</x:v>
      </x:c>
      <x:c r="D31" s="32" t="str">
        <x:v>Rafael Advanced Defense Systems</x:v>
      </x:c>
      <x:c r="E31" s="32" t="str">
        <x:v>1948</x:v>
      </x:c>
      <x:c r="F31" s="32" t="str">
        <x:v>Haifa, Israel</x:v>
      </x:c>
      <x:c r="G31" s="32" t="str">
        <x:v>Major Israeli operations in northern Israel plus new Hadera branch; worldwide subsidiaries/JVs and customer-support presence across Europe, Asia, Americas and other markets</x:v>
      </x:c>
      <x:c r="H31" s="32" t="str">
        <x:v>10,395 employees including students at end-2024; 9,588 permanent employees</x:v>
      </x:c>
      <x:c r="I31" s="32" t="str">
        <x:v>Approx. NIS 21.7 billion / US$6.28 billion sales</x:v>
      </x:c>
      <x:c r="J31" s="32" t="str">
        <x:v>FY2025</x:v>
      </x:c>
      <x:c r="K31" s="32" t="str">
        <x:v>State-owned aerospace and defence; missiles, air defence, precision strike, active protection, naval systems, remote weapon stations and advanced sensors</x:v>
      </x:c>
      <x:c r="L31" s="32" t="str">
        <x:v>Yoav Turgeman — President &amp; CEO</x:v>
      </x:c>
      <x:c r="M31" s="32" t="str">
        <x:v>Dr. Yuval Steinitz — Chairman</x:v>
      </x:c>
      <x:c r="N31" s="32" t="str">
        <x:v>• Dr. Yuval Steinitz — Chairman of the Board
• Yoav Turgeman — President &amp; CEO
• Government-owned Israeli defence company</x:v>
      </x:c>
      <x:c r="O31" s="32" t="str">
        <x:v>• Haifa / northern Israel — principal headquarters and engineering/production
• Hadera — development branch opened in 2024
• Global subsidiaries, partnerships and JVs including Kalyani Rafael Advanced Systems in India</x:v>
      </x:c>
      <x:c r="P31" s="32" t="str">
        <x:v>https://www.rafael.co.il/wp-content/uploads/2026/02/Refael_ESG2024_ENG_170226digital.pdf
https://www.rafael.co.il/wp-content/uploads/2024/05/RAFAELs-Ethical-Code.pdf
https://www.ynetnews.com/business/article/skxp001xj11x
https://www.aeromagasia.com/news/aerospace/rafael-reports-record-growth-in-2025-with-strong-operational-performance
https://krasindia.com/leadership.php</x:v>
      </x:c>
    </x:row>
    <x:row r="32" ht="190" customHeight="1">
      <x:c r="A32" s="32" t="str">
        <x:v>KONGSBERG</x:v>
      </x:c>
      <x:c r="B32" s="32" t="str">
        <x:v>Norway</x:v>
      </x:c>
      <x:c r="C32" s="32" t="n">
        <x:v>7</x:v>
      </x:c>
      <x:c r="D32" s="32" t="str">
        <x:v>KONGSBERG / Kongsberg Defence &amp; Aerospace</x:v>
      </x:c>
      <x:c r="E32" s="32" t="str">
        <x:v>1814 industrial roots; Kongsberg Gruppen ASA established as current listed group structure later</x:v>
      </x:c>
      <x:c r="F32" s="32" t="str">
        <x:v>Kirkegårdsveien 45, Kongsberg, Norway</x:v>
      </x:c>
      <x:c r="G32" s="32" t="str">
        <x:v>International group presence across 40 countries; defence production and support in Norway, United States and Australia, including new NSM/JSM missile factories in Virginia and Newcastle, Australia</x:v>
      </x:c>
      <x:c r="H32" s="32" t="str">
        <x:v>15,000+ employees for the legacy 2025 KONGSBERG group before Kongsberg Maritime demerger; current defence-focused group is smaller after April 2026 separation</x:v>
      </x:c>
      <x:c r="I32" s="32" t="str">
        <x:v>NOK 58.6 billion total legacy-group revenue; Kongsberg Defence &amp; Aerospace segment revenue NOK 25.32 billion</x:v>
      </x:c>
      <x:c r="J32" s="32" t="str">
        <x:v>FY2025</x:v>
      </x:c>
      <x:c r="K32" s="32" t="str">
        <x:v>Defence, security, surveillance, missiles, air defence, remote weapon systems, space and advanced sensors</x:v>
      </x:c>
      <x:c r="L32" s="32" t="str">
        <x:v>Geir Håøy — President &amp; CEO</x:v>
      </x:c>
      <x:c r="M32" s="32" t="str">
        <x:v>Eivind Reiten — Chair of the Board</x:v>
      </x:c>
      <x:c r="N32" s="32" t="str">
        <x:v>• Eivind Reiten — Chair
• Geir Håøy — President &amp; CEO
• Merete Hverven — Board member
• Morten Henriksen — Board member
• Marianne Wiinholt — Board member
• Pål Eitrheim — Board member
• Eirik Lie — EVP KONGSBERG / President Kongsberg Defence &amp; Aerospace</x:v>
      </x:c>
      <x:c r="O32" s="32" t="str">
        <x:v>• Kongsberg, Norway — headquarters and core missile/defence engineering
• Norway — expanded missile production facilities
• Toano / James City County, Virginia — U.S. NSM/JSM missile manufacturing and maintenance facility under construction
• Newcastle / Astra Aerolab, Australia — NSM/JSM missile factory planned for 2027 production
• Global remote-weapon, air-defence and missile support network</x:v>
      </x:c>
      <x:c r="P32" s="32" t="str">
        <x:v>https://www.kongsberg.com/globalassets/kongsberg/4.-investor-relations/4.-reports-and-presentations/annual-report/annual-report-2025/annual-report-english-2025-v2.pdf
https://live.euronext.com/en/products/equities/company-news/2026-03-23-annual-report-2025
https://www.kongsberg.com/about-us/management-and-organisation/board-of-directors/
https://www.kongsberg.com/news/news-archive/2026/kongsberg-protecting-people-and-planet--from-deep-sea-to-space/
https://www.kongsberg.com/about-us/usa/usa-news-archive/2026/groundbreaking-for-kongsbergs-missile-manufacturing-and-maintenance-facility-in-james-city-county-virginia/
https://www.kongsberg.com/no/about-us/australia/australia-news-archive/2026/kongsberg-missile-factory-construction-milestone-reached/</x:v>
      </x:c>
    </x:row>
    <x:row r="33" ht="190" customHeight="1">
      <x:c r="A33" s="32" t="str">
        <x:v>MBDA</x:v>
      </x:c>
      <x:c r="B33" s="32" t="str">
        <x:v>Europe</x:v>
      </x:c>
      <x:c r="C33" s="32" t="n">
        <x:v>7</x:v>
      </x:c>
      <x:c r="D33" s="32" t="str">
        <x:v>MBDA</x:v>
      </x:c>
      <x:c r="E33" s="32" t="str">
        <x:v>2001</x:v>
      </x:c>
      <x:c r="F33" s="32" t="str">
        <x:v>1 Avenue Réaumur, 92350 Le Plessis-Robinson, France</x:v>
      </x:c>
      <x:c r="G33" s="32" t="str">
        <x:v>Major industrial operations in France, Germany, Italy, Spain and the United Kingdom; joint ownership by Airbus, BAE Systems and Leonardo</x:v>
      </x:c>
      <x:c r="H33" s="32" t="str">
        <x:v>20,000+ employees</x:v>
      </x:c>
      <x:c r="I33" s="32" t="str">
        <x:v>€5.8 billion revenue</x:v>
      </x:c>
      <x:c r="J33" s="32" t="str">
        <x:v>FY2025</x:v>
      </x:c>
      <x:c r="K33" s="32" t="str">
        <x:v>Complex weapon systems; air-to-air, air-defence, anti-ship, deep-strike, battlefield and loitering munitions</x:v>
      </x:c>
      <x:c r="L33" s="32" t="str">
        <x:v>Eric Béranger — CEO through 31 Oct 2026; Jean-Brice Dumont appointed CEO from 1 Nov 2026</x:v>
      </x:c>
      <x:c r="M33" s="32" t="str">
        <x:v>Multinational governance / shareholder board; no single public operating chairman emphasized in current group disclosures</x:v>
      </x:c>
      <x:c r="N33" s="32" t="str">
        <x:v>• Eric Béranger — CEO through 31 Oct 2026
• Jean-Brice Dumont — appointed CEO effective 1 Nov 2026
• Renzo Tosini — EVP Sales &amp; Business Development / MD MBDA Italia
• Owned by Airbus 37.5%, BAE Systems 37.5%, Leonardo 25%</x:v>
      </x:c>
      <x:c r="O33" s="32" t="str">
        <x:v>• France — Le Plessis-Robinson and multiple missile/engineering sites
• United Kingdom — Stevenage, Bolton and other MBDA UK facilities
• Germany — Schrobenhausen and related operations
• Italy — major operations plus new Turin and Pomigliano sites opened in 2025
• Spain — MBDA España activities
• Production doubled between 2023 and end-2025; further 40% production rise planned for 2026</x:v>
      </x:c>
      <x:c r="P33" s="32" t="str">
        <x:v>https://www.mbda-systems.com/mbda-stepping-new-strategic-dimension
https://www.mbda-systems.com/jean-brice-dumont-appointed-ceo-mbda
https://www.mbda-systems.com/renzo-tosini-appointed-mbda-executive-vice-president-sales-business-development
https://find-and-update.company-information.service.gov.uk/company/03144919/filing-history
https://www.pappers.fr/entreprise/mbda-france-378168470</x:v>
      </x:c>
    </x:row>
    <x:row r="34" ht="190" customHeight="1">
      <x:c r="A34" s="32" t="str">
        <x:v>Israel Aerospace Industries (IAI)</x:v>
      </x:c>
      <x:c r="B34" s="32" t="str">
        <x:v>Israel</x:v>
      </x:c>
      <x:c r="C34" s="32" t="n">
        <x:v>7</x:v>
      </x:c>
      <x:c r="D34" s="32" t="str">
        <x:v>Israel Aerospace Industries (IAI)</x:v>
      </x:c>
      <x:c r="E34" s="32" t="str">
        <x:v>1953</x:v>
      </x:c>
      <x:c r="F34" s="32" t="str">
        <x:v>Ben Gurion International Airport / Lod area, Israel</x:v>
      </x:c>
      <x:c r="G34" s="32" t="str">
        <x:v>Global aerospace and defence business with the majority of management and manufacturing activity in Israel; international subsidiaries, partnerships and support presence worldwide</x:v>
      </x:c>
      <x:c r="H34" s="32" t="str">
        <x:v>15,015 employees as of 31 Dec 2025</x:v>
      </x:c>
      <x:c r="I34" s="32" t="str">
        <x:v>US$7.384 billion revenue</x:v>
      </x:c>
      <x:c r="J34" s="32" t="str">
        <x:v>FY2025</x:v>
      </x:c>
      <x:c r="K34" s="32" t="str">
        <x:v>Aerospace and defence; missiles, ballistic-missile defence, loitering munitions, UAVs, radars, space systems, military aircraft and naval systems</x:v>
      </x:c>
      <x:c r="L34" s="32" t="str">
        <x:v>Moshe Levy — Acting CEO pending completion of permanent CEO appointment; Guy Barlev selected by Board on 21 Jul 2026 subject to statutory approvals</x:v>
      </x:c>
      <x:c r="M34" s="32" t="str">
        <x:v>Boaz Levy — Chairman of the Board</x:v>
      </x:c>
      <x:c r="N34" s="32" t="str">
        <x:v>• Boaz Levy — Chairman
• Moshe Levy — Acting President &amp; CEO during transition
• Guy Barlev — Board-selected permanent CEO, appointment pending statutory approvals as of Jul 2026
• Eran Anchikovsky — EVP &amp; CFO</x:v>
      </x:c>
      <x:c r="O34" s="32" t="str">
        <x:v>• Majority of management and manufacturing facilities located in Israel
• Systems, Missiles &amp; Space Group — strategic missiles / air-defence / loitering munitions
• ELTA Systems — radars and sensors
• Military Aircraft Group and Aviation Group — aircraft/UAS and aviation operations
• Global subsidiaries and customer-support operations</x:v>
      </x:c>
      <x:c r="P34" s="32" t="str">
        <x:v>https://www.iai.co.il/press/iai-annual-financial-results-for-2025/
https://www.iai.co.il/wp-content/uploads/2026/04/IAI_Sustainability_Report_2025_English_31_3_26.pdf
https://www.iai.co.il/press/ceo-of-an-israeli-government-owned-company-has-been-appointed-chairman/
https://www.iai.co.il/news/iai-board-appoints-guy-barlev-as-company-ceo/
https://www.iai.co.il/press/financial-statements-q1-2026/</x:v>
      </x:c>
    </x:row>
    <x:row r="35" ht="190" customHeight="1">
      <x:c r="A35" s="32" t="str">
        <x:v>L3Harris</x:v>
      </x:c>
      <x:c r="B35" s="32" t="str">
        <x:v>US</x:v>
      </x:c>
      <x:c r="C35" s="32" t="n">
        <x:v>7</x:v>
      </x:c>
      <x:c r="D35" s="32" t="str">
        <x:v>L3Harris Technologies</x:v>
      </x:c>
      <x:c r="E35" s="32" t="str">
        <x:v>2019 current company formed by merger of L3 Technologies and Harris Corporation</x:v>
      </x:c>
      <x:c r="F35" s="32" t="str">
        <x:v>1025 West NASA Boulevard, Melbourne, Florida 32919, United States</x:v>
      </x:c>
      <x:c r="G35" s="32" t="str">
        <x:v>Approximately 90% of workforce in the U.S.; corporate/international locations in Australia, Canada, India, Italy, Poland, South Korea, Taiwan and United Kingdom</x:v>
      </x:c>
      <x:c r="H35" s="32" t="str">
        <x:v>Approximately 45,000 employees as of 2 Jan 2026</x:v>
      </x:c>
      <x:c r="I35" s="32" t="str">
        <x:v>US$21.865 billion revenue</x:v>
      </x:c>
      <x:c r="J35" s="32" t="str">
        <x:v>FY2025</x:v>
      </x:c>
      <x:c r="K35" s="32" t="str">
        <x:v>Aerospace and defence technology; communications, mission systems, space, ISR, EO/IR, UAVs, missile systems and rocket propulsion</x:v>
      </x:c>
      <x:c r="L35" s="32" t="str">
        <x:v>Sam Mehta — President &amp; CEO (effective 17 Aug 2026)</x:v>
      </x:c>
      <x:c r="M35" s="32" t="str">
        <x:v>Lewis Hay III — Independent Chairman</x:v>
      </x:c>
      <x:c r="N35" s="32" t="str">
        <x:v>• Sam Mehta — President &amp; CEO
• Lewis Hay III — Independent Chairman
• Lauren Barnes — President, Space &amp; Mission Systems
• Christopher Aebli — President, Communications &amp; Spectrum Dominance
• Kenneth Bedingfield — senior finance / missile-solutions leadership in 2026 transition disclosures</x:v>
      </x:c>
      <x:c r="O35" s="32" t="str">
        <x:v>• Melbourne, Florida — corporate headquarters
• Ashburn, Virginia — launched-effects / Red Wolf production line
• Multiple U.S. manufacturing and engineering sites across communications, space, missile and mission systems
• International corporate locations in Australia, Canada, India, Italy, Poland, South Korea, Taiwan and UK</x:v>
      </x:c>
      <x:c r="P35" s="32" t="str">
        <x:v>https://www.l3harris.com/sites/default/files/2026-04/L3Harris-2025-Annual-Report.pdf
https://www.sec.gov/Archives/edgar/data/202058/000020205826000015/hrs-20260102.htm
https://investors.l3harris.com/news/news-details/2026/L3Harris-Technologies-Appoints-Sam-Mehta-Proven-Aerospace-and-Defense-Executive-as-President-and-Chief-Executive-Officer/default.aspx
https://www.l3harris.com/about-us
https://www.l3harris.com/sites/default/files/2025-07/launched-effects-red-wolf-sell-sheet-l3harris-sas-acs.pdf</x:v>
      </x:c>
    </x:row>
    <x:row r="36" ht="190" customHeight="1">
      <x:c r="A36" s="32" t="str">
        <x:v>Northrop Grumman</x:v>
      </x:c>
      <x:c r="B36" s="32" t="str">
        <x:v>US</x:v>
      </x:c>
      <x:c r="C36" s="32" t="n">
        <x:v>7</x:v>
      </x:c>
      <x:c r="D36" s="32" t="str">
        <x:v>Northrop Grumman</x:v>
      </x:c>
      <x:c r="E36" s="32" t="str">
        <x:v>1994 current Northrop Grumman corporation formed; Northrop heritage dates to 1939</x:v>
      </x:c>
      <x:c r="F36" s="32" t="str">
        <x:v>2980 Fairview Park Drive, Falls Church, Virginia 22042, United States</x:v>
      </x:c>
      <x:c r="G36" s="32" t="str">
        <x:v>Approximately 446 locations and 53 million sq ft of floor space at end-2025, primarily in U.S.; significant operations in California, Maryland, Utah, Virginia, Florida, Arizona, Colorado and other states plus international sites</x:v>
      </x:c>
      <x:c r="H36" s="32" t="str">
        <x:v>Approximately 95,000 employees as of 31 Dec 2025</x:v>
      </x:c>
      <x:c r="I36" s="32" t="str">
        <x:v>US$41.954 billion sales</x:v>
      </x:c>
      <x:c r="J36" s="32" t="str">
        <x:v>FY2025</x:v>
      </x:c>
      <x:c r="K36" s="32" t="str">
        <x:v>Aerospace and defence; military aircraft, UAVs, missiles, armament systems, ammunition, mission systems, space and strategic deterrence</x:v>
      </x:c>
      <x:c r="L36" s="32" t="str">
        <x:v>Kathy J. Warden — Chair, CEO &amp; President</x:v>
      </x:c>
      <x:c r="M36" s="32" t="str">
        <x:v>Kathy J. Warden — Chair</x:v>
      </x:c>
      <x:c r="N36" s="32" t="str">
        <x:v>• Kathy J. Warden — Chair, CEO &amp; President
• John T. Greene — CFO
• Thomas H. Jones — President, Aeronautics Systems
• Benjamin R. Davies — President, Defense Systems
• Roshan S. Roeder — President, Mission Systems
• Robert J. Fleming — President, Space Systems</x:v>
      </x:c>
      <x:c r="O36" s="32" t="str">
        <x:v>• Falls Church, Virginia — corporate headquarters
• Palmdale / San Diego / El Segundo, California — major aeronautics operations
• Maryland — major Mission Systems facilities around Baltimore/Annapolis
• Utah — major Space and Defense Systems facilities
• Allegany Ballistics Laboratory / West Virginia — missile integration and energetic systems
• 446 separate operating locations at end-2025</x:v>
      </x:c>
      <x:c r="P36" s="32" t="str">
        <x:v>https://cdn.northropgrumman.com/-/media/Project/Northrop-Grumman/ngc/who-we-are/corporate-responsibility/2025-Annual-Report-Northrop-Grumman.pdf?rev=6725192060ff4fd79c041d38cc4b842b
https://www.sec.gov/Archives/edgar/data/1133421/000113342126000003/noc-20251231.htm
https://www.northropgrumman.com/who-we-are/annual-reports
https://www.northropgrumman.com/what-we-do/advanced-weapons/new-factory-to-launch-new-era-in-missile-production</x:v>
      </x:c>
    </x:row>
    <x:row r="37" ht="190" customHeight="1">
      <x:c r="A37" s="32" t="str">
        <x:v>Lockheed Martin</x:v>
      </x:c>
      <x:c r="B37" s="32" t="str">
        <x:v>US</x:v>
      </x:c>
      <x:c r="C37" s="32" t="n">
        <x:v>8</x:v>
      </x:c>
      <x:c r="D37" s="32" t="str">
        <x:v>Lockheed Martin</x:v>
      </x:c>
      <x:c r="E37" s="32" t="str">
        <x:v>1995 current corporation from Lockheed + Martin Marietta merger</x:v>
      </x:c>
      <x:c r="F37" s="32" t="str">
        <x:v>6801 Rockledge Drive, Bethesda, Maryland 20817, United States</x:v>
      </x:c>
      <x:c r="G37" s="32" t="str">
        <x:v>340+ facilities; approximately 93% of workforce in the U.S.; extensive operations in Texas, Florida, Arkansas, Alabama, California, Colorado, New Jersey and other U.S. states plus international operations/suppliers in 50+ countries</x:v>
      </x:c>
      <x:c r="H37" s="32" t="str">
        <x:v>Approximately 123,000 employees at 31 Dec 2025</x:v>
      </x:c>
      <x:c r="I37" s="32" t="str">
        <x:v>US$75.048 billion total sales</x:v>
      </x:c>
      <x:c r="J37" s="32" t="str">
        <x:v>FY2025</x:v>
      </x:c>
      <x:c r="K37" s="32" t="str">
        <x:v>Aerospace and defence; missiles, fire control, naval combat systems, aircraft, space, sensors, autonomy and strategic deterrence</x:v>
      </x:c>
      <x:c r="L37" s="32" t="str">
        <x:v>James D. Taiclet — Chairman, President &amp; CEO</x:v>
      </x:c>
      <x:c r="M37" s="32" t="str">
        <x:v>James D. Taiclet — Chairman</x:v>
      </x:c>
      <x:c r="N37" s="32" t="str">
        <x:v>• James D. Taiclet — Chairman, President &amp; CEO
• Frank A. St. John — Chief Operating Officer
• Jay Malave — Chief Financial Officer
• Gregory M. Ulmer — President, Aeronautics
• Stephanie C. Hill — President, Rotary and Mission Systems
• Robert M. Lightfoot — President, Space
• Tim Cahill — President, Missiles and Fire Control</x:v>
      </x:c>
      <x:c r="O37" s="32" t="str">
        <x:v>• Bethesda, Maryland — corporate headquarters
• Camden, Arkansas — missile production including PAC-3 and other precision weapons
• Troy, Alabama — missile manufacturing
• Orlando, Florida — Missiles and Fire Control engineering / fire-control systems
• Moorestown, New Jersey — Aegis / radar integration
• Dallas / Fort Worth, Texas — major defence manufacturing and integration
• 340+ facilities worldwide</x:v>
      </x:c>
      <x:c r="P37" s="32" t="str">
        <x:v>https://www.sec.gov/Archives/edgar/data/936468/000162828026004195/lmt-20251231.htm
https://www.lockheedmartin.com/en-us/who-we-are.html
https://www.lockheedmartin.com/en-us/news/annual-reports.html
https://www.lockheedmartin.com/en-us/who-we-are/leadership-governance.html</x:v>
      </x:c>
    </x:row>
    <x:row r="38" ht="190" customHeight="1">
      <x:c r="A38" s="32" t="str">
        <x:v>RTX (Raytheon)</x:v>
      </x:c>
      <x:c r="B38" s="32" t="str">
        <x:v>US</x:v>
      </x:c>
      <x:c r="C38" s="32" t="n">
        <x:v>8</x:v>
      </x:c>
      <x:c r="D38" s="32" t="str">
        <x:v>RTX / Raytheon</x:v>
      </x:c>
      <x:c r="E38" s="32" t="str">
        <x:v>2020 Raytheon Technologies formed; renamed RTX in 2023</x:v>
      </x:c>
      <x:c r="F38" s="32" t="str">
        <x:v>1000 Wilson Boulevard, Arlington, Virginia 22209, United States</x:v>
      </x:c>
      <x:c r="G38" s="32" t="str">
        <x:v>Approximately 180,000 employees in 52 countries; Raytheon defence business headquartered at 1100 Wilson Blvd, Arlington with major missile/defence facilities in Tucson, Huntsville, Andover, Louisville and other U.S. locations</x:v>
      </x:c>
      <x:c r="H38" s="32" t="str">
        <x:v>Approximately 180,000 employees at 31 Dec 2025</x:v>
      </x:c>
      <x:c r="I38" s="32" t="str">
        <x:v>US$88.603 billion total net sales</x:v>
      </x:c>
      <x:c r="J38" s="32" t="str">
        <x:v>FY2025</x:v>
      </x:c>
      <x:c r="K38" s="32" t="str">
        <x:v>Aerospace and defence technology; Raytheon missiles, air/missile defence, naval weapons, precision munitions, sensors and counter-UAS plus Collins Aerospace and Pratt &amp; Whitney</x:v>
      </x:c>
      <x:c r="L38" s="32" t="str">
        <x:v>Christopher T. Calio — Chairman &amp; CEO</x:v>
      </x:c>
      <x:c r="M38" s="32" t="str">
        <x:v>Christopher T. Calio — Chairman</x:v>
      </x:c>
      <x:c r="N38" s="32" t="str">
        <x:v>• Christopher T. Calio — Chairman &amp; CEO
• Neil G. Mitchill Jr. — EVP &amp; CFO
• Phil Jasper — President, Raytheon
• Shane G. Eddy — President, Pratt &amp; Whitney
• Troy D. Brunk — President, Collins Aerospace</x:v>
      </x:c>
      <x:c r="O38" s="32" t="str">
        <x:v>• Arlington, Virginia — RTX and Raytheon headquarters
• Tucson, Arizona — major Raytheon missile production
• Huntsville, Alabama — missile and defence production
• Andover, Massachusetts — air/missile defence electronics and production
• Louisville, Kentucky — Phalanx/SeaRAM naval systems
• Jacksonville/other U.S. sites support munitions and subsystem production</x:v>
      </x:c>
      <x:c r="P38" s="32" t="str">
        <x:v>https://www.sec.gov/Archives/edgar/data/101829/000010182926000006/rtx-20251231.htm
https://www.rtx.com/who-we-are/our-leadership
https://www.rtx.com/locations
https://investors.rtx.com/financial-information/annual-reports</x:v>
      </x:c>
    </x:row>
    <x:row r="39" ht="190" customHeight="1">
      <x:c r="A39" s="32" t="str">
        <x:v>SAAB</x:v>
      </x:c>
      <x:c r="B39" s="32" t="str">
        <x:v>Sweden</x:v>
      </x:c>
      <x:c r="C39" s="32" t="n">
        <x:v>8</x:v>
      </x:c>
      <x:c r="D39" s="32" t="str">
        <x:v>Saab AB</x:v>
      </x:c>
      <x:c r="E39" s="32" t="str">
        <x:v>1937</x:v>
      </x:c>
      <x:c r="F39" s="32" t="str">
        <x:v>Olof Palmes gata 17, 111 22 Stockholm, Sweden; main office in Linköping</x:v>
      </x:c>
      <x:c r="G39" s="32" t="str">
        <x:v>Employees in 30+ countries; customers in 100+ countries; major Swedish operations in Linköping, Karlskoga, Karlskrona, Järfälla and Gothenburg plus sites in the U.S., UK, Australia, Finland and other markets</x:v>
      </x:c>
      <x:c r="H39" s="32" t="str">
        <x:v>Approximately 28,000 employees in 2025</x:v>
      </x:c>
      <x:c r="I39" s="32" t="str">
        <x:v>SEK 79.1 billion sales</x:v>
      </x:c>
      <x:c r="J39" s="32" t="str">
        <x:v>FY2025</x:v>
      </x:c>
      <x:c r="K39" s="32" t="str">
        <x:v>Defence and security; missile systems, infantry weapons, ammunition, naval platforms, submarines, combat boats, UAVs, sensors and command systems</x:v>
      </x:c>
      <x:c r="L39" s="32" t="str">
        <x:v>Micael Johansson — President &amp; CEO</x:v>
      </x:c>
      <x:c r="M39" s="32" t="str">
        <x:v>Marcus Wallenberg — Chairman</x:v>
      </x:c>
      <x:c r="N39" s="32" t="str">
        <x:v>• Marcus Wallenberg — Chairman
• Bert Nordberg — Deputy Chairman
• Micael Johansson — President &amp; CEO / Board member
• Lena Erixon — Board member
• Henrik Henriksson — Board member
• Danica Kragic Jensfelt — Board member
• Johan Menckel — Board member
• Erika Söderberg Johnsson — Board member</x:v>
      </x:c>
      <x:c r="O39" s="32" t="str">
        <x:v>• Linköping — main office / aerospace and UAV activity
• Karlskoga — Dynamics missile and support-weapons production
• Karlskrona — Saab Kockums shipyard / submarine production
• Docksta — CB90 combat-boat operations
• Järfälla/Gothenburg — sensors, command and control / defence electronics
• Global industrial expansion in the U.S., UK and other partner nations</x:v>
      </x:c>
      <x:c r="P39" s="32" t="str">
        <x:v>https://www.saab.com/investors/annual-report-2025
https://www.saab.com/newsroom/press-releases/2026/saab-publishes-its-2025-annual-report
https://www.saab.com/about/corporate-governance/board-of-directors
https://www.saab.com/about/locations</x:v>
      </x:c>
    </x:row>
    <x:row r="40" ht="190" customHeight="1">
      <x:c r="A40" s="32" t="str">
        <x:v>Thyssenkrupp Marine Systems</x:v>
      </x:c>
      <x:c r="B40" s="32" t="str">
        <x:v>Germany</x:v>
      </x:c>
      <x:c r="C40" s="32" t="n">
        <x:v>8</x:v>
      </x:c>
      <x:c r="D40" s="32" t="str">
        <x:v>TKMS / thyssenkrupp Marine Systems</x:v>
      </x:c>
      <x:c r="E40" s="32" t="str">
        <x:v>2005 current TKMS structure; shipbuilding heritage over 185 years</x:v>
      </x:c>
      <x:c r="F40" s="32" t="str">
        <x:v>Werftstraße 112–114, 24143 Kiel, Germany</x:v>
      </x:c>
      <x:c r="G40" s="32" t="str">
        <x:v>Three shipyards in Kiel and Wismar, Germany and Itajaí, Brazil; additional ATLAS ELEKTRONIK and international sites worldwide</x:v>
      </x:c>
      <x:c r="H40" s="32" t="str">
        <x:v>~9,100 employees including temporary workers at 30 Sep 2025</x:v>
      </x:c>
      <x:c r="I40" s="32" t="str">
        <x:v>€2.2 billion sales</x:v>
      </x:c>
      <x:c r="J40" s="32" t="str">
        <x:v>FY2024/25</x:v>
      </x:c>
      <x:c r="K40" s="32" t="str">
        <x:v>Naval defence; non-nuclear submarines, frigates/corvettes, torpedoes, unmanned maritime systems, sonar/electronics and combat systems</x:v>
      </x:c>
      <x:c r="L40" s="32" t="str">
        <x:v>Oliver Burkhard — CEO</x:v>
      </x:c>
      <x:c r="M40" s="32" t="str">
        <x:v>Dr. Volkmar Dinstuhl — Chairman of Supervisory Board</x:v>
      </x:c>
      <x:c r="N40" s="32" t="str">
        <x:v>• Oliver Burkhard — CEO
• Paul Glaser — CFO
• Dr. Andreas Görgen — COO
• Angelika Kambeck — CHRO
• Dr. Dirk Steinbrink — CTO
• Dr. Volkmar Dinstuhl — Supervisory Board Chair
• Miguel Ángel López Borrego — Deputy Chair</x:v>
      </x:c>
      <x:c r="O40" s="32" t="str">
        <x:v>• Kiel — headquarters / submarine and naval shipyard; ~3,300 employees
• Wismar — shipyard and capacity expansion
• Itajaí, Brazil — shipyard / local MEKO-Tamandaré production
• ATLAS ELEKTRONIK — maritime electronics, sonar and unmanned systems
• Global submarine and surface-vessel support network</x:v>
      </x:c>
      <x:c r="P40" s="32" t="str">
        <x:v>https://www.thyssenkrupp.com/en/company/corporate-structure/marine-systems
https://ir.tkmsgroup.com/
https://ir.tkmsgroup.com/governance
https://www.tkmsgroup.com/news/article/supervisory-board-appoints-dr-andreas-goergen-as-a-new-member-of-the-executive-board-and-chief-operations-officer-of-the-tkms-group-effective-may-15-2026</x:v>
      </x:c>
    </x:row>
    <x:row r="41" ht="190" customHeight="1">
      <x:c r="A41" s="32" t="str">
        <x:v>Naval Group</x:v>
      </x:c>
      <x:c r="B41" s="32" t="str">
        <x:v>France</x:v>
      </x:c>
      <x:c r="C41" s="32" t="n">
        <x:v>8</x:v>
      </x:c>
      <x:c r="D41" s="32" t="str">
        <x:v>Naval Group</x:v>
      </x:c>
      <x:c r="E41" s="32" t="str">
        <x:v>2002 current corporate form; French naval shipbuilding heritage nearly 400 years</x:v>
      </x:c>
      <x:c r="F41" s="32" t="str">
        <x:v>40–42 rue du Docteur Finlay, 75015 Paris, France</x:v>
      </x:c>
      <x:c r="G41" s="32" t="str">
        <x:v>10 sites in France and footprint in 18 countries; major sites include Cherbourg, Lorient, Brest, Toulon/Ollioules, Angoulême-Ruelle and Saint-Tropez</x:v>
      </x:c>
      <x:c r="H41" s="32" t="str">
        <x:v>17,170 total workforce in 2025 annual report; public recruitment material rounds to ~17,000</x:v>
      </x:c>
      <x:c r="I41" s="32" t="str">
        <x:v>€4.353 billion sales</x:v>
      </x:c>
      <x:c r="J41" s="32" t="str">
        <x:v>FY2025</x:v>
      </x:c>
      <x:c r="K41" s="32" t="str">
        <x:v>Naval defence; submarines, frigates/corvettes, nuclear naval platforms, torpedoes, countermeasures, autonomous maritime systems and combat systems</x:v>
      </x:c>
      <x:c r="L41" s="32" t="str">
        <x:v>Pierre Éric Pommellet — Chairman &amp; CEO</x:v>
      </x:c>
      <x:c r="M41" s="32" t="str">
        <x:v>Pierre Éric Pommellet — Chairman &amp; CEO</x:v>
      </x:c>
      <x:c r="N41" s="32" t="str">
        <x:v>• Pierre Éric Pommellet — Chairman &amp; CEO
• Frank Le Rebeller — Senior EVP Finance
• Marie-Laure Bourgeois — EVP Sales &amp; Marketing
• Vincent Martinot-Lagarde — EVP Surface Ships
• Laurent Espinasse — EVP Submarines
• Éric Balufin — EVP Services</x:v>
      </x:c>
      <x:c r="O41" s="32" t="str">
        <x:v>• Paris — headquarters
• Cherbourg — submarine design/build/integration
• Lorient — whole-warship design and construction
• Brest — naval support / integration
• Ollioules — mission-system design and integration
• Angoulême-Ruelle — combat-system/platform equipment
• Saint-Tropez / Toulon — torpedoes, underwater weapons and drones</x:v>
      </x:c>
      <x:c r="P41" s="32" t="str">
        <x:v>https://www.naval-group.com/en/governance
https://www.naval-group.com/en/worldwide-presence
https://www.naval-group.com/en/legal-notices
https://www.naval-group.com/en/talents/offer/P2026-000135-1
https://docs.publicnow.com/viewDoc?filename=50598%2FEXT%2FF575E2E26D89334864C553A12CF53991D882B6E7_F1B2E9CF672FE7EBB66644805C8089C6B57BC625.PDF</x:v>
      </x:c>
    </x:row>
    <x:row r="42" ht="190" customHeight="1">
      <x:c r="A42" s="32" t="str">
        <x:v>Huntington Ingalls Industries</x:v>
      </x:c>
      <x:c r="B42" s="32" t="str">
        <x:v>US</x:v>
      </x:c>
      <x:c r="C42" s="32" t="n">
        <x:v>9</x:v>
      </x:c>
      <x:c r="D42" s="32" t="str">
        <x:v>HII / Huntington Ingalls Industries</x:v>
      </x:c>
      <x:c r="E42" s="32" t="str">
        <x:v>2011 as independent HII; Newport News shipbuilding roots to 1886</x:v>
      </x:c>
      <x:c r="F42" s="32" t="str">
        <x:v>4101 Washington Avenue, Newport News, Virginia 23607, United States</x:v>
      </x:c>
      <x:c r="G42" s="32" t="str">
        <x:v>Core divisions at Newport News, Virginia; Pascagoula, Mississippi; McLean, Virginia; plus distributed U.S. Mission Technologies and supplier network</x:v>
      </x:c>
      <x:c r="H42" s="32" t="str">
        <x:v>~45,000 employees; 43,601 employee population at 31 Dec 2025 proxy measurement</x:v>
      </x:c>
      <x:c r="I42" s="32" t="str">
        <x:v>US$12.5 billion revenue</x:v>
      </x:c>
      <x:c r="J42" s="32" t="str">
        <x:v>FY2025</x:v>
      </x:c>
      <x:c r="K42" s="32" t="str">
        <x:v>Military shipbuilding, submarines, aircraft carriers, amphibious ships, destroyers, cutters, unmanned underwater systems and mission technologies</x:v>
      </x:c>
      <x:c r="L42" s="32" t="str">
        <x:v>Christopher D. Kastner — President &amp; CEO</x:v>
      </x:c>
      <x:c r="M42" s="32" t="str">
        <x:v>Kirkland H. Donald — Chairman</x:v>
      </x:c>
      <x:c r="N42" s="32" t="str">
        <x:v>• Christopher D. Kastner — President &amp; CEO
• Kirkland H. Donald — Chairman
• Brian Blanchette — EVP &amp; President, Ingalls Shipbuilding
• Andy Green — EVP &amp; President, Mission Technologies
• Tom Stiehle — EVP &amp; CFO</x:v>
      </x:c>
      <x:c r="O42" s="32" t="str">
        <x:v>• Newport News Shipbuilding, Virginia — aircraft carriers and submarines
• Ingalls Shipbuilding, Pascagoula, Mississippi — destroyers, amphibious ships and Coast Guard cutters
• Mission Technologies, McLean, Virginia — unmanned systems, C6ISR, AI/ML and mission technologies
• HII is the largest U.S. military shipbuilder and a major producer of REMUS UUVs</x:v>
      </x:c>
      <x:c r="P42" s="32" t="str">
        <x:v>https://hii.com/
https://ir.hii.com/overview/
https://www.sec.gov/Archives/edgar/data/1501585/000150158526000006/hii-20251231.htm
https://www.hii.com/leadership</x:v>
      </x:c>
    </x:row>
    <x:row r="43" ht="190" customHeight="1">
      <x:c r="A43" s="32" t="str">
        <x:v>Babcock</x:v>
      </x:c>
      <x:c r="B43" s="32" t="str">
        <x:v>UK</x:v>
      </x:c>
      <x:c r="C43" s="32" t="n">
        <x:v>9</x:v>
      </x:c>
      <x:c r="D43" s="32" t="str">
        <x:v>Babcock International Group</x:v>
      </x:c>
      <x:c r="E43" s="32" t="str">
        <x:v>1891</x:v>
      </x:c>
      <x:c r="F43" s="32" t="str">
        <x:v>33 Wigmore Street, London W1U 1QX, United Kingdom</x:v>
      </x:c>
      <x:c r="G43" s="32" t="str">
        <x:v>Operations across UK, North America, Europe, Australia/New Zealand, South Africa and other markets; major defence sites include Rosyth, Devonport and Clyde</x:v>
      </x:c>
      <x:c r="H43" s="32" t="str">
        <x:v>~29,000 employees</x:v>
      </x:c>
      <x:c r="I43" s="32" t="str">
        <x:v>£5.178 billion revenue</x:v>
      </x:c>
      <x:c r="J43" s="32" t="str">
        <x:v>FY ended 31 Mar 2026</x:v>
      </x:c>
      <x:c r="K43" s="32" t="str">
        <x:v>Defence engineering across Marine, Nuclear, Land and Aviation; naval ship design/build/support, land systems and military engineering</x:v>
      </x:c>
      <x:c r="L43" s="32" t="str">
        <x:v>Harry Holt DSO OBE — Group Chief Executive since 31 Jul 2026</x:v>
      </x:c>
      <x:c r="M43" s="32" t="str">
        <x:v>Dame Ruth Cairnie DBE — Chair</x:v>
      </x:c>
      <x:c r="N43" s="32" t="str">
        <x:v>• Harry Holt DSO OBE — Group Chief Executive
• Dame Ruth Cairnie DBE — Chair
• Sir Nick Hine KCB — Chief Executive, Marine
• Neal Misell — Chief Executive, Nuclear
• Louise Atkinson — Chief Executive, Mission Systems</x:v>
      </x:c>
      <x:c r="O43" s="32" t="str">
        <x:v>• Rosyth, Scotland — Type 31 / Arrowhead shipbuilding and advanced manufacturing
• Devonport, Plymouth — submarine support and GDAMS production
• Clyde/Faslane — naval nuclear support
• International shipbuilding/technology-transfer support for Poland, Indonesia, Canada, Australia and others</x:v>
      </x:c>
      <x:c r="P43" s="32" t="str">
        <x:v>https://www.babcockinternational.com/investors/annual-report-financial-statements-2026/
https://www.babcockinternational.com/who-we-are/leadership-and-governance/the-board/harry-holt-dso-obe/
https://www.babcockinternational.com/news/david-lockwood-appointed-knight-of-frances-legion-of-honour/
https://www.babcockinternational.com/what-we-do/product/design-develop-and-manufacture/</x:v>
      </x:c>
    </x:row>
    <x:row r="44" ht="190" customHeight="1">
      <x:c r="A44" s="32" t="str">
        <x:v>Diehl Defence</x:v>
      </x:c>
      <x:c r="B44" s="32" t="str">
        <x:v>Germany</x:v>
      </x:c>
      <x:c r="C44" s="32" t="n">
        <x:v>9</x:v>
      </x:c>
      <x:c r="D44" s="32" t="str">
        <x:v>Diehl Defence</x:v>
      </x:c>
      <x:c r="E44" s="32" t="str">
        <x:v>1902 Diehl roots; current defence division evolved from long-standing Diehl defence activities</x:v>
      </x:c>
      <x:c r="F44" s="32" t="str">
        <x:v>Alte Nußdorfer Straße 13, 88662 Überlingen, Germany</x:v>
      </x:c>
      <x:c r="G44" s="32" t="str">
        <x:v>18 locations worldwide; major German sites include Überlingen, Nonnweiler and other missile/ammunition/defence facilities</x:v>
      </x:c>
      <x:c r="H44" s="32" t="str">
        <x:v>5,406 employees</x:v>
      </x:c>
      <x:c r="I44" s="32" t="str">
        <x:v>€2.331 billion sales</x:v>
      </x:c>
      <x:c r="J44" s="32" t="str">
        <x:v>FY2025</x:v>
      </x:c>
      <x:c r="K44" s="32" t="str">
        <x:v>Ground-based air defence, guided missiles, ammunition, drone defence, reconnaissance/protection and support</x:v>
      </x:c>
      <x:c r="L44" s="32" t="str">
        <x:v>Helmut Rauch — CEO / Spokesman of Corporate Division Board</x:v>
      </x:c>
      <x:c r="M44" s="32" t="str">
        <x:v>Division managed through Diehl Defence Corporate Division Board</x:v>
      </x:c>
      <x:c r="N44" s="32" t="str">
        <x:v>• Helmut Rauch — CEO / Spokesman
• Thomas Bodenmüller — CFO
• Harald Buschek — Corporate Division Board
• Dr. Nicolai Künzner — Corporate Division Board</x:v>
      </x:c>
      <x:c r="O44" s="32" t="str">
        <x:v>• Überlingen — headquarters and systems engineering
• Nonnweiler — missile integration; major new integration centre opened 2026
• 18 worldwide locations
• Company-wide capacity expansion includes guided missiles, GBAD and ammunition</x:v>
      </x:c>
      <x:c r="P44" s="32" t="str">
        <x:v>https://new.diehl.com/defence/en/company/facts-and-figures
https://new.diehl.com/defence/en/
https://new.diehl.com/defence/en/press-media/news/diehl-defence-opens-new-production-building-at-nonnweiler</x:v>
      </x:c>
    </x:row>
    <x:row r="45" ht="190" customHeight="1">
      <x:c r="A45" s="32" t="str">
        <x:v>AeroVironment</x:v>
      </x:c>
      <x:c r="B45" s="32" t="str">
        <x:v>US</x:v>
      </x:c>
      <x:c r="C45" s="32" t="n">
        <x:v>9</x:v>
      </x:c>
      <x:c r="D45" s="32" t="str">
        <x:v>AeroVironment (AV)</x:v>
      </x:c>
      <x:c r="E45" s="32" t="str">
        <x:v>1971</x:v>
      </x:c>
      <x:c r="F45" s="32" t="str">
        <x:v>241 18th Street South, Suite 650, Arlington, Virginia 22202, United States</x:v>
      </x:c>
      <x:c r="G45" s="32" t="str">
        <x:v>U.S. operations across Virginia, California and other locations; 2025 BlueHalo acquisition broadened facilities in space, cyber, directed energy and autonomous systems</x:v>
      </x:c>
      <x:c r="H45" s="32" t="str">
        <x:v>4,091 employees at 30 Apr 2026 (3,991 full-time + 100 part-time)</x:v>
      </x:c>
      <x:c r="I45" s="32" t="str">
        <x:v>US$1.976845 billion revenue</x:v>
      </x:c>
      <x:c r="J45" s="32" t="str">
        <x:v>FY ended 30 Apr 2026</x:v>
      </x:c>
      <x:c r="K45" s="32" t="str">
        <x:v>Autonomous systems, loitering munitions, small/medium UAS, space/cyber/directed energy and defence technologies</x:v>
      </x:c>
      <x:c r="L45" s="32" t="str">
        <x:v>Wahid Nawabi — Chairman, President &amp; CEO</x:v>
      </x:c>
      <x:c r="M45" s="32" t="str">
        <x:v>Wahid Nawabi — Chairman</x:v>
      </x:c>
      <x:c r="N45" s="32" t="str">
        <x:v>• Wahid Nawabi — Chairman, President &amp; CEO
• Executive leadership broadened after BlueHalo acquisition
• Autonomous Systems and Space/Cyber/Directed Energy are principal reporting segments</x:v>
      </x:c>
      <x:c r="O45" s="32" t="str">
        <x:v>• Arlington, Virginia — headquarters
• California — long-standing UAS engineering/manufacturing footprint
• Multiple U.S. BlueHalo facilities added in 2025 acquisition
• Manufacturing expansion supports Switchblade, JUMP and tactical UAS families</x:v>
      </x:c>
      <x:c r="P45" s="32" t="str">
        <x:v>https://www.sec.gov/Archives/edgar/data/1368622/000110465926078906/avav-20260430x10k.htm
https://investor.avinc.com/financial-information/annual-reports
https://www.avinc.com/</x:v>
      </x:c>
    </x:row>
    <x:row r="46" ht="190" customHeight="1">
      <x:c r="A46" s="32" t="str">
        <x:v>Anduril</x:v>
      </x:c>
      <x:c r="B46" s="32" t="str">
        <x:v>US</x:v>
      </x:c>
      <x:c r="C46" s="32" t="n">
        <x:v>9</x:v>
      </x:c>
      <x:c r="D46" s="32" t="str">
        <x:v>Anduril Industries</x:v>
      </x:c>
      <x:c r="E46" s="32" t="str">
        <x:v>2017</x:v>
      </x:c>
      <x:c r="F46" s="32" t="str">
        <x:v>Costa Mesa, California, United States</x:v>
      </x:c>
      <x:c r="G46" s="32" t="str">
        <x:v>Major U.S. facilities in California, Rhode Island and Ohio; international operations in Australia and Europe; Arsenal-1 hyperscale manufacturing facility in Ohio</x:v>
      </x:c>
      <x:c r="H46" s="32" t="str">
        <x:v>~8,560 employees as of Mar 2026 (Revelio Labs estimate)</x:v>
      </x:c>
      <x:c r="I46" s="32" t="str">
        <x:v>US$2.2 billion revenue</x:v>
      </x:c>
      <x:c r="J46" s="32" t="str">
        <x:v>FY2025 (reported by Reuters)</x:v>
      </x:c>
      <x:c r="K46" s="32" t="str">
        <x:v>Defence technology; autonomous air, undersea and counter-UAS systems, loitering munitions/cruise missiles, software-defined weapons and Lattice autonomy</x:v>
      </x:c>
      <x:c r="L46" s="32" t="str">
        <x:v>Brian Schimpf — Co-founder &amp; CEO</x:v>
      </x:c>
      <x:c r="M46" s="32" t="str">
        <x:v>Trae Stephens — Co-founder &amp; Executive Chairman</x:v>
      </x:c>
      <x:c r="N46" s="32" t="str">
        <x:v>• Brian Schimpf — Co-founder &amp; CEO
• Trae Stephens — Co-founder &amp; Executive Chairman
• Palmer Luckey — Founder
• Matt Grimm — Co-founder &amp; COO</x:v>
      </x:c>
      <x:c r="O46" s="32" t="str">
        <x:v>• Costa Mesa, California — headquarters / engineering
• Quonset Point, Rhode Island — undersea systems manufacturing
• Arsenal-1, Ohio — hyperscale autonomous-system / weapons production facility
• Australia and Europe — expanding local production and engineering partnerships</x:v>
      </x:c>
      <x:c r="P46" s="32" t="str">
        <x:v>https://www.anduril.com/
https://www.anduril.com/rebuild-the-arsenal
https://www.anduril.com/news/anduril-hires-keith-flynn-to-lead-manufacturing
https://www.reuters.com/business/aerospace-defense/defense-tech-company-anduril-talks-raise-funding-about-100-billion-valuation-2026-07-24/
https://www.reveliolabs.com/companies/anduril-industries/employees</x:v>
      </x:c>
    </x:row>
    <x:row r="47" ht="190" customHeight="1">
      <x:c r="A47" s="32" t="str">
        <x:v>UVision Air</x:v>
      </x:c>
      <x:c r="B47" s="32" t="str">
        <x:v>Israel</x:v>
      </x:c>
      <x:c r="C47" s="32" t="n">
        <x:v>10</x:v>
      </x:c>
      <x:c r="D47" s="32" t="str">
        <x:v>UVision Air Ltd.</x:v>
      </x:c>
      <x:c r="E47" s="32" t="str">
        <x:v>2011</x:v>
      </x:c>
      <x:c r="F47" s="32" t="str">
        <x:v>3 Nahal Alexander Road, Emek Hefer Industrial Park, 3877701, Israel</x:v>
      </x:c>
      <x:c r="G47" s="32" t="str">
        <x:v>Israel headquarters; UVision Inc. in Stafford, Virginia, USA; UVision Europe; India subsidiary/operations; worldwide partner network</x:v>
      </x:c>
      <x:c r="H47" s="32" t="str">
        <x:v>~299 employees as of Mar 2026 (Revelio Labs estimate)</x:v>
      </x:c>
      <x:c r="I47" s="32" t="str">
        <x:v>Not publicly disclosed — privately held</x:v>
      </x:c>
      <x:c r="J47" s="32" t="str">
        <x:v>Latest public disclosure</x:v>
      </x:c>
      <x:c r="K47" s="32" t="str">
        <x:v>Loitering munitions, autonomous strike systems, sub-to-air UAS, counter-UAS interceptors and AI-enabled mission systems</x:v>
      </x:c>
      <x:c r="L47" s="32" t="str">
        <x:v>Dr. Ran Gozali — CEO</x:v>
      </x:c>
      <x:c r="M47" s="32" t="str">
        <x:v>Dr. Ran Gozali — Chairman of UVision Inc.; parent-company board separately disclosed</x:v>
      </x:c>
      <x:c r="N47" s="32" t="str">
        <x:v>• Dr. Ran Gozali — CEO
• Eyal Yavets — EVP &amp; COO
• Shlomo Hakim — CTO
• Ronny Barak — CFO
• Erez Meir — EVP Business Development, Marketing &amp; Sales
• Amit Ben Harush Negari — VP Engineering &amp; Development</x:v>
      </x:c>
      <x:c r="O47" s="32" t="str">
        <x:v>• Emek Hefer Industrial Park, Israel — headquarters, development and production
• Stafford, Virginia, USA — 25,000 sq ft UVision Inc. production facility for HERO systems
• Europe — regional subsidiary/support
• India — local subsidiary/industrial presence
• Product ecosystem includes HERO, PEREGRINE and VIPER families</x:v>
      </x:c>
      <x:c r="P47" s="32" t="str">
        <x:v>https://uvisionuav.com/about-us/management-team/
https://uvisionuav.eu/about-us/global-presence/
https://uvisionusa.com/about-us/board-of-directors/
https://www.reveliolabs.com/companies/uvision-air/employees</x:v>
      </x:c>
    </x:row>
    <x:row r="48" ht="190" customHeight="1">
      <x:c r="A48" s="32" t="str">
        <x:v>Adani Defence</x:v>
      </x:c>
      <x:c r="B48" s="32" t="str">
        <x:v>India</x:v>
      </x:c>
      <x:c r="C48" s="32" t="n">
        <x:v>10</x:v>
      </x:c>
      <x:c r="D48" s="32" t="str">
        <x:v>Adani Defence &amp; Aerospace</x:v>
      </x:c>
      <x:c r="E48" s="32" t="str">
        <x:v>2015–2017 current defence business build-out within Adani Enterprises; major private manufacturing expansion from 2018 onward</x:v>
      </x:c>
      <x:c r="F48" s="32" t="str">
        <x:v>Adani Corporate House, Shantigram, Ahmedabad, Gujarat, India; defence facilities in Kanpur, Hyderabad, Gwalior and R&amp;D in Delhi/Hyderabad</x:v>
      </x:c>
      <x:c r="G48" s="32" t="str">
        <x:v>Kanpur ammunition/missile complex; Hyderabad Aerospace Park UAV/SAM complex; Gwalior small-arms facility; Delhi and Hyderabad R&amp;D centres</x:v>
      </x:c>
      <x:c r="H48" s="32" t="str">
        <x:v>~5,383 employees as of 2026 for Adani Defence Systems &amp; Technologies (Revelio Labs external estimate); parent AEL reports 8,846 total employees FY2025-26</x:v>
      </x:c>
      <x:c r="I48" s="32" t="str">
        <x:v>Not separately disclosed for Defence &amp; Aerospace segment within Adani Enterprises</x:v>
      </x:c>
      <x:c r="J48" s="32" t="str">
        <x:v>FY2025-26 parent reporting</x:v>
      </x:c>
      <x:c r="K48" s="32" t="str">
        <x:v>Small arms, ammunition, missiles, UAVs/loitering munitions, counter-drone systems and aerospace services</x:v>
      </x:c>
      <x:c r="L48" s="32" t="str">
        <x:v>Ashish Rajvanshi — CEO, Adani Defence &amp; Aerospace</x:v>
      </x:c>
      <x:c r="M48" s="32" t="str">
        <x:v>Gautam Adani — Chairman, Adani Group / Adani Enterprises</x:v>
      </x:c>
      <x:c r="N48" s="32" t="str">
        <x:v>• Ashish Rajvanshi — CEO, Adani Defence &amp; Aerospace
• Defence business operates under Adani Enterprises with multiple subsidiaries/JVs including PLR Systems and Adani-Elbit UAV venture</x:v>
      </x:c>
      <x:c r="O48" s="32" t="str">
        <x:v>• Kanpur, Uttar Pradesh — 500+ acre integrated ammunition and missile complex
• Hyderabad Aerospace Park — military UAV final assembly, tactical drones, loitering munitions and private-sector SAM complex
• Gwalior, Madhya Pradesh — small-arms manufacturing
• Delhi &amp; Hyderabad — defence R&amp;D centres</x:v>
      </x:c>
      <x:c r="P48" s="32" t="str">
        <x:v>https://www.adanienterprises.com/digital-reports/enterprises/2026/defence-and-aerospace.html
https://www.adani.com/newsroom/media-releases/advancing-aatmanirbharta
https://www.adani.com/newsroom/media-releases/adani-defence-and-aerospace-and-elbit-systems-inaugurate-india-first-private-uav-manufacturing
https://www.reveliolabs.com/companies/adani-defence-systems/employees</x:v>
      </x:c>
    </x:row>
    <x:row r="49" ht="190" customHeight="1">
      <x:c r="A49" s="32" t="str">
        <x:v>BrahMos Aerospace</x:v>
      </x:c>
      <x:c r="B49" s="32" t="str">
        <x:v>India</x:v>
      </x:c>
      <x:c r="C49" s="32" t="n">
        <x:v>10</x:v>
      </x:c>
      <x:c r="D49" s="32" t="str">
        <x:v>BrahMos Aerospace</x:v>
      </x:c>
      <x:c r="E49" s="32" t="str">
        <x:v>12 Feb 1998</x:v>
      </x:c>
      <x:c r="F49" s="32" t="str">
        <x:v>16 Cariappa Marg, Kirby Place, Delhi Cantt., New Delhi 110010, India</x:v>
      </x:c>
      <x:c r="G49" s="32" t="str">
        <x:v>Integration/production facilities in Hyderabad, Nagpur, Pilani and Lucknow; Indian-Russian industrial consortium</x:v>
      </x:c>
      <x:c r="H49" s="32" t="str">
        <x:v>Not publicly disclosed in reliable current consolidated reporting located in this pass</x:v>
      </x:c>
      <x:c r="I49" s="32" t="str">
        <x:v>Not publicly disclosed as a standalone private JV</x:v>
      </x:c>
      <x:c r="J49" s="32" t="str">
        <x:v>Latest public disclosure</x:v>
      </x:c>
      <x:c r="K49" s="32" t="str">
        <x:v>Supersonic cruise missiles and next-generation/hypersonic missile development</x:v>
      </x:c>
      <x:c r="L49" s="32" t="str">
        <x:v>Dr. Jaiteerth R. Joshi — CEO &amp; Managing Director / DG BrahMos, DRDO</x:v>
      </x:c>
      <x:c r="M49" s="32" t="str">
        <x:v>JV governance between DRDO (50.5%) and NPO Mashinostroyenia (49.5%)</x:v>
      </x:c>
      <x:c r="N49" s="32" t="str">
        <x:v>• Dr. Jaiteerth R. Joshi — CEO &amp; MD since 1 Dec 2024
• JV ownership: DRDO 50.5%; NPO Mashinostroyenia 49.5%</x:v>
      </x:c>
      <x:c r="O49" s="32" t="str">
        <x:v>• Hyderabad — BrahMos Integration Complex
• Nagpur — BrahMos Integration Complex
• Pilani — mechanical/electrical integration, fuel filling, magazine and bonded stores
• Lucknow — ~200-acre integration &amp; testing facility for current BRAHMOS and future BRAHMOS-NG
• New Delhi — corporate headquarters</x:v>
      </x:c>
      <x:c r="P49" s="32" t="str">
        <x:v>https://www.brahmos.com/index.php/page/company-profile
https://www.brahmos.com/page/ceo-md
https://brahmos.com/index.php/contact
https://brahmos.com/about-jv</x:v>
      </x:c>
    </x:row>
    <x:row r="50" ht="190" customHeight="1">
      <x:c r="A50" s="32" t="str">
        <x:v>Premier Explosives</x:v>
      </x:c>
      <x:c r="B50" s="32" t="str">
        <x:v>India</x:v>
      </x:c>
      <x:c r="C50" s="32" t="n">
        <x:v>10</x:v>
      </x:c>
      <x:c r="D50" s="32" t="str">
        <x:v>Premier Explosives Limited (PEL)</x:v>
      </x:c>
      <x:c r="E50" s="32" t="str">
        <x:v>1980</x:v>
      </x:c>
      <x:c r="F50" s="32" t="str">
        <x:v>11, Ishaq Colony, Near AOC Centre, Secunderabad 500015, Telangana, India</x:v>
      </x:c>
      <x:c r="G50" s="32" t="str">
        <x:v>Defence/high-energy manufacturing in Telangana plus bulk-explosive operations in multiple Indian states</x:v>
      </x:c>
      <x:c r="H50" s="32" t="str">
        <x:v>~859 employees as of Mar 2026 (Revelio Labs estimate)</x:v>
      </x:c>
      <x:c r="I50" s="32" t="str">
        <x:v>₹388.34 crore revenue from operations</x:v>
      </x:c>
      <x:c r="J50" s="32" t="str">
        <x:v>FY2025-26</x:v>
      </x:c>
      <x:c r="K50" s="32" t="str">
        <x:v>High-energy materials, solid propellants, rocket motors, missile components, ammunition, pyrotechnics and countermeasures</x:v>
      </x:c>
      <x:c r="L50" s="32" t="str">
        <x:v>T. V. Chowdary — Managing Director</x:v>
      </x:c>
      <x:c r="M50" s="32" t="str">
        <x:v>A. N. Gupta / Amarnath Gupta — Chairman</x:v>
      </x:c>
      <x:c r="N50" s="32" t="str">
        <x:v>• Amarnath Gupta — Chairman
• T. V. Chowdary — Managing Director
• Y. Durga Prasad Rao — Director, Operations
• Kailash Gupta — Non-Executive Director
• Independent directors include Narendra Kumar Nanda, V. G. Sekaran, Seshagiri Rao and Kumuda Raghavan</x:v>
      </x:c>
      <x:c r="O50" s="32" t="str">
        <x:v>• Peddakandukur, Telangana — rocket motors/missiles, detonators, HMX/RDX, ammunition, mines, warheads, bombs and pyrotechnics
• Katepally, Telangana — solid propellants / high-energy materials
• Additional bulk-explosive plants across Madhya Pradesh, Maharashtra, Telangana and Tamil Nadu</x:v>
      </x:c>
      <x:c r="P50" s="32" t="str">
        <x:v>https://bazaarwatch.com/announcement/68874/premier-explosives-limited-outcome-of-board-meeting
https://www.reveliolabs.com/companies/premier-explosives/employees
https://www.moneycontrol.com/company-facts/premierexplosives/management/pe02
https://nsearchives.nseindia.com/annual_reports/AR_28827_PREMEXPLN_2024_2025_A_1627996_06092025194124.pdf</x:v>
      </x:c>
    </x:row>
    <x:row r="51" ht="190" customHeight="1">
      <x:c r="A51" s="32" t="str">
        <x:v>Solar Industries</x:v>
      </x:c>
      <x:c r="B51" s="32" t="str">
        <x:v>India</x:v>
      </x:c>
      <x:c r="C51" s="32" t="n">
        <x:v>10</x:v>
      </x:c>
      <x:c r="D51" s="32" t="str">
        <x:v>Solar Industries India / Solar Defence &amp; Aerospace</x:v>
      </x:c>
      <x:c r="E51" s="32" t="str">
        <x:v>1995 Solar Industries; defence business entered from 2010 onward</x:v>
      </x:c>
      <x:c r="F51" s="32" t="str">
        <x:v>11 Zade Layout, Bharat Nagar, Nagpur 440033, Maharashtra, India</x:v>
      </x:c>
      <x:c r="G51" s="32" t="str">
        <x:v>Major defence/explosives operations around Nagpur including Chakdoh; international manufacturing footprint across multiple countries</x:v>
      </x:c>
      <x:c r="H51" s="32" t="str">
        <x:v>1,001–5,000 employees; LinkedIn exposes ~2,299 employee profiles</x:v>
      </x:c>
      <x:c r="I51" s="32" t="str">
        <x:v>₹9,837.74 crore consolidated revenue from operations</x:v>
      </x:c>
      <x:c r="J51" s="32" t="str">
        <x:v>FY2025-26</x:v>
      </x:c>
      <x:c r="K51" s="32" t="str">
        <x:v>Explosives, ammunition, rockets, missile/rocket propellants, warheads, loitering munitions and counter-drone missile systems</x:v>
      </x:c>
      <x:c r="L51" s="32" t="str">
        <x:v>Manish Satyanarayan Nuwal — Managing Director &amp; CEO</x:v>
      </x:c>
      <x:c r="M51" s="32" t="str">
        <x:v>Satyanarayan Nandlal Nuwal — Chairman &amp; Non-Executive Director</x:v>
      </x:c>
      <x:c r="N51" s="32" t="str">
        <x:v>• Satyanarayan Nandlal Nuwal — Chairman
• Manish Satyanarayan Nuwal — Managing Director &amp; CEO
• Moneesh Agrawal — Joint CFO
• Shalinee Mandhana — Joint CFO</x:v>
      </x:c>
      <x:c r="O51" s="32" t="str">
        <x:v>• Nagpur / Chakdoh, Maharashtra — defence products, high-energy materials, rockets, ammunition and integration
• Automated 30 mm medium-calibre ammunition facility inaugurated Jan 2026
• Pinaka rocket manufacturing and guided-rocket production
• Group manufacturing operations across multiple countries</x:v>
      </x:c>
      <x:c r="P51" s="32" t="str">
        <x:v>https://solargroup.com/Investor-relation.html
https://www.solargroup.com/about.html
https://economictimes.indiatimes.com/solar-industries-india-ltd/directorsreport/companyid-15283.cms
https://in.linkedin.com/company/solar-industries-india-ltd
https://www.pib.gov.in/PressReleasePage.aspx?PRID=2215884&amp;lang=1&amp;reg=1</x:v>
      </x:c>
    </x:row>
  </x:sheetData>
  <x:pageMargins left="0.7" right="0.7" top="0.75" bottom="0.75" header="0.3" footer="0.3"/>
  <x:tableParts count="1">
    <x:tablePart xmlns:r="http://schemas.openxmlformats.org/officeDocument/2006/relationships" r:id="Re91c3ead275b4d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60" hidden="0" customWidth="1"/>
    <x:col min="4" max="4" width="114" hidden="0" customWidth="1"/>
    <x:col min="5" max="5" width="90" hidden="0" customWidth="1"/>
    <x:col min="6" max="6" width="106" hidden="0" customWidth="1"/>
  </x:cols>
  <x:sheetData>
    <x:row r="1">
      <x:c r="A1" s="24" t="str">
        <x:v>Company</x:v>
      </x:c>
      <x:c r="B1" s="24" t="str">
        <x:v>Category</x:v>
      </x:c>
      <x:c r="C1" s="24" t="str">
        <x:v>Product</x:v>
      </x:c>
      <x:c r="D1" s="24" t="str">
        <x:v>Technical Specifications</x:v>
      </x:c>
      <x:c r="E1" s="24" t="str">
        <x:v>Features &amp; Capabilities</x:v>
      </x:c>
      <x:c r="F1" s="24" t="str">
        <x:v>Sources</x:v>
      </x:c>
    </x:row>
    <x:row r="2" ht="210" customHeight="1">
      <x:c r="A2" s="34" t="str">
        <x:v>AWEIL</x:v>
      </x:c>
      <x:c r="B2" s="35" t="str">
        <x:v>Artillery</x:v>
      </x:c>
      <x:c r="C2" s="35" t="str">
        <x:v>105 mm Light Field Gun (LFG)</x:v>
      </x:c>
      <x:c r="D2" s="35" t="str">
        <x:v>• Calibre: 105 mm
• range: 17.2 km
• elevation: −5° to +73°
• traverse: 360° on firing platform.
• Maximum range: 17.2 km</x:v>
      </x:c>
      <x:c r="E2" s="35" t="str">
        <x:v>• Light field artillery
• suited to mobile/high-altitude and rugged-terrain employment.
• Light field-artillery system
• Towed configuration</x:v>
      </x:c>
      <x:c r="F2" s="36" t="str">
        <x:v>https://www.aweil.in/download/Annual-Report-2024-25-en.pdf?v=1.87
https://www.aweil.in/download/rti/manuals_standard/1.1.pdf</x:v>
      </x:c>
    </x:row>
    <x:row r="3" ht="210" customHeight="1">
      <x:c r="A3" s="37" t="str">
        <x:v>AWEIL</x:v>
      </x:c>
      <x:c r="B3" s="32" t="str">
        <x:v>Artillery</x:v>
      </x:c>
      <x:c r="C3" s="32" t="str">
        <x:v>120 mm Mortar</x:v>
      </x:c>
      <x:c r="D3" s="32" t="str">
        <x:v>• Calibre: 120 mm
• range figures in AWEIL public material include 6.65 km (HE M-44), 5.9 km (PEPA LP without rocket assistance), 8.95 km (PEPA LP with rocket assistance).
• Maximum range: 8.9 km</x:v>
      </x:c>
      <x:c r="E3" s="32" t="str">
        <x:v>• Indirect-fire mortar
• supports HE and extended/rocket-assisted ammunition depending on round.
• Supports HE, smoke and illuminating ammunition</x:v>
      </x:c>
      <x:c r="F3" s="38" t="str">
        <x:v>https://www.aweil.in/download/Annual-Report-2024-25-en.pdf?v=1.87
https://www.aweil.in/products
https://www.aweil.in/download/rti/manuals_standard/1.1.pdf</x:v>
      </x:c>
    </x:row>
    <x:row r="4" ht="210" customHeight="1">
      <x:c r="A4" s="37" t="str">
        <x:v>AWEIL</x:v>
      </x:c>
      <x:c r="B4" s="32" t="str">
        <x:v>Artillery</x:v>
      </x:c>
      <x:c r="C4" s="32" t="str">
        <x:v>155 mm × 52 Cal Mounted Gun System (MGS)</x:v>
      </x:c>
      <x:c r="D4" s="32" t="str">
        <x:v>• Calibre: 155 mm
• barrel: 52 calibre
• detailed public performance figures not established in reviewed authoritative sources.</x:v>
      </x:c>
      <x:c r="E4" s="32" t="str">
        <x:v>• Mounted/self-propelled concept intended to combine 155/52 firepower with mobility
• AWEIL lists it among major R&amp;D projects.</x:v>
      </x:c>
      <x:c r="F4" s="38" t="str">
        <x:v>https://www.aweil.in/download/Annual-Report-2024-25-en.pdf?v=1.87</x:v>
      </x:c>
    </x:row>
    <x:row r="5" ht="210" customHeight="1">
      <x:c r="A5" s="37" t="str">
        <x:v>AWEIL</x:v>
      </x:c>
      <x:c r="B5" s="32" t="str">
        <x:v>Artillery</x:v>
      </x:c>
      <x:c r="C5" s="32" t="str">
        <x:v>155 mm × 52 Cal Towed Gun System (TGS)</x:v>
      </x:c>
      <x:c r="D5" s="32" t="str">
        <x:v>• Calibre: 155 mm
• barrel: 52 calibre
• detailed public performance figures not established in reviewed authoritative sources.</x:v>
      </x:c>
      <x:c r="E5" s="32" t="str">
        <x:v>• Towed 155/52 development programme
• listed by AWEIL among major R&amp;D projects.</x:v>
      </x:c>
      <x:c r="F5" s="38" t="str">
        <x:v>https://www.aweil.in/download/Annual-Report-2024-25-en.pdf?v=1.87</x:v>
      </x:c>
    </x:row>
    <x:row r="6" ht="210" customHeight="1">
      <x:c r="A6" s="37" t="str">
        <x:v>AWEIL</x:v>
      </x:c>
      <x:c r="B6" s="32" t="str">
        <x:v>Artillery</x:v>
      </x:c>
      <x:c r="C6" s="32" t="str">
        <x:v>81 mm Mortar</x:v>
      </x:c>
      <x:c r="D6" s="32" t="str">
        <x:v>• Calibre: 81 mm
• maximum range: 5,000 m
• muzzle velocity: up to 295 m/s
• rate of fire: 6–8 rpm relaying, 2 rpm intense
• barrel+breech length: 1,550 mm
• elevation: 30°–85°
• barrel life: 2,000 EFC.
• Range: approx. 5 km</x:v>
      </x:c>
      <x:c r="E6" s="32" t="str">
        <x:v>• Fixed firing-pin type mechanism
• infantry/light support mortar.
• Light infantry-support mortar</x:v>
      </x:c>
      <x:c r="F6" s="38" t="str">
        <x:v>https://www.aweil.in/products
https://www.aweil.in/download/Annual-Report-2024-25-en.pdf?v=1.87
https://www.aweil.in/download/rti/manuals_standard/1.1.pdf</x:v>
      </x:c>
    </x:row>
    <x:row r="7" ht="210" customHeight="1">
      <x:c r="A7" s="37" t="str">
        <x:v>AWEIL</x:v>
      </x:c>
      <x:c r="B7" s="32" t="str">
        <x:v>Artillery</x:v>
      </x:c>
      <x:c r="C7" s="32" t="str">
        <x:v>Arjun Tank Gun / Ordnance</x:v>
      </x:c>
      <x:c r="D7" s="32" t="str">
        <x:v>• Tank-gun/ordnance articles for Arjun platform
• specific complete-gun dimensions and ballistic performance not consistently disclosed in reviewed AWEIL sources.</x:v>
      </x:c>
      <x:c r="E7" s="32" t="str">
        <x:v>• Large-calibre tank ordnance manufacture
• barrel/breech/associated ordnance capability.</x:v>
      </x:c>
      <x:c r="F7" s="38" t="str">
        <x:v>https://www.aweil.in/download/rti/manuals_standard/1.1.pdf
https://www.aweil.in/download/Annual-Report-2024-25-en.pdf?v=1.87</x:v>
      </x:c>
    </x:row>
    <x:row r="8" ht="210" customHeight="1">
      <x:c r="A8" s="37" t="str">
        <x:v>AWEIL</x:v>
      </x:c>
      <x:c r="B8" s="32" t="str">
        <x:v>Artillery</x:v>
      </x:c>
      <x:c r="C8" s="32" t="str">
        <x:v>Dhanush 155 mm × 45 Cal Artillery Gun System</x:v>
      </x:c>
      <x:c r="D8" s="32" t="str">
        <x:v>• Calibre: 155 mm / 45 calibre
• Operational/combat configuration: ~13.2 tonnes; early/unladen specification was &lt;13 tonnes
• Maximum range: 38 km with ERFB-BB ammunition
• Ground clearance: 400 mm
• Elevation: −3° to +70°
• Traverse: 60° arc (±30°)
• Towing speed: 70 km/h
• Self-propelled speed: 5 km/h
• Barrel life: 1,500 EFC
• Rate of fire — burst: 3 rounds / 30 sec
• Rate of fire — intense: 12 rounds / 3 min
• Rate of fire — sustained: 42 rounds / 60 min
• Ammunition: NATO-standard 155 mm; published examples include ERFB-BT, ERFB-BB, HEER, HE M107, HE 77B, smoke ER and illuminating ER
• Navigation/sighting: GPS-aided INS; Advanced Gun Sighting System (AGSS)
• Fire control: onboard ballistic computation / ballistic computer
• Gun laying: automatic/electronic laying
• Muzzle-velocity data: onboard muzzle-velocity measurement/recording
• Direct fire: day and night
• Command/fire-control integration: artillery C2/BMCS compatibility
• Terrain/mobility: designed for all-terrain employment; self-propelled capability for difficult/high-altitude terrain
• Burst rate: 3 rounds / 30 sec
• Intense rate: 12 rounds / 3 min</x:v>
      </x:c>
      <x:c r="E8" s="32" t="str">
        <x:v>• Indigenous 155 mm artillery gun system
• Shoot-and-scoot capability
• Autonomous/all-terrain gun operation
• GPS-aided INS navigation and orientation
• Automated gun laying and positioning
• Day/night direct firing
• NATO ammunition and charge compatibility
• Digital fire-control architecture
• High-altitude and difficult-terrain mobility
• Automatic Gun Sighting System (AGSS)
• GPS-aided inertial navigation
• Day/night direct-firing capability
• Supports wide range of ammunition and charges</x:v>
      </x:c>
      <x:c r="F8" s="38" t="str">
        <x:v>https://www.ddpmod.gov.in/en/resources/products/155mm-electronically-upgraded-artillery-gun-system-dhanush
https://www.aweil.in/download/Annual-Report-2024-25-en.pdf?v=1.87
https://www.pib.gov.in/PressReleasePage.aspx?PRID=1570184&amp;lang=2&amp;reg=3
https://www.pib.gov.in/newsite/PrintRelease.aspx?lang=2&amp;reg=48&amp;relid=188788
https://www.janes.com/defence-intelligence-insights/defence-news/indian-army-receives-first-six-of-114-dhanush-howitzers
https://www.aweil.in/download/rti/manuals_standard/1.1.pdf</x:v>
      </x:c>
    </x:row>
    <x:row r="9" ht="210" customHeight="1">
      <x:c r="A9" s="37" t="str">
        <x:v>AWEIL</x:v>
      </x:c>
      <x:c r="B9" s="32" t="str">
        <x:v>Artillery</x:v>
      </x:c>
      <x:c r="C9" s="32" t="str">
        <x:v>Sharang 155 mm × 45 Cal Up-Gunned Artillery System</x:v>
      </x:c>
      <x:c r="D9" s="32" t="str">
        <x:v>• Original platform: 130 mm M-46
• upgraded calibre: 155 mm × 45
• 155 mm ammunition compatibility.
• Certified range: 39 km with ERFB-BB ammunition
• System weight: ~8.4 tonnes
• Muzzle velocity: ~870 m/s</x:v>
      </x:c>
      <x:c r="E9" s="32" t="str">
        <x:v>• Up-gunning of M-46
• extended range
• modernized artillery capability while using existing gun platform architecture.</x:v>
      </x:c>
      <x:c r="F9" s="38" t="str">
        <x:v>https://www.aweil.in/download/rti/manuals_standard/1.1.pdf
https://www.aweil.in/download/Annual-Report-2021-22-Handbook.pdf?v=1.68</x:v>
      </x:c>
    </x:row>
    <x:row r="10" ht="210" customHeight="1">
      <x:c r="A10" s="37" t="str">
        <x:v>AWEIL</x:v>
      </x:c>
      <x:c r="B10" s="32" t="str">
        <x:v>Artillery</x:v>
      </x:c>
      <x:c r="C10" s="32" t="str">
        <x:v>T-72 Tank Gun / Ordnance</x:v>
      </x:c>
      <x:c r="D10" s="32" t="str">
        <x:v>• Tank-gun/ordnance articles for T-72
• specific complete-gun dimensions and ballistic performance not consistently disclosed in reviewed AWEIL sources.</x:v>
      </x:c>
      <x:c r="E10" s="32" t="str">
        <x:v>• Large-calibre tank ordnance manufacture.</x:v>
      </x:c>
      <x:c r="F10" s="38" t="str">
        <x:v>https://www.aweil.in/download/rti/manuals_standard/1.1.pdf
https://www.aweil.in/download/Annual-Report-2024-25-en.pdf?v=1.87</x:v>
      </x:c>
    </x:row>
    <x:row r="11" ht="210" customHeight="1">
      <x:c r="A11" s="37" t="str">
        <x:v>AWEIL</x:v>
      </x:c>
      <x:c r="B11" s="32" t="str">
        <x:v>Artillery</x:v>
      </x:c>
      <x:c r="C11" s="32" t="str">
        <x:v>T-90 Tank Gun / Ordnance</x:v>
      </x:c>
      <x:c r="D11" s="32" t="str">
        <x:v>• Tank-gun/ordnance articles for T-90
• specific complete-gun dimensions and ballistic performance not consistently disclosed in reviewed AWEIL sources.</x:v>
      </x:c>
      <x:c r="E11" s="32" t="str">
        <x:v>• Large-calibre tank ordnance manufacture.</x:v>
      </x:c>
      <x:c r="F11" s="38" t="str">
        <x:v>https://www.aweil.in/download/rti/manuals_standard/1.1.pdf
https://www.aweil.in/download/Annual-Report-2024-25-en.pdf?v=1.87</x:v>
      </x:c>
    </x:row>
    <x:row r="12" ht="210" customHeight="1">
      <x:c r="A12" s="37" t="str">
        <x:v>AWEIL</x:v>
      </x:c>
      <x:c r="B12" s="32" t="str">
        <x:v>Ammunition</x:v>
      </x:c>
      <x:c r="C12" s="32" t="str">
        <x:v>105 mm Colour Shells</x:v>
      </x:c>
      <x:c r="D12" s="32" t="str">
        <x:v>• AWEIL identifies 105 mm colour/signal ammunition.</x:v>
      </x:c>
      <x:c r="E12" s="32" t="str">
        <x:v>• AWEIL ammunition hardware/manufacturing capability across medium and large calibres.</x:v>
      </x:c>
      <x:c r="F12" s="38" t="str">
        <x:v>https://www.aweil.in/download/rti/manuals_standard/1.1.pdf
https://www.aweil.in/download/Annual-Report-2021-22-Handbook.pdf?v=1.68</x:v>
      </x:c>
    </x:row>
    <x:row r="13" ht="210" customHeight="1">
      <x:c r="A13" s="37" t="str">
        <x:v>AWEIL</x:v>
      </x:c>
      <x:c r="B13" s="32" t="str">
        <x:v>Ammunition</x:v>
      </x:c>
      <x:c r="C13" s="32" t="str">
        <x:v>105 mm HE Shells</x:v>
      </x:c>
      <x:c r="D13" s="32" t="str">
        <x:v>• AWEIL identifies 105 mm HE ammunition
• complete-round ballistic data varies by projectile/charge.</x:v>
      </x:c>
      <x:c r="E13" s="32" t="str">
        <x:v>• AWEIL ammunition hardware/manufacturing capability across medium and large calibres.</x:v>
      </x:c>
      <x:c r="F13" s="38" t="str">
        <x:v>https://www.aweil.in/download/rti/manuals_standard/1.1.pdf
https://www.aweil.in/download/Annual-Report-2021-22-Handbook.pdf?v=1.68</x:v>
      </x:c>
    </x:row>
    <x:row r="14" ht="210" customHeight="1">
      <x:c r="A14" s="37" t="str">
        <x:v>AWEIL</x:v>
      </x:c>
      <x:c r="B14" s="32" t="str">
        <x:v>Ammunition</x:v>
      </x:c>
      <x:c r="C14" s="32" t="str">
        <x:v>105 mm Illuminating Shells</x:v>
      </x:c>
      <x:c r="D14" s="32" t="str">
        <x:v>• AWEIL identifies 105 mm illuminating ammunition.</x:v>
      </x:c>
      <x:c r="E14" s="32" t="str">
        <x:v>• AWEIL ammunition hardware/manufacturing capability across medium and large calibres.</x:v>
      </x:c>
      <x:c r="F14" s="38" t="str">
        <x:v>https://www.aweil.in/download/rti/manuals_standard/1.1.pdf
https://www.aweil.in/download/Annual-Report-2021-22-Handbook.pdf?v=1.68</x:v>
      </x:c>
    </x:row>
    <x:row r="15" ht="210" customHeight="1">
      <x:c r="A15" s="37" t="str">
        <x:v>AWEIL</x:v>
      </x:c>
      <x:c r="B15" s="32" t="str">
        <x:v>Ammunition</x:v>
      </x:c>
      <x:c r="C15" s="32" t="str">
        <x:v>105 mm Smoke Shells</x:v>
      </x:c>
      <x:c r="D15" s="32" t="str">
        <x:v>• AWEIL identifies 105 mm smoke ammunition.</x:v>
      </x:c>
      <x:c r="E15" s="32" t="str">
        <x:v>• AWEIL ammunition hardware/manufacturing capability across medium and large calibres.</x:v>
      </x:c>
      <x:c r="F15" s="38" t="str">
        <x:v>https://www.aweil.in/download/rti/manuals_standard/1.1.pdf
https://www.aweil.in/download/Annual-Report-2021-22-Handbook.pdf?v=1.68</x:v>
      </x:c>
    </x:row>
    <x:row r="16" ht="210" customHeight="1">
      <x:c r="A16" s="37" t="str">
        <x:v>AWEIL</x:v>
      </x:c>
      <x:c r="B16" s="32" t="str">
        <x:v>Ammunition</x:v>
      </x:c>
      <x:c r="C16" s="32" t="str">
        <x:v>120 mm Tank Ammunition</x:v>
      </x:c>
      <x:c r="D16" s="32" t="str">
        <x:v>• AWEIL identifies 120 mm tank ammunition
• exact round type/spec depends on ammunition family.</x:v>
      </x:c>
      <x:c r="E16" s="32" t="str">
        <x:v>• AWEIL ammunition hardware/manufacturing capability across medium and large calibres.</x:v>
      </x:c>
      <x:c r="F16" s="38" t="str">
        <x:v>https://www.aweil.in/download/rti/manuals_standard/1.1.pdf
https://www.aweil.in/download/Annual-Report-2021-22-Handbook.pdf?v=1.68</x:v>
      </x:c>
    </x:row>
    <x:row r="17" ht="210" customHeight="1">
      <x:c r="A17" s="37" t="str">
        <x:v>AWEIL</x:v>
      </x:c>
      <x:c r="B17" s="32" t="str">
        <x:v>Ammunition</x:v>
      </x:c>
      <x:c r="C17" s="32" t="str">
        <x:v>125 mm Tank Ammunition</x:v>
      </x:c>
      <x:c r="D17" s="32" t="str">
        <x:v>• AWEIL identifies 125 mm tank ammunition
• exact round type/spec depends on ammunition family.</x:v>
      </x:c>
      <x:c r="E17" s="32" t="str">
        <x:v>• AWEIL ammunition hardware/manufacturing capability across medium and large calibres.</x:v>
      </x:c>
      <x:c r="F17" s="38" t="str">
        <x:v>https://www.aweil.in/download/rti/manuals_standard/1.1.pdf
https://www.aweil.in/download/Annual-Report-2021-22-Handbook.pdf?v=1.68</x:v>
      </x:c>
    </x:row>
    <x:row r="18" ht="210" customHeight="1">
      <x:c r="A18" s="37" t="str">
        <x:v>AWEIL</x:v>
      </x:c>
      <x:c r="B18" s="32" t="str">
        <x:v>Ammunition</x:v>
      </x:c>
      <x:c r="C18" s="32" t="str">
        <x:v>130 mm Artillery Ammunition</x:v>
      </x:c>
      <x:c r="D18" s="32" t="str">
        <x:v>• AWEIL identifies 130 mm artillery ammunition.</x:v>
      </x:c>
      <x:c r="E18" s="32" t="str">
        <x:v>• AWEIL ammunition hardware/manufacturing capability across medium and large calibres.</x:v>
      </x:c>
      <x:c r="F18" s="38" t="str">
        <x:v>https://www.aweil.in/download/rti/manuals_standard/1.1.pdf
https://www.aweil.in/download/Annual-Report-2021-22-Handbook.pdf?v=1.68</x:v>
      </x:c>
    </x:row>
    <x:row r="19" ht="210" customHeight="1">
      <x:c r="A19" s="37" t="str">
        <x:v>AWEIL</x:v>
      </x:c>
      <x:c r="B19" s="32" t="str">
        <x:v>Ammunition</x:v>
      </x:c>
      <x:c r="C19" s="32" t="str">
        <x:v>155 mm Artillery Ammunition</x:v>
      </x:c>
      <x:c r="D19" s="32" t="str">
        <x:v>• AWEIL identifies 155 mm artillery ammunition
• exact projectile/charge specs vary by round.</x:v>
      </x:c>
      <x:c r="E19" s="32" t="str">
        <x:v>• AWEIL ammunition hardware/manufacturing capability across medium and large calibres.</x:v>
      </x:c>
      <x:c r="F19" s="38" t="str">
        <x:v>https://www.aweil.in/download/rti/manuals_standard/1.1.pdf
https://www.aweil.in/download/Annual-Report-2021-22-Handbook.pdf?v=1.68</x:v>
      </x:c>
    </x:row>
    <x:row r="20" ht="210" customHeight="1">
      <x:c r="A20" s="37" t="str">
        <x:v>AWEIL</x:v>
      </x:c>
      <x:c r="B20" s="32" t="str">
        <x:v>Ammunition</x:v>
      </x:c>
      <x:c r="C20" s="32" t="str">
        <x:v>30 mm Shells</x:v>
      </x:c>
      <x:c r="D20" s="32" t="str">
        <x:v>• AWEIL identifies 30 mm ammunition hardware/shell production
• exact projectile mass, MV and fill depend on round and are not consolidated in reviewed AWEIL sources.</x:v>
      </x:c>
      <x:c r="E20" s="32" t="str">
        <x:v>• AWEIL ammunition hardware/manufacturing capability across medium and large calibres.</x:v>
      </x:c>
      <x:c r="F20" s="38" t="str">
        <x:v>https://www.aweil.in/download/rti/manuals_standard/1.1.pdf
https://www.aweil.in/download/Annual-Report-2021-22-Handbook.pdf?v=1.68</x:v>
      </x:c>
    </x:row>
    <x:row r="21" ht="210" customHeight="1">
      <x:c r="A21" s="37" t="str">
        <x:v>AWEIL</x:v>
      </x:c>
      <x:c r="B21" s="32" t="str">
        <x:v>Ammunition</x:v>
      </x:c>
      <x:c r="C21" s="32" t="str">
        <x:v>40 mm Shells</x:v>
      </x:c>
      <x:c r="D21" s="32" t="str">
        <x:v>• AWEIL identifies 40 mm ammunition hardware/shell production
• exact projectile mass, MV and fill depend on round.</x:v>
      </x:c>
      <x:c r="E21" s="32" t="str">
        <x:v>• AWEIL ammunition hardware/manufacturing capability across medium and large calibres.</x:v>
      </x:c>
      <x:c r="F21" s="38" t="str">
        <x:v>https://www.aweil.in/download/rti/manuals_standard/1.1.pdf
https://www.aweil.in/download/Annual-Report-2021-22-Handbook.pdf?v=1.68</x:v>
      </x:c>
    </x:row>
    <x:row r="22" ht="210" customHeight="1">
      <x:c r="A22" s="37" t="str">
        <x:v>AWEIL</x:v>
      </x:c>
      <x:c r="B22" s="32" t="str">
        <x:v>Ammunition</x:v>
      </x:c>
      <x:c r="C22" s="32" t="str">
        <x:v>51 mm Mortar Bombs</x:v>
      </x:c>
      <x:c r="D22" s="32" t="str">
        <x:v>• AWEIL identifies 51 mm mortar production/ammunition
• exact projectile data varies by bomb type.</x:v>
      </x:c>
      <x:c r="E22" s="32" t="str">
        <x:v>• AWEIL ammunition hardware/manufacturing capability across medium and large calibres.</x:v>
      </x:c>
      <x:c r="F22" s="38" t="str">
        <x:v>https://www.aweil.in/download/rti/manuals_standard/1.1.pdf
https://www.aweil.in/download/Annual-Report-2021-22-Handbook.pdf?v=1.68</x:v>
      </x:c>
    </x:row>
    <x:row r="23" ht="210" customHeight="1">
      <x:c r="A23" s="37" t="str">
        <x:v>AWEIL</x:v>
      </x:c>
      <x:c r="B23" s="32" t="str">
        <x:v>Ammunition</x:v>
      </x:c>
      <x:c r="C23" s="32" t="str">
        <x:v>81 mm Mortar Bombs</x:v>
      </x:c>
      <x:c r="D23" s="32" t="str">
        <x:v>• AWEIL identifies 81 mm mortar ammunition
• exact projectile data varies by bomb type.</x:v>
      </x:c>
      <x:c r="E23" s="32" t="str">
        <x:v>• AWEIL ammunition hardware/manufacturing capability across medium and large calibres.</x:v>
      </x:c>
      <x:c r="F23" s="38" t="str">
        <x:v>https://www.aweil.in/download/rti/manuals_standard/1.1.pdf
https://www.aweil.in/download/Annual-Report-2021-22-Handbook.pdf?v=1.68</x:v>
      </x:c>
    </x:row>
    <x:row r="24" ht="210" customHeight="1">
      <x:c r="A24" s="37" t="str">
        <x:v>AWEIL</x:v>
      </x:c>
      <x:c r="B24" s="32" t="str">
        <x:v>Small Arms</x:v>
      </x:c>
      <x:c r="C24" s="32" t="str">
        <x:v>.315 Sporting Rifle</x:v>
      </x:c>
      <x:c r="D24" s="32" t="str">
        <x:v>• .315 calibre sporting rifle
• detailed current dimensions/range not established in reviewed authoritative sources.</x:v>
      </x:c>
      <x:c r="E24" s="32" t="str">
        <x:v>• Sporting rifle configuration.</x:v>
      </x:c>
      <x:c r="F24" s="38" t="str">
        <x:v>https://www.aweil.in/products</x:v>
      </x:c>
    </x:row>
    <x:row r="25" ht="210" customHeight="1">
      <x:c r="A25" s="37" t="str">
        <x:v>AWEIL</x:v>
      </x:c>
      <x:c r="B25" s="32" t="str">
        <x:v>Small Arms</x:v>
      </x:c>
      <x:c r="C25" s="32" t="str">
        <x:v>12 Bore Pump Action Gun</x:v>
      </x:c>
      <x:c r="D25" s="32" t="str">
        <x:v>• Gauge: 12 bore
• Firing mode: single shot
• Magazine capacity: 4 rounds</x:v>
      </x:c>
      <x:c r="E25" s="32" t="str">
        <x:v>• Pump-action smoothbore weapon.</x:v>
      </x:c>
      <x:c r="F25" s="38" t="str">
        <x:v>https://www.aweil.in/download/Annual-Report-2024-25-en.pdf?v=1.87
https://www.aweil.in/products
https://aweil.in/units-division</x:v>
      </x:c>
    </x:row>
    <x:row r="26" ht="210" customHeight="1">
      <x:c r="A26" s="37" t="str">
        <x:v>AWEIL</x:v>
      </x:c>
      <x:c r="B26" s="32" t="str">
        <x:v>Small Arms</x:v>
      </x:c>
      <x:c r="C26" s="32" t="str">
        <x:v>12.7 mm Air Defence Gun</x:v>
      </x:c>
      <x:c r="D26" s="32" t="str">
        <x:v>• Calibre: 12.7 mm
• detailed current ballistic/weight figures not established in reviewed AWEIL authoritative sources.</x:v>
      </x:c>
      <x:c r="E26" s="32" t="str">
        <x:v>• Air-defence role
• AWEIL product matrix places it under small arms/weapon systems.</x:v>
      </x:c>
      <x:c r="F26" s="38" t="str">
        <x:v>https://www.aweil.in/download/rti/manuals_standard/1.1.pdf
https://www.aweil.in/products</x:v>
      </x:c>
    </x:row>
    <x:row r="27" ht="210" customHeight="1">
      <x:c r="A27" s="37" t="str">
        <x:v>AWEIL</x:v>
      </x:c>
      <x:c r="B27" s="32" t="str">
        <x:v>Small Arms</x:v>
      </x:c>
      <x:c r="C27" s="32" t="str">
        <x:v>12.7 mm Light Weight Anti-Material Rifle (AMR)</x:v>
      </x:c>
      <x:c r="D27" s="32" t="str">
        <x:v>• Calibre: 12.7 mm
• exact mass, barrel length, muzzle velocity and effective range not consolidated in reviewed authoritative AWEIL sources.</x:v>
      </x:c>
      <x:c r="E27" s="32" t="str">
        <x:v>• Lightweight anti-materiel/sniping role.</x:v>
      </x:c>
      <x:c r="F27" s="38" t="str">
        <x:v>https://www.aweil.in/products</x:v>
      </x:c>
    </x:row>
    <x:row r="28" ht="210" customHeight="1">
      <x:c r="A28" s="37" t="str">
        <x:v>AWEIL</x:v>
      </x:c>
      <x:c r="B28" s="32" t="str">
        <x:v>Small Arms</x:v>
      </x:c>
      <x:c r="C28" s="32" t="str">
        <x:v>14.5 mm Field Artillery Training System</x:v>
      </x:c>
      <x:c r="D28" s="32" t="str">
        <x:v>• 14.5 mm sub-calibre training system
• detailed dimensions/performance not established in reviewed current sources.</x:v>
      </x:c>
      <x:c r="E28" s="32" t="str">
        <x:v>• Training aid for artillery/gun crews.</x:v>
      </x:c>
      <x:c r="F28" s="38" t="str">
        <x:v>https://www.aweil.in/products</x:v>
      </x:c>
    </x:row>
    <x:row r="29" ht="210" customHeight="1">
      <x:c r="A29" s="37" t="str">
        <x:v>AWEIL</x:v>
      </x:c>
      <x:c r="B29" s="32" t="str">
        <x:v>Small Arms</x:v>
      </x:c>
      <x:c r="C29" s="32" t="str">
        <x:v>14.5 mm Sub-Caliber Device</x:v>
      </x:c>
      <x:c r="D29" s="32" t="str">
        <x:v>• 14.5 mm sub-calibre device
• detailed current dimensions/ballistics not established in reviewed sources.</x:v>
      </x:c>
      <x:c r="E29" s="32" t="str">
        <x:v>• Training/sub-calibre practice device.</x:v>
      </x:c>
      <x:c r="F29" s="38" t="str">
        <x:v>https://www.aweil.in/products</x:v>
      </x:c>
    </x:row>
    <x:row r="30" ht="210" customHeight="1">
      <x:c r="A30" s="37" t="str">
        <x:v>AWEIL</x:v>
      </x:c>
      <x:c r="B30" s="32" t="str">
        <x:v>Small Arms</x:v>
      </x:c>
      <x:c r="C30" s="32" t="str">
        <x:v>14.5/20 mm Anti-Material Rifle (Vidhwanshak)</x:v>
      </x:c>
      <x:c r="D30" s="32" t="str">
        <x:v>• Calibre: 14.5 mm / 20 mm configurations
• detailed current variant-specific mass/range not consolidated in reviewed AWEIL sources.
• Calibre variants: 14.5 mm / 20 mm</x:v>
      </x:c>
      <x:c r="E30" s="32" t="str">
        <x:v>• Anti-materiel rifle
• large-calibre target engagement.
• Anti-materiel rifle product family</x:v>
      </x:c>
      <x:c r="F30" s="38" t="str">
        <x:v>https://www.aweil.in/products
https://www.aweil.in/download/rti/manuals_standard/1.1.pdf</x:v>
      </x:c>
    </x:row>
    <x:row r="31" ht="210" customHeight="1">
      <x:c r="A31" s="37" t="str">
        <x:v>AWEIL</x:v>
      </x:c>
      <x:c r="B31" s="32" t="str">
        <x:v>Small Arms</x:v>
      </x:c>
      <x:c r="C31" s="32" t="str">
        <x:v>23 mm Ghasha Gun</x:v>
      </x:c>
      <x:c r="D31" s="32" t="str">
        <x:v>• 23 mm calibre
• detailed current performance specifications not established in reviewed sources.</x:v>
      </x:c>
      <x:c r="E31" s="32" t="str">
        <x:v>• Small/medium-calibre automatic weapon system.</x:v>
      </x:c>
      <x:c r="F31" s="38" t="str">
        <x:v>https://www.aweil.in/products</x:v>
      </x:c>
    </x:row>
    <x:row r="32" ht="210" customHeight="1">
      <x:c r="A32" s="37" t="str">
        <x:v>AWEIL</x:v>
      </x:c>
      <x:c r="B32" s="32" t="str">
        <x:v>Small Arms</x:v>
      </x:c>
      <x:c r="C32" s="32" t="str">
        <x:v>30 mm Cannon Gun</x:v>
      </x:c>
      <x:c r="D32" s="32" t="str">
        <x:v>• 30 mm calibre
• detailed current platform, rate, mass and range not established in reviewed sources.</x:v>
      </x:c>
      <x:c r="E32" s="32" t="str">
        <x:v>• Medium-calibre cannon capability.</x:v>
      </x:c>
      <x:c r="F32" s="38" t="str">
        <x:v>https://www.aweil.in/products</x:v>
      </x:c>
    </x:row>
    <x:row r="33" ht="210" customHeight="1">
      <x:c r="A33" s="37" t="str">
        <x:v>AWEIL</x:v>
      </x:c>
      <x:c r="B33" s="32" t="str">
        <x:v>Small Arms</x:v>
      </x:c>
      <x:c r="C33" s="32" t="str">
        <x:v>38 mm Multi Shell Launcher</x:v>
      </x:c>
      <x:c r="D33" s="32" t="str">
        <x:v>• 38 mm
• launcher system
• detailed current mass/range/projectile data not established in reviewed sources.</x:v>
      </x:c>
      <x:c r="E33" s="32" t="str">
        <x:v>• Multi-shell launcher capability.</x:v>
      </x:c>
      <x:c r="F33" s="38" t="str">
        <x:v>https://www.aweil.in/products
https://www.aweil.in/download/rti/manuals_standard/1.1.pdf</x:v>
      </x:c>
    </x:row>
    <x:row r="34" ht="210" customHeight="1">
      <x:c r="A34" s="37" t="str">
        <x:v>AWEIL</x:v>
      </x:c>
      <x:c r="B34" s="32" t="str">
        <x:v>Small Arms</x:v>
      </x:c>
      <x:c r="C34" s="32" t="str">
        <x:v>40 mm Multi Grenade Launcher</x:v>
      </x:c>
      <x:c r="D34" s="32" t="str">
        <x:v>• 40 mm
• grenade launcher
• detailed current mass/range/rate not established in reviewed sources.
• Calibre: 40 mm</x:v>
      </x:c>
      <x:c r="E34" s="32" t="str">
        <x:v>• Multi-grenade launcher capability.
• Multi-shot grenade launcher</x:v>
      </x:c>
      <x:c r="F34" s="38" t="str">
        <x:v>https://www.aweil.in/products
https://www.aweil.in/download/rti/manuals_standard/1.1.pdf</x:v>
      </x:c>
    </x:row>
    <x:row r="35" ht="210" customHeight="1">
      <x:c r="A35" s="37" t="str">
        <x:v>AWEIL</x:v>
      </x:c>
      <x:c r="B35" s="32" t="str">
        <x:v>Small Arms</x:v>
      </x:c>
      <x:c r="C35" s="32" t="str">
        <x:v>40×46 mm Under-Barrel Grenade Launcher</x:v>
      </x:c>
      <x:c r="D35" s="32" t="str">
        <x:v>• Calibre: 40×46 mm
• designed for TAR/AK-47 mounting
• detailed mass/range not established in reviewed sources.</x:v>
      </x:c>
      <x:c r="E35" s="32" t="str">
        <x:v>• Under-barrel attachment for infantry rifles.
• Under-barrel grenade-launcher product</x:v>
      </x:c>
      <x:c r="F35" s="38" t="str">
        <x:v>https://www.aweil.in/products
https://www.aweil.in/download/rti/manuals_standard/1.1.pdf</x:v>
      </x:c>
    </x:row>
    <x:row r="36" ht="210" customHeight="1">
      <x:c r="A36" s="37" t="str">
        <x:v>AWEIL</x:v>
      </x:c>
      <x:c r="B36" s="32" t="str">
        <x:v>Small Arms</x:v>
      </x:c>
      <x:c r="C36" s="32" t="str">
        <x:v>5.56 mm INSAS Rifle</x:v>
      </x:c>
      <x:c r="D36" s="32" t="str">
        <x:v>• Calibre: 5.56 mm
• INSAS family. Detailed variant-specific mass/length/range varies
• AWEIL sources identify the family but do not present one consolidated current spec sheet.</x:v>
      </x:c>
      <x:c r="E36" s="32" t="str">
        <x:v>• Indigenous rifle family
• multiple configurations/variants.</x:v>
      </x:c>
      <x:c r="F36" s="38" t="str">
        <x:v>https://aweil.in/units-division
https://www.aweil.in/download/rti/manuals_standard/1.1.pdf</x:v>
      </x:c>
    </x:row>
    <x:row r="37" ht="210" customHeight="1">
      <x:c r="A37" s="37" t="str">
        <x:v>AWEIL</x:v>
      </x:c>
      <x:c r="B37" s="32" t="str">
        <x:v>Small Arms</x:v>
      </x:c>
      <x:c r="C37" s="32" t="str">
        <x:v>5.56 mm JVPC</x:v>
      </x:c>
      <x:c r="D37" s="32" t="str">
        <x:v>• Calibre: 5.56×30 mm
• mass: &lt;3.0 kg without magazine (DRDO export 2025)
• barrel: 300 mm
• length: 560 mm butt folded
• magazine: 30 rounds
• gas-operated
• single/auto.
• Calibre family: 5.56 mm</x:v>
      </x:c>
      <x:c r="E37" s="32" t="str">
        <x:v>• Compact
• semi-bullpup
• low recoil
• retractable/folding butt
• accessory/sight provisions
• CQB/CI-CT role.
• Compact close-quarter/protective carbine product</x:v>
      </x:c>
      <x:c r="F37" s="38" t="str">
        <x:v>https://www.drdo.gov.in/drdo/sites/default/files/schemes_services/CompendiumProductforExport2025.pdf
https://aweil.in/units-division
https://www.aweil.in/download/rti/manuals_standard/1.1.pdf</x:v>
      </x:c>
    </x:row>
    <x:row r="38" ht="210" customHeight="1">
      <x:c r="A38" s="37" t="str">
        <x:v>AWEIL</x:v>
      </x:c>
      <x:c r="B38" s="32" t="str">
        <x:v>Small Arms</x:v>
      </x:c>
      <x:c r="C38" s="32" t="str">
        <x:v>7.62 mm LMG Belt-Fed</x:v>
      </x:c>
      <x:c r="D38" s="32" t="str">
        <x:v>• Calibre: 7.62 mm
• belt-fed
• gas-operated, air-cooled
• exact current AWEIL configuration varies.
• Calibre/cartridge: 7.62×51 mm
• Effective range: 800 m
• Rate of fire: 600 rounds/min</x:v>
      </x:c>
      <x:c r="E38" s="32" t="str">
        <x:v>• Sustained automatic fire
• infantry support.
• Light machine-gun role</x:v>
      </x:c>
      <x:c r="F38" s="38" t="str">
        <x:v>https://aweil.in/units-division
https://www.aweil.in/download/rti/manuals_standard/1.1.pdf
https://www.aweil.in/download/Annual-Report-2024-25-en.pdf?v=1.87</x:v>
      </x:c>
    </x:row>
    <x:row r="39" ht="210" customHeight="1">
      <x:c r="A39" s="37" t="str">
        <x:v>AWEIL</x:v>
      </x:c>
      <x:c r="B39" s="32" t="str">
        <x:v>Small Arms</x:v>
      </x:c>
      <x:c r="C39" s="32" t="str">
        <x:v>7.62 mm MAG Machine Gun</x:v>
      </x:c>
      <x:c r="D39" s="32" t="str">
        <x:v>• Calibre: 7.62×51 mm
• effective range: 1,800 m
• rate of fire: 600–1,000 rpm adjustable
• automatic
• weight: 11 kg
• length: 1,048 mm
• belt-fed.
• Calibre/cartridge: 7.62×51 mm
• Belt-fed</x:v>
      </x:c>
      <x:c r="E39" s="32" t="str">
        <x:v>• Gas-operated, air-cooled, belt-fed
• infantry, coaxial/turret, tripod, tank and aircraft mounting
• quick-change spare barrel
• sustained fire capability.
• General-purpose / medium machine-gun role</x:v>
      </x:c>
      <x:c r="F39" s="38" t="str">
        <x:v>https://www.ddpmod.gov.in/hi/node/7209
https://aweil.in/units-division
https://www.aweil.in/download/Annual-Report-2024-25-en.pdf?v=1.87
https://www.aweil.in/download/rti/manuals_standard/1.1.pdf</x:v>
      </x:c>
    </x:row>
    <x:row r="40" ht="210" customHeight="1">
      <x:c r="A40" s="37" t="str">
        <x:v>AWEIL</x:v>
      </x:c>
      <x:c r="B40" s="32" t="str">
        <x:v>Small Arms</x:v>
      </x:c>
      <x:c r="C40" s="32" t="str">
        <x:v>7.62 mm Trichy Assault Rifle</x:v>
      </x:c>
      <x:c r="D40" s="32" t="str">
        <x:v>• Calibre: 7.62 × 39 mm
• Effective range: 350 m
• Rate of fire: 600 rounds/min
• Firing modes: single shot and automatic
• Calibre/cartridge: 7.62×39 mm</x:v>
      </x:c>
      <x:c r="E40" s="32" t="str">
        <x:v>• AK-47-comparable role
• infantry/CAPF use.
• Single and automatic fire</x:v>
      </x:c>
      <x:c r="F40" s="38" t="str">
        <x:v>https://www.aweil.in/download/Annual-Report-2024-25-en.pdf?v=1.87
https://www.aweil.in/products
https://aweil.in/units-division
https://www.aweil.in/download/rti/manuals_standard/1.1.pdf</x:v>
      </x:c>
    </x:row>
    <x:row r="41" ht="210" customHeight="1">
      <x:c r="A41" s="37" t="str">
        <x:v>AWEIL</x:v>
      </x:c>
      <x:c r="B41" s="32" t="str">
        <x:v>Small Arms</x:v>
      </x:c>
      <x:c r="C41" s="32" t="str">
        <x:v>7.62×51 mm Sniper Rifle</x:v>
      </x:c>
      <x:c r="D41" s="32" t="str">
        <x:v>• Calibre/cartridge: 7.62×51 mm</x:v>
      </x:c>
      <x:c r="E41" s="32" t="str">
        <x:v>• Precision/sniper rifle product family</x:v>
      </x:c>
      <x:c r="F41" s="38" t="str">
        <x:v>https://www.aweil.in/download/rti/manuals_standard/1.1.pdf
https://www.aweil.in/download/Annual-Report-2024-25-en.pdf?v=1.87</x:v>
      </x:c>
    </x:row>
    <x:row r="42" ht="210" customHeight="1">
      <x:c r="A42" s="37" t="str">
        <x:v>AWEIL</x:v>
      </x:c>
      <x:c r="B42" s="32" t="str">
        <x:v>Small Arms</x:v>
      </x:c>
      <x:c r="C42" s="32" t="str">
        <x:v>9 mm Carbine</x:v>
      </x:c>
      <x:c r="D42" s="32" t="str">
        <x:v>• 9 mm calibre
• detailed current variant-specific dimensions/range not consolidated in reviewed AWEIL sources.</x:v>
      </x:c>
      <x:c r="E42" s="32" t="str">
        <x:v>• Carbine for close-range/security roles.</x:v>
      </x:c>
      <x:c r="F42" s="38" t="str">
        <x:v>https://aweil.in/units-division
https://www.aweil.in/download/rti/manuals_standard/1.1.pdf</x:v>
      </x:c>
    </x:row>
    <x:row r="43" ht="210" customHeight="1">
      <x:c r="A43" s="37" t="str">
        <x:v>AWEIL</x:v>
      </x:c>
      <x:c r="B43" s="32" t="str">
        <x:v>Small Arms</x:v>
      </x:c>
      <x:c r="C43" s="32" t="str">
        <x:v>9×19 mm Machine Pistol (ASMI)</x:v>
      </x:c>
      <x:c r="D43" s="32" t="str">
        <x:v>• Calibre: 9×19 mm
• commonly published technical data: ~2 kg empty
• 203 mm (8 in) barrel on a documented configuration
• 33-round magazine
• ~600 rpm
• effective range ~100 m. AWEIL source confirms ASMI production but not all numerical parameters.</x:v>
      </x:c>
      <x:c r="E43" s="32" t="str">
        <x:v>• Compact machine pistol/SMG
• blowback operation
• side-folding stock
• Picatinny/M-LOK accessory interfaces
• Glock-compatible magazine in published technical references.</x:v>
      </x:c>
      <x:c r="F43" s="38" t="str">
        <x:v>https://aweil.in/units-division
https://gunspec.io/en/firearms/asmi</x:v>
      </x:c>
    </x:row>
    <x:row r="44" ht="210" customHeight="1">
      <x:c r="A44" s="37" t="str">
        <x:v>AWEIL</x:v>
      </x:c>
      <x:c r="B44" s="32" t="str">
        <x:v>Small Arms</x:v>
      </x:c>
      <x:c r="C44" s="32" t="str">
        <x:v>Automatic Grenade Launcher</x:v>
      </x:c>
      <x:c r="D44" s="32" t="str">
        <x:v>• Automatic grenade launcher
• calibre and detailed ballistic data not established in reviewed current AWEIL sources.</x:v>
      </x:c>
      <x:c r="E44" s="32" t="str">
        <x:v>• Automatic grenade-launching capability.</x:v>
      </x:c>
      <x:c r="F44" s="38" t="str">
        <x:v>https://www.aweil.in/products</x:v>
      </x:c>
    </x:row>
    <x:row r="45" ht="210" customHeight="1">
      <x:c r="A45" s="37" t="str">
        <x:v>AWEIL</x:v>
      </x:c>
      <x:c r="B45" s="32" t="str">
        <x:v>Small Arms</x:v>
      </x:c>
      <x:c r="C45" s="32" t="str">
        <x:v>Ghatak 7.62×51 mm Service Rifle</x:v>
      </x:c>
      <x:c r="D45" s="32" t="str">
        <x:v>• Calibre: 7.62×51 mm
• Unladen mass: ~4.4 kg in the audit reference
• Effective range: ~500 m
• Muzzle velocity: ~840 m/s</x:v>
      </x:c>
      <x:c r="E45" s="32" t="str">
        <x:v>• 7.62×51 mm service-rifle configuration for CAPF/SPO users
• Catalogued separately from the 5.56×45 mm INSAS rifle to avoid conflating two weapons.</x:v>
      </x:c>
      <x:c r="F45" s="38" t="str">
        <x:v>https://www.aweil.in/download/Annual-Report-2024-25-en.pdf?v=1.87
https://www.aweil.in/products
https://aweil.in/units-division
https://www.aweil.in/download/rti/manuals_standard/1.1.pdf</x:v>
      </x:c>
    </x:row>
    <x:row r="46" ht="210" customHeight="1">
      <x:c r="A46" s="37" t="str">
        <x:v>AWEIL</x:v>
      </x:c>
      <x:c r="B46" s="32" t="str">
        <x:v>Small Arms</x:v>
      </x:c>
      <x:c r="C46" s="32" t="str">
        <x:v>INSAS 1B1 5.56×45 mm Assault Rifle</x:v>
      </x:c>
      <x:c r="D46" s="32" t="str">
        <x:v>• Calibre: 5.56×45 mm
• Unladen mass: ~4.15 kg
• Effective range: ~400 m
• Muzzle velocity: ~900 m/s
• Select-fire service rifle; single and automatic modes</x:v>
      </x:c>
      <x:c r="E46" s="32" t="str">
        <x:v>• Rifle Factory Ishapore / AWEIL service-rifle product
• Separated from the 7.62×51 mm rifle entry to remove the former calibre contradiction.</x:v>
      </x:c>
      <x:c r="F46" s="38" t="str">
        <x:v>https://www.aweil.in/download/Annual-Report-2024-25-en.pdf?v=1.87
https://www.aweil.in/products
https://aweil.in/units-division
https://www.aweil.in/download/rti/manuals_standard/1.1.pdf</x:v>
      </x:c>
    </x:row>
    <x:row r="47" ht="210" customHeight="1">
      <x:c r="A47" s="37" t="str">
        <x:v>AWEIL</x:v>
      </x:c>
      <x:c r="B47" s="32" t="str">
        <x:v>Marine/Naval</x:v>
      </x:c>
      <x:c r="C47" s="32" t="str">
        <x:v>12.7 mm Stabilised Remote Control Gun (SRCG)</x:v>
      </x:c>
      <x:c r="D47" s="32" t="str">
        <x:v>• Calibre: 12.7 mm
• stabilised remote-control gun
• 463-system MoD contract reported
• detailed weapon/sensor performance varies by configuration.</x:v>
      </x:c>
      <x:c r="E47" s="32" t="str">
        <x:v>• Remote operation
• stabilisation
• naval/coast-guard applications.</x:v>
      </x:c>
      <x:c r="F47" s="38" t="str">
        <x:v>https://aweil.in/units-division
https://raksha-anirveda.com/aweil-focuses-on-modern-weapons-rd-growth/</x:v>
      </x:c>
    </x:row>
    <x:row r="48" ht="210" customHeight="1">
      <x:c r="A48" s="37" t="str">
        <x:v>AWEIL</x:v>
      </x:c>
      <x:c r="B48" s="32" t="str">
        <x:v>Marine/Naval</x:v>
      </x:c>
      <x:c r="C48" s="32" t="str">
        <x:v>76 mm Naval Gun Barrel</x:v>
      </x:c>
      <x:c r="D48" s="32" t="str">
        <x:v>• 76 mm naval gun barrel
• complete gun-system specifications not disclosed in reviewed AWEIL sources.
• Calibre: 76 mm</x:v>
      </x:c>
      <x:c r="E48" s="32" t="str">
        <x:v>• Naval ordnance/barrel manufacturing.
• Naval-gun barrel / ordnance manufacturing product</x:v>
      </x:c>
      <x:c r="F48" s="38" t="str">
        <x:v>https://www.aweil.in/download/rti/manuals_standard/1.1.pdf
https://www.aweil.in/download/Annual-Report-2024-25-en.pdf?v=1.87</x:v>
      </x:c>
    </x:row>
    <x:row r="49" ht="210" customHeight="1">
      <x:c r="A49" s="37" t="str">
        <x:v>AWEIL</x:v>
      </x:c>
      <x:c r="B49" s="32" t="str">
        <x:v>Marine/Naval</x:v>
      </x:c>
      <x:c r="C49" s="32" t="str">
        <x:v>AK-630 30 mm Six-Barrel Naval Gun</x:v>
      </x:c>
      <x:c r="D49" s="32" t="str">
        <x:v>• Calibre: 30 mm
• Barrel arrangement: six-barrel rotary cannon
• Maximum range: 5,000 m
• Rate of fire: 5,000 rounds/min
• Mount: deck-mounted naval gun system
• Ammunition feed: belt-fed
• Effective range: 1.89 km (AWEIL annual-report figure)
• Published cyclic/rate figure: 5,000 rounds/min
• Published range: 5,000 m</x:v>
      </x:c>
      <x:c r="E49" s="32" t="str">
        <x:v>• CIWS
• automatic belt feed
• anti-aircraft and anti-ship missile/fast surface-target engagement.
• Close-in naval gun system product in AWEIL portfolio</x:v>
      </x:c>
      <x:c r="F49" s="38" t="str">
        <x:v>https://www.aweil.in/download/Annual-Report-2024-25-en.pdf?v=1.87
https://www.aweil.in/download/Annual-Report-2021-22-Handbook.pdf?v=1.68
https://www.ddpmod.gov.in/hi/node/7205
https://www.aweil.in/download/rti/manuals_standard/1.1.pdf</x:v>
      </x:c>
    </x:row>
    <x:row r="50" ht="210" customHeight="1">
      <x:c r="A50" s="37" t="str">
        <x:v>Nexter (KNDS France)</x:v>
      </x:c>
      <x:c r="B50" s="32" t="str">
        <x:v>Artillery</x:v>
      </x:c>
      <x:c r="C50" s="32" t="str">
        <x:v>105 LG</x:v>
      </x:c>
      <x:c r="D50" s="32" t="str">
        <x:v>• 105 mm/30 cal
• weight 1,650 kg
• length 5.32 m
• width 1.97 m
• height 1.34 m
• rate 12 rpm
• range up to 17 km extended-range / 11 km standard 105 mm
• direct fire up to 2,000 m.
• Calibre: 105 mm / 30 calibre
• Weight: 1,650 kg
• Dimensions: 5.32 m L × 1.97 m W × 1.34 m H
• Rate of fire: 12 rounds/min
• Range: up to 17 km extended-range; up to 11 km standard
• Direct fire: up to 2,000 m
• In/out of action: 30 sec</x:v>
      </x:c>
      <x:c r="E50" s="32" t="str">
        <x:v>• Towable by 4×4/all-terrain vehicle
• helicopter sling transport
• 4 guns per C-130
• digitised INS/GPS/ballistic computer.
• Digitised with inertial navigation, GPS and ballistic computer
• Helicopter sling-load capable
• Four guns transportable in C-130</x:v>
      </x:c>
      <x:c r="F50" s="38" t="str">
        <x:v>https://knds.com/en/products/systems/105-lg</x:v>
      </x:c>
    </x:row>
    <x:row r="51" ht="210" customHeight="1">
      <x:c r="A51" s="37" t="str">
        <x:v>Nexter (KNDS France)</x:v>
      </x:c>
      <x:c r="B51" s="32" t="str">
        <x:v>Artillery</x:v>
      </x:c>
      <x:c r="C51" s="32" t="str">
        <x:v>CAESAR 6×6</x:v>
      </x:c>
      <x:c r="D51" s="32" t="str">
        <x:v>• 155 mm/52 cal
• 6×6 chassis
• crew commonly 4–5 depending configuration
• range is ammunition-dependent
• current CAESAR family supports NATO/JBMOU ammunition
• exact vehicle mass/engine varies by configuration.
• Calibre: 155 mm / 52 calibre
• Published range: up to 55 km with long-range ammunition</x:v>
      </x:c>
      <x:c r="E51" s="32" t="str">
        <x:v>• Wheeled self-propelled howitzer
• rapid deployment
• automated laying
• digital fire control
• shoot-and-scoot
• high mobility.
• High-mobility wheeled self-propelled artillery
• Compatible with NATO-standard and precision-guided 155 mm ammunition</x:v>
      </x:c>
      <x:c r="F51" s="38" t="str">
        <x:v>https://knds.com/fr/produits/systemes/caesar-6x6
https://knds.com/en/subsidiaries/knds-france
https://knds.com/en/products/systems/caesar-6x6
https://knds.com/en/products</x:v>
      </x:c>
    </x:row>
    <x:row r="52" ht="210" customHeight="1">
      <x:c r="A52" s="37" t="str">
        <x:v>Nexter (KNDS France)</x:v>
      </x:c>
      <x:c r="B52" s="32" t="str">
        <x:v>Artillery</x:v>
      </x:c>
      <x:c r="C52" s="32" t="str">
        <x:v>CAESAR 8×8</x:v>
      </x:c>
      <x:c r="D52" s="32" t="str">
        <x:v>• 155 mm/52 cal
• 8×8 Tatra T-815 chassis
• combat weight ~32 t
• crew 4
• 36 complete rounds
• road speed 90 km/h
• off-road 50 km/h
• road range 600 km
• fording up to 1.2 m
• gradient 40%
• side slope 30%
• trench 2 m
• rate 6 rpm
• range 42–55 km depending ammunition, with higher range possible using specialised ammunition.
• Calibre: 155 mm / 52 calibre
• Combat weight: 32 t
• Dimensions: 12.3 m L × 2.80 m W × 3.1 m H
• Rate of fire: 6 rounds/min
• Range: up to 42 km with LU20 base-bleed; up to 55 km with VLAP
• Road speed: 90 km/h
• Off-road speed: 50 km/h
• Road range: 600 km
• Fording: 1.2 m
• Trench crossing: 2 m
• Forward slope: 40%; side slope: 30%</x:v>
      </x:c>
      <x:c r="E52" s="32" t="str">
        <x:v>• Semi-automated loading
• digital fire control
• inertial navigation
• armoured cabin
• CTIS/run-flat option
• A400M/IL-76/C-17 transportability.
• 8×8 Tatra high-mobility chassis
• Compatible with NATO 39/52-cal ammunition and precision munitions including BONUS/KATANA</x:v>
      </x:c>
      <x:c r="F52" s="38" t="str">
        <x:v>https://knds.com/en/products/systems/caesar-8x8</x:v>
      </x:c>
    </x:row>
    <x:row r="53" ht="210" customHeight="1">
      <x:c r="A53" s="37" t="str">
        <x:v>Nexter (KNDS France)</x:v>
      </x:c>
      <x:c r="B53" s="32" t="str">
        <x:v>Artillery</x:v>
      </x:c>
      <x:c r="C53" s="32" t="str">
        <x:v>CAESAR Mk2</x:v>
      </x:c>
      <x:c r="D53" s="32" t="str">
        <x:v>• 155 mm/52 cal
• combat weight &lt;26.7 t
• length 10 m
• width 2.55 m
• height 3.6 m
• crew 5 (can operate with 3)
• rate 6 rpm
• onboard 18 rounds
• elevation 1,200 mil
• traverse ±300 mil
• range 40 km ERFB, &gt;55 km rocket-assisted
• up to 70 km with VULCANO
• air transport A400M/C-17/C-5/An-124.
• Calibre: 155 mm / 52 calibre
• Rate of fire: 6 rounds/min
• Range: 4.5–40 km with ERFB; up to 55 km rocket-assisted; approx. 50 km with Excalibur; up to 70 km with Vulcano
• Combat weight: &lt;26.7 t
• Dimensions: 10.0 m L × 2.55 m W × 3.6 m H
• On-board ammunition: 18 complete rounds
• Chamber: 23 L JBMOU
• Elevation: approx. 1,200 mil range
• Traverse: ±300 mil
• Engine: 460 hp Volvo diesel
• Transmission: automatic
• Protected cabin: factory-integrated STANAG Level 2 ballistic/mine protection</x:v>
      </x:c>
      <x:c r="E53" s="32" t="str">
        <x:v>• Improved protection
• new Volvo powerpack
• reinforced chassis
• automatic setting/laying/re-laying
• integrated FCS
• improved ergonomics
• smart-ammunition compatibility.
• Semi-automatic loading
• Fully automatic laying and re-laying
• Integrated fire-control system; compatible with C2 networks
• Ammunition compatibility includes NATO 39/52-cal, ERFB, BONUS, KATANA, Excalibur and Vulcano
• Air transportable by A400M/C-17/C-5/An-124</x:v>
      </x:c>
      <x:c r="F53" s="38" t="str">
        <x:v>https://knds.com/en/products/systems/caesar-mk-2</x:v>
      </x:c>
    </x:row>
    <x:row r="54" ht="210" customHeight="1">
      <x:c r="A54" s="37" t="str">
        <x:v>Nexter (KNDS France)</x:v>
      </x:c>
      <x:c r="B54" s="32" t="str">
        <x:v>Ammunition</x:v>
      </x:c>
      <x:c r="C54" s="32" t="str">
        <x:v>100 mm Naval</x:v>
      </x:c>
      <x:c r="D54" s="32" t="str">
        <x:v>• 100 mm naval ammunition family identified by KNDS Ammo France
• exact projectile variants and ballistic data vary.</x:v>
      </x:c>
      <x:c r="E54" s="32" t="str">
        <x:v>• NATO-standard ammunition portfolio spanning artillery, tank, mortar, medium-calibre and naval applications.</x:v>
      </x:c>
      <x:c r="F54" s="38" t="str">
        <x:v>https://knds.com/en/products/ammunition
https://knds.com/en/subsidiaries/knds-ammo-france</x:v>
      </x:c>
    </x:row>
    <x:row r="55" ht="210" customHeight="1">
      <x:c r="A55" s="37" t="str">
        <x:v>Nexter (KNDS France)</x:v>
      </x:c>
      <x:c r="B55" s="32" t="str">
        <x:v>Ammunition</x:v>
      </x:c>
      <x:c r="C55" s="32" t="str">
        <x:v>105mm ER G3</x:v>
      </x:c>
      <x:c r="D55" s="32" t="str">
        <x:v>• 105 mm extended-range artillery ammunition
• exact current public dimensions/range not fully captured in reviewed source.</x:v>
      </x:c>
      <x:c r="E55" s="32" t="str">
        <x:v>• NATO-standard ammunition portfolio spanning artillery, tank, mortar, medium-calibre and naval applications.</x:v>
      </x:c>
      <x:c r="F55" s="38" t="str">
        <x:v>https://knds.com/en/products/ammunition
https://knds.com/en/subsidiaries/knds-ammo-france</x:v>
      </x:c>
    </x:row>
    <x:row r="56" ht="210" customHeight="1">
      <x:c r="A56" s="37" t="str">
        <x:v>Nexter (KNDS France)</x:v>
      </x:c>
      <x:c r="B56" s="32" t="str">
        <x:v>Ammunition</x:v>
      </x:c>
      <x:c r="C56" s="32" t="str">
        <x:v>105mm TK</x:v>
      </x:c>
      <x:c r="D56" s="32" t="str">
        <x:v>• 105 mm tank ammunition family
• exact round-specific data varies by projectile type.</x:v>
      </x:c>
      <x:c r="E56" s="32" t="str">
        <x:v>• NATO-standard ammunition portfolio spanning artillery, tank, mortar, medium-calibre and naval applications.</x:v>
      </x:c>
      <x:c r="F56" s="38" t="str">
        <x:v>https://knds.com/en/products/ammunition
https://knds.com/en/subsidiaries/knds-ammo-france</x:v>
      </x:c>
    </x:row>
    <x:row r="57" ht="210" customHeight="1">
      <x:c r="A57" s="37" t="str">
        <x:v>Nexter (KNDS France)</x:v>
      </x:c>
      <x:c r="B57" s="32" t="str">
        <x:v>Ammunition</x:v>
      </x:c>
      <x:c r="C57" s="32" t="str">
        <x:v>120mm</x:v>
      </x:c>
      <x:c r="D57" s="32" t="str">
        <x:v>• 120 mm NATO tank ammunition family
• exact projectile type and performance vary by round.</x:v>
      </x:c>
      <x:c r="E57" s="32" t="str">
        <x:v>• NATO-standard ammunition portfolio spanning artillery, tank, mortar, medium-calibre and naval applications.</x:v>
      </x:c>
      <x:c r="F57" s="38" t="str">
        <x:v>https://knds.com/en/products/ammunition
https://knds.com/en/subsidiaries/knds-ammo-france</x:v>
      </x:c>
    </x:row>
    <x:row r="58" ht="210" customHeight="1">
      <x:c r="A58" s="37" t="str">
        <x:v>Nexter (KNDS France)</x:v>
      </x:c>
      <x:c r="B58" s="32" t="str">
        <x:v>Ammunition</x:v>
      </x:c>
      <x:c r="C58" s="32" t="str">
        <x:v>120mm Mortar</x:v>
      </x:c>
      <x:c r="D58" s="32" t="str">
        <x:v>• 120 mm mortar ammunition family
• exact projectile/range data varies by round.</x:v>
      </x:c>
      <x:c r="E58" s="32" t="str">
        <x:v>• NATO-standard ammunition portfolio spanning artillery, tank, mortar, medium-calibre and naval applications.</x:v>
      </x:c>
      <x:c r="F58" s="38" t="str">
        <x:v>https://knds.com/en/products/ammunition
https://knds.com/en/subsidiaries/knds-ammo-france</x:v>
      </x:c>
    </x:row>
    <x:row r="59" ht="210" customHeight="1">
      <x:c r="A59" s="37" t="str">
        <x:v>Nexter (KNDS France)</x:v>
      </x:c>
      <x:c r="B59" s="32" t="str">
        <x:v>Ammunition</x:v>
      </x:c>
      <x:c r="C59" s="32" t="str">
        <x:v>120mm SHARD</x:v>
      </x:c>
      <x:c r="D59" s="32" t="str">
        <x:v>• 120 mm APFSDS
• round mass 22 kg
• round length 984 mm
• combustible case
• double-base propellant
• semi-combustible/electrical primer
• STANAG 4385/MOPI AEP 26.
• Calibre: 120 mm
• Round mass: 22 kg
• Round length: 984 mm
• Cartridge case: combustible
• Propellant: double-base
• Primer: semi-combustible electrical primer</x:v>
      </x:c>
      <x:c r="E59" s="32" t="str">
        <x:v>• NATO-standard ammunition portfolio spanning artillery, tank, mortar, medium-calibre and naval applications.
• Tungsten-alloy long-rod kinetic-energy penetrator
• Compatible with NATO-standard 120 mm smoothbore guns
• STANAG 4385 / MOPI AEP 26 compliant</x:v>
      </x:c>
      <x:c r="F59" s="38" t="str">
        <x:v>https://knds.com/en/products/ammunition
https://knds.com/en/subsidiaries/knds-ammo-france
https://knds.com/en/products/ammunition/120mm-shard</x:v>
      </x:c>
    </x:row>
    <x:row r="60" ht="210" customHeight="1">
      <x:c r="A60" s="37" t="str">
        <x:v>Nexter (KNDS France)</x:v>
      </x:c>
      <x:c r="B60" s="32" t="str">
        <x:v>Ammunition</x:v>
      </x:c>
      <x:c r="C60" s="32" t="str">
        <x:v>127 L54 Naval</x:v>
      </x:c>
      <x:c r="D60" s="32" t="str">
        <x:v>• 127 mm L/54 naval ammunition family
• exact projectile variants and range depend on round/gun.</x:v>
      </x:c>
      <x:c r="E60" s="32" t="str">
        <x:v>• NATO-standard ammunition portfolio spanning artillery, tank, mortar, medium-calibre and naval applications.</x:v>
      </x:c>
      <x:c r="F60" s="38" t="str">
        <x:v>https://knds.com/en/products/ammunition
https://knds.com/en/subsidiaries/knds-ammo-france</x:v>
      </x:c>
    </x:row>
    <x:row r="61" ht="210" customHeight="1">
      <x:c r="A61" s="37" t="str">
        <x:v>Nexter (KNDS France)</x:v>
      </x:c>
      <x:c r="B61" s="32" t="str">
        <x:v>Ammunition</x:v>
      </x:c>
      <x:c r="C61" s="32" t="str">
        <x:v>155 BONUS</x:v>
      </x:c>
      <x:c r="D61" s="32" t="str">
        <x:v>• 155 mm sensor-fuzed anti-armour projectile
• designed for top-attack against armoured vehicles
• exact public performance varies by configuration.
• Calibre: 155 mm
• Weight without fuze: 44.6 kg
• Length with fuze: 898 mm
• Maximum range: 27 km from NATO 39-cal; 35 km from NATO 52-cal
• Two sensor-fuzed attack modules
• Search footprint: up to 32,000 m²</x:v>
      </x:c>
      <x:c r="E61" s="32" t="str">
        <x:v>• NATO-standard ammunition portfolio spanning artillery, tank, mortar, medium-calibre and naval applications.
• Fire-and-forget top-attack munition against armoured vehicles
• Compatible with JBMOU-compliant 155 mm systems</x:v>
      </x:c>
      <x:c r="F61" s="38" t="str">
        <x:v>https://knds.com/en/products/ammunition
https://knds.com/en/subsidiaries/knds-ammo-france
https://knds.com/en/products/ammunition/155mm-bonus</x:v>
      </x:c>
    </x:row>
    <x:row r="62" ht="210" customHeight="1">
      <x:c r="A62" s="37" t="str">
        <x:v>Nexter (KNDS France)</x:v>
      </x:c>
      <x:c r="B62" s="32" t="str">
        <x:v>Ammunition</x:v>
      </x:c>
      <x:c r="C62" s="32" t="str">
        <x:v>155 KATANA</x:v>
      </x:c>
      <x:c r="D62" s="32" t="str">
        <x:v>• 155 mm precision-guided artillery projectile
• KNDS product family
• guidance/terminal effects depend on configuration
• exact public parameters should be taken from the current KNDS datasheet.
• Calibre: 155 mm
• Combat weight: ~45.6 kg
• Total length: ≤1,000 mm
• Current product page range: &gt;45 km with base bleed from NATO 52-cal; earlier Nexter data describes versions up to 60 km
• Guidance: combined GNSS/inertial; semi-active laser option on some versions</x:v>
      </x:c>
      <x:c r="E62" s="32" t="str">
        <x:v>• NATO-standard ammunition portfolio spanning artillery, tank, mortar, medium-calibre and naval applications.
• Precision-guided artillery round
• Designed for point targets and reduced collateral effects
• JBMOU-compatible</x:v>
      </x:c>
      <x:c r="F62" s="38" t="str">
        <x:v>https://knds.com/en/products/ammunition
https://knds.com/en/subsidiaries/knds-ammo-france
https://knds.com/en/products/ammunition/155-katana
https://www.knds.com/fileadmin/user_upload/content/Newsroom/PressAreas/2022_Eurosatory/KATANA/KATANA_Data_sheet.pdf</x:v>
      </x:c>
    </x:row>
    <x:row r="63" ht="210" customHeight="1">
      <x:c r="A63" s="37" t="str">
        <x:v>Nexter (KNDS France)</x:v>
      </x:c>
      <x:c r="B63" s="32" t="str">
        <x:v>Ammunition</x:v>
      </x:c>
      <x:c r="C63" s="32" t="str">
        <x:v>155 LU211</x:v>
      </x:c>
      <x:c r="D63" s="32" t="str">
        <x:v>• 155 mm long-range artillery ammunition
• exact current public numeric data not fully captured in reviewed source.</x:v>
      </x:c>
      <x:c r="E63" s="32" t="str">
        <x:v>• NATO-standard ammunition portfolio spanning artillery, tank, mortar, medium-calibre and naval applications.</x:v>
      </x:c>
      <x:c r="F63" s="38" t="str">
        <x:v>https://knds.com/en/products/ammunition
https://knds.com/en/subsidiaries/knds-ammo-france</x:v>
      </x:c>
    </x:row>
    <x:row r="64" ht="210" customHeight="1">
      <x:c r="A64" s="37" t="str">
        <x:v>Nexter (KNDS France)</x:v>
      </x:c>
      <x:c r="B64" s="32" t="str">
        <x:v>Ammunition</x:v>
      </x:c>
      <x:c r="C64" s="32" t="str">
        <x:v>155 LU220</x:v>
      </x:c>
      <x:c r="D64" s="32" t="str">
        <x:v>• 155 mm complete artillery round
• length 940 mm
• explosive fill 11 kg XF13 333
• maximum range ≤45 km
• firing temperature −33°C to +63°C
• storage −33°C to +71°C
• STANAG 4439
• compatible with CAESAR/other 52-cal systems.</x:v>
      </x:c>
      <x:c r="E64" s="32" t="str">
        <x:v>• NATO-standard ammunition portfolio spanning artillery, tank, mortar, medium-calibre and naval applications.</x:v>
      </x:c>
      <x:c r="F64" s="38" t="str">
        <x:v>https://knds.com/en/products/ammunition
https://knds.com/en/subsidiaries/knds-ammo-france</x:v>
      </x:c>
    </x:row>
    <x:row r="65" ht="210" customHeight="1">
      <x:c r="A65" s="37" t="str">
        <x:v>Nexter (KNDS France)</x:v>
      </x:c>
      <x:c r="B65" s="32" t="str">
        <x:v>Ammunition</x:v>
      </x:c>
      <x:c r="C65" s="32" t="str">
        <x:v>20x102</x:v>
      </x:c>
      <x:c r="D65" s="32" t="str">
        <x:v>• 20×102 mm ammunition family
• exact projectile variants and ballistic data vary.</x:v>
      </x:c>
      <x:c r="E65" s="32" t="str">
        <x:v>• NATO-standard ammunition portfolio spanning artillery, tank, mortar, medium-calibre and naval applications.</x:v>
      </x:c>
      <x:c r="F65" s="38" t="str">
        <x:v>https://knds.com/en/products/ammunition
https://knds.com/en/subsidiaries/knds-ammo-france</x:v>
      </x:c>
    </x:row>
    <x:row r="66" ht="210" customHeight="1">
      <x:c r="A66" s="37" t="str">
        <x:v>Nexter (KNDS France)</x:v>
      </x:c>
      <x:c r="B66" s="32" t="str">
        <x:v>Ammunition</x:v>
      </x:c>
      <x:c r="C66" s="32" t="str">
        <x:v>25x137</x:v>
      </x:c>
      <x:c r="D66" s="32" t="str">
        <x:v>• 25×137 mm ammunition family
• exact projectile variants and ballistic data vary.</x:v>
      </x:c>
      <x:c r="E66" s="32" t="str">
        <x:v>• NATO-standard ammunition portfolio spanning artillery, tank, mortar, medium-calibre and naval applications.</x:v>
      </x:c>
      <x:c r="F66" s="38" t="str">
        <x:v>https://knds.com/en/products/ammunition
https://knds.com/en/subsidiaries/knds-ammo-france</x:v>
      </x:c>
    </x:row>
    <x:row r="67" ht="210" customHeight="1">
      <x:c r="A67" s="37" t="str">
        <x:v>Nexter (KNDS France)</x:v>
      </x:c>
      <x:c r="B67" s="32" t="str">
        <x:v>Ammunition</x:v>
      </x:c>
      <x:c r="C67" s="32" t="str">
        <x:v>30x113 B</x:v>
      </x:c>
      <x:c r="D67" s="32" t="str">
        <x:v>• 30×113 mm ammunition family
• exact projectile variants and ballistic data vary.</x:v>
      </x:c>
      <x:c r="E67" s="32" t="str">
        <x:v>• NATO-standard ammunition portfolio spanning artillery, tank, mortar, medium-calibre and naval applications.</x:v>
      </x:c>
      <x:c r="F67" s="38" t="str">
        <x:v>https://knds.com/en/products/ammunition
https://knds.com/en/subsidiaries/knds-ammo-france</x:v>
      </x:c>
    </x:row>
    <x:row r="68" ht="210" customHeight="1">
      <x:c r="A68" s="37" t="str">
        <x:v>Nexter (KNDS France)</x:v>
      </x:c>
      <x:c r="B68" s="32" t="str">
        <x:v>Ammunition</x:v>
      </x:c>
      <x:c r="C68" s="32" t="str">
        <x:v>30x150</x:v>
      </x:c>
      <x:c r="D68" s="32" t="str">
        <x:v>• 30×150 mm ammunition family
• exact projectile variants and ballistic data vary.</x:v>
      </x:c>
      <x:c r="E68" s="32" t="str">
        <x:v>• NATO-standard ammunition portfolio spanning artillery, tank, mortar, medium-calibre and naval applications.</x:v>
      </x:c>
      <x:c r="F68" s="38" t="str">
        <x:v>https://knds.com/en/products/ammunition
https://knds.com/en/subsidiaries/knds-ammo-france</x:v>
      </x:c>
    </x:row>
    <x:row r="69" ht="210" customHeight="1">
      <x:c r="A69" s="37" t="str">
        <x:v>Nexter (KNDS France)</x:v>
      </x:c>
      <x:c r="B69" s="32" t="str">
        <x:v>Ammunition</x:v>
      </x:c>
      <x:c r="C69" s="32" t="str">
        <x:v>30x173</x:v>
      </x:c>
      <x:c r="D69" s="32" t="str">
        <x:v>• 30×173 mm ammunition family
• exact projectile variants and ballistic data vary.</x:v>
      </x:c>
      <x:c r="E69" s="32" t="str">
        <x:v>• NATO-standard ammunition portfolio spanning artillery, tank, mortar, medium-calibre and naval applications.</x:v>
      </x:c>
      <x:c r="F69" s="38" t="str">
        <x:v>https://knds.com/en/products/ammunition
https://knds.com/en/subsidiaries/knds-ammo-france</x:v>
      </x:c>
    </x:row>
    <x:row r="70" ht="210" customHeight="1">
      <x:c r="A70" s="37" t="str">
        <x:v>Nexter (KNDS France)</x:v>
      </x:c>
      <x:c r="B70" s="32" t="str">
        <x:v>Ammunition</x:v>
      </x:c>
      <x:c r="C70" s="32" t="str">
        <x:v>40mm CTA</x:v>
      </x:c>
      <x:c r="D70" s="32" t="str">
        <x:v>• 40 mm Cased Telescoped Ammunition family
• exact projectile types include multipurpose/airburst variants depending configuration.
• Calibre: 40 mm cased telescoped
• APFSDS-T cartridge length: 255 mm; cartridge mass: 1,900 g; projectile mass: 550 g; muzzle velocity: &gt;1,500 m/s; operational range: &gt;2,500 m; penetration: 140 mm RHA at 1,500 m / 60°; dispersion: &lt;0.3 mil</x:v>
      </x:c>
      <x:c r="E70" s="32" t="str">
        <x:v>• NATO-standard ammunition portfolio spanning artillery, tank, mortar, medium-calibre and naval applications.
• Family includes APFSDS-T, GPR-PD-T, GPR-AB-T, A3B, TP-T and TPRR-T
• Used with 40CTAS on JAGUAR, RapidFire and Ajax
• A3B provides C-UAV airburst capability</x:v>
      </x:c>
      <x:c r="F70" s="38" t="str">
        <x:v>https://knds.com/en/products/ammunition
https://knds.com/en/subsidiaries/knds-ammo-france
https://knds.com/en/products/ammunition/40-mm-cta</x:v>
      </x:c>
    </x:row>
    <x:row r="71" ht="210" customHeight="1">
      <x:c r="A71" s="37" t="str">
        <x:v>Nexter (KNDS France)</x:v>
      </x:c>
      <x:c r="B71" s="32" t="str">
        <x:v>Ammunition</x:v>
      </x:c>
      <x:c r="C71" s="32" t="str">
        <x:v>40mm L70</x:v>
      </x:c>
      <x:c r="D71" s="32" t="str">
        <x:v>• 40 mm L/70 ammunition family
• exact projectile-specific performance varies.</x:v>
      </x:c>
      <x:c r="E71" s="32" t="str">
        <x:v>• NATO-standard ammunition portfolio spanning artillery, tank, mortar, medium-calibre and naval applications.</x:v>
      </x:c>
      <x:c r="F71" s="38" t="str">
        <x:v>https://knds.com/en/products/ammunition
https://knds.com/en/subsidiaries/knds-ammo-france</x:v>
      </x:c>
    </x:row>
    <x:row r="72" ht="210" customHeight="1">
      <x:c r="A72" s="37" t="str">
        <x:v>Nexter (KNDS France)</x:v>
      </x:c>
      <x:c r="B72" s="32" t="str">
        <x:v>Ammunition</x:v>
      </x:c>
      <x:c r="C72" s="32" t="str">
        <x:v>76 L62 Naval</x:v>
      </x:c>
      <x:c r="D72" s="32" t="str">
        <x:v>• 76 mm L/62 naval ammunition family
• exact projectile variants and range depend on round/gun.</x:v>
      </x:c>
      <x:c r="E72" s="32" t="str">
        <x:v>• NATO-standard ammunition portfolio spanning artillery, tank, mortar, medium-calibre and naval applications.</x:v>
      </x:c>
      <x:c r="F72" s="38" t="str">
        <x:v>https://knds.com/en/products/ammunition
https://knds.com/en/subsidiaries/knds-ammo-france</x:v>
      </x:c>
    </x:row>
    <x:row r="73" ht="210" customHeight="1">
      <x:c r="A73" s="37" t="str">
        <x:v>Nexter (KNDS France)</x:v>
      </x:c>
      <x:c r="B73" s="32" t="str">
        <x:v>Ammunition</x:v>
      </x:c>
      <x:c r="C73" s="32" t="str">
        <x:v>90mm MK8</x:v>
      </x:c>
      <x:c r="D73" s="32" t="str">
        <x:v>• 90 mm armoured-vehicle ammunition family
• exact projectile-specific data varies.</x:v>
      </x:c>
      <x:c r="E73" s="32" t="str">
        <x:v>• NATO-standard ammunition portfolio spanning artillery, tank, mortar, medium-calibre and naval applications.</x:v>
      </x:c>
      <x:c r="F73" s="38" t="str">
        <x:v>https://knds.com/en/products/ammunition
https://knds.com/en/subsidiaries/knds-ammo-france</x:v>
      </x:c>
    </x:row>
    <x:row r="74" ht="210" customHeight="1">
      <x:c r="A74" s="37" t="str">
        <x:v>Nexter (KNDS France)</x:v>
      </x:c>
      <x:c r="B74" s="32" t="str">
        <x:v>Protected Vehicles</x:v>
      </x:c>
      <x:c r="C74" s="32" t="str">
        <x:v>GRIFFON</x:v>
      </x:c>
      <x:c r="D74" s="32" t="str">
        <x:v>• 6×6 armoured multirole vehicle in SCORPION family
• exact weight/payload/speed depend on variant.
• Curb weight: ~18 t; operational weight: 23.6 t; GVWR: 24.5 t
• Dimensions: 7.66 m L × 2.54 m W × 2.62 m H
• Engine: 400 hp
• Maximum speed: 90 km/h
• Range: 800 km
• Fording: 0.8 m
• Crew/capacity: 2 + up to 10</x:v>
      </x:c>
      <x:c r="E74" s="32" t="str">
        <x:v>• Protected troop/cargo/mission platform
• modular architecture
• SCORPION digital networking.
• RCWS options include 12.7 mm / 7.62 mm / 40 mm grenade launcher
• Ballistic, mine and IED protection; CBRN options
• SCORPION networked vehicle</x:v>
      </x:c>
      <x:c r="F74" s="38" t="str">
        <x:v>https://knds.com/en/products/systems
https://knds.com/en/subsidiaries/knds-france
https://knds.com/en/products/systems/griffon</x:v>
      </x:c>
    </x:row>
    <x:row r="75" ht="210" customHeight="1">
      <x:c r="A75" s="37" t="str">
        <x:v>Nexter (KNDS France)</x:v>
      </x:c>
      <x:c r="B75" s="32" t="str">
        <x:v>Protected Vehicles</x:v>
      </x:c>
      <x:c r="C75" s="32" t="str">
        <x:v>JAGUAR</x:v>
      </x:c>
      <x:c r="D75" s="32" t="str">
        <x:v>• 6×6 armoured reconnaissance/combat vehicle
• 40 mm CTA main armament on standard configuration
• variant-specific weight/speed/range depend on configuration.
• Approx. curb weight: 20 t; operational weight around 24.7 t
• Dimensions: approx. 7.8 m L × 3.0 m W × 3.5 m H
• Main armament: 40 mm CTA cannon
• Missile armament: AKERON MP</x:v>
      </x:c>
      <x:c r="E75" s="32" t="str">
        <x:v>• Reconnaissance and combat
• integrated sensors
• digital battlefield architecture
• modular protection.
• High ballistic/mine/IED/RPG protection
• SCORPION/SICS/CONTACT networking
• High-elevation 40 CTA turret suitable for complex / C-UAV engagements</x:v>
      </x:c>
      <x:c r="F75" s="38" t="str">
        <x:v>https://knds.com/en/products/systems
https://knds.com/en/subsidiaries/knds-france
https://knds.com/en/products/systems/jaguar</x:v>
      </x:c>
    </x:row>
    <x:row r="76" ht="210" customHeight="1">
      <x:c r="A76" s="37" t="str">
        <x:v>Nexter (KNDS France)</x:v>
      </x:c>
      <x:c r="B76" s="32" t="str">
        <x:v>Protected Vehicles</x:v>
      </x:c>
      <x:c r="C76" s="32" t="str">
        <x:v>LECLERC XLR</x:v>
      </x:c>
      <x:c r="D76" s="32" t="str">
        <x:v>• Main battle tank modernisation
• 120 mm main armament inherited from Leclerc family
• exact XLR mass/mobility figures configuration-dependent.
• Main armament: 120 mm L52 smoothbore cannon
• Autoloader capacity: 22 rounds
• Crew: 3
• Engine power: 1,500 hp
• Maximum road speed: approx. 72 km/h</x:v>
      </x:c>
      <x:c r="E76" s="32" t="str">
        <x:v>• Digital battlefield integration
• improved networking, survivability and mission systems.
• SCORPION digital architecture / network integration
• Remote weapon station and coaxial armament
• Modular protection upgrades including mine/IED/RPG protection and jammer integration</x:v>
      </x:c>
      <x:c r="F76" s="38" t="str">
        <x:v>https://knds.com/en/products/systems
https://knds.com/en/subsidiaries/knds-france
https://knds.com/en/products/systems/leclerc-xlr
https://knds.com/en/products</x:v>
      </x:c>
    </x:row>
    <x:row r="77" ht="210" customHeight="1">
      <x:c r="A77" s="37" t="str">
        <x:v>Nexter (KNDS France)</x:v>
      </x:c>
      <x:c r="B77" s="32" t="str">
        <x:v>Protected Vehicles</x:v>
      </x:c>
      <x:c r="C77" s="32" t="str">
        <x:v>SERVAL</x:v>
      </x:c>
      <x:c r="D77" s="32" t="str">
        <x:v>• 4×4 protected multirole vehicle in SCORPION
• variant-specific mass/payload/protection.
• Combat weight: ~15–17 t
• Dimensions: 6.50 m L × 2.53 m W × 2.46 m H
• Capacity: 2 + 8
• Engine: 8.9 L, approx. 375 hp
• Transmission: 6-speed automatic
• Maximum speed: &gt;100 km/h
• Range: &gt;600 km</x:v>
      </x:c>
      <x:c r="E77" s="32" t="str">
        <x:v>• Highly mobile protected vehicle
• modular mission configurations
• digital networking.
• Air transport: one per C-130, two per A400M
• RCWS options 12.7 mm / 7.62 mm / 40 mm grenade launcher
• Ballistic, mine and IED protection; optional CBRN
• Multiple mission variants</x:v>
      </x:c>
      <x:c r="F77" s="38" t="str">
        <x:v>https://knds.com/en/products/systems
https://knds.com/en/subsidiaries/knds-france
https://knds.com/en/products/systems/serval</x:v>
      </x:c>
    </x:row>
    <x:row r="78" ht="210" customHeight="1">
      <x:c r="A78" s="37" t="str">
        <x:v>Nexter (KNDS France)</x:v>
      </x:c>
      <x:c r="B78" s="32" t="str">
        <x:v>Protected Vehicles</x:v>
      </x:c>
      <x:c r="C78" s="32" t="str">
        <x:v>TITUS</x:v>
      </x:c>
      <x:c r="D78" s="32" t="str">
        <x:v>• 6×6/mission-configurable protected vehicle family
• exact weight/payload vary by configuration.
• Unladen weight: ~17 t
• Operational weight: ~23 t
• Maximum gross vehicle weight: 27 t (up to 30 t on MkII configuration)
• Dimensions: 7.77 m L × 2.55 m W × 2.73 m H
• Maximum speed: 110 km/h
• Range: ~700 km</x:v>
      </x:c>
      <x:c r="E78" s="32" t="str">
        <x:v>• Modular protected mobility
• troop, logistics and mission variants.
• 6×6 armoured vehicle
• Modular ballistic, mine and IED protection
• Multiple mission variants / high internal volume</x:v>
      </x:c>
      <x:c r="F78" s="38" t="str">
        <x:v>https://knds.com/en/products/systems
https://knds.com/en/subsidiaries/knds-france
https://knds.com/en/products/systems/titus</x:v>
      </x:c>
    </x:row>
    <x:row r="79" ht="210" customHeight="1">
      <x:c r="A79" s="37" t="str">
        <x:v>Nexter (KNDS France)</x:v>
      </x:c>
      <x:c r="B79" s="32" t="str">
        <x:v>Protected Vehicles</x:v>
      </x:c>
      <x:c r="C79" s="32" t="str">
        <x:v>TITUS HOMELAND</x:v>
      </x:c>
      <x:c r="D79" s="32" t="str">
        <x:v>• Protected security/internal-security configuration of TITUS family
• exact configuration-dependent mass/protection.</x:v>
      </x:c>
      <x:c r="E79" s="32" t="str">
        <x:v>• Homeland-security/mission flexibility
• modular protection and equipment.</x:v>
      </x:c>
      <x:c r="F79" s="38" t="str">
        <x:v>https://knds.com/en/products/systems
https://knds.com/en/subsidiaries/knds-france</x:v>
      </x:c>
    </x:row>
    <x:row r="80" ht="210" customHeight="1">
      <x:c r="A80" s="37" t="str">
        <x:v>Nexter (KNDS France)</x:v>
      </x:c>
      <x:c r="B80" s="32" t="str">
        <x:v>Protected Vehicles</x:v>
      </x:c>
      <x:c r="C80" s="32" t="str">
        <x:v>VBCI</x:v>
      </x:c>
      <x:c r="D80" s="32" t="str">
        <x:v>• 8×8 infantry fighting vehicle family
• 25 mm/40 mm turret configurations depending variant
• exact weight and mobility vary.
• Empty weight: ~19 t
• Payload: up to 13 t
• Length: &lt;8 m
• Width: &lt;3 m
• Height: &lt;2.5 m
• Internal volume: &gt;13 m³</x:v>
      </x:c>
      <x:c r="E80" s="32" t="str">
        <x:v>• Infantry transport/IFV
• protected mobility
• modular weapon and sensor integration.
• Up to 25 mm turret / 12.7 mm RCWS configurations
• Modular ballistic protection up to protection against 30 mm APFSDS depending kit
• Mine protection &gt; STANAG Level 4; optional RPG and CBRN protection</x:v>
      </x:c>
      <x:c r="F80" s="38" t="str">
        <x:v>https://knds.com/en/products/systems
https://knds.com/en/subsidiaries/knds-france
https://knds.com/en/products/systems/vbci-mk-1</x:v>
      </x:c>
    </x:row>
    <x:row r="81" ht="210" customHeight="1">
      <x:c r="A81" s="37" t="str">
        <x:v>Nexter (KNDS France)</x:v>
      </x:c>
      <x:c r="B81" s="32" t="str">
        <x:v>Protected Vehicles</x:v>
      </x:c>
      <x:c r="C81" s="32" t="str">
        <x:v>VBCI RCT40</x:v>
      </x:c>
      <x:c r="D81" s="32" t="str">
        <x:v>• Empty weight: ~19 t
• Combat weight: ~32 t
• Payload: up to 13 t
• Main armament: 40 mm CTA cannon
• Cannon elevation: up to 60°</x:v>
      </x:c>
      <x:c r="E81" s="32" t="str">
        <x:v>• Remote RCT40 turret
• AKerON MP missile integration
• C-UAV capability
• Modular ballistic protection up to Level 5; mine protection &gt; STANAG Level 4</x:v>
      </x:c>
      <x:c r="F81" s="38" t="str">
        <x:v>https://knds.com/en/products/systems/vbci-rct-40</x:v>
      </x:c>
    </x:row>
    <x:row r="82" ht="210" customHeight="1">
      <x:c r="A82" s="37" t="str">
        <x:v>Nexter (KNDS France)</x:v>
      </x:c>
      <x:c r="B82" s="32" t="str">
        <x:v>Marine/Naval</x:v>
      </x:c>
      <x:c r="C82" s="32" t="str">
        <x:v>RapidFire Naval</x:v>
      </x:c>
      <x:c r="D82" s="32" t="str">
        <x:v>• 40 mm CTA-derived naval gun system
• exact mount mass, elevation/traverse and ready rounds depend on configuration.
• Gun: 40 mm CTAS
• Rate of fire: up to 200 rounds/min
• Ready ammunition: 70 rounds; larger 140-round configuration possible
• Effective range: up to ~4,000 m</x:v>
      </x:c>
      <x:c r="E82" s="32" t="str">
        <x:v>• Close-in naval defence
• programmable ammunition
• electro-optical/fire-control integration
• anti-surface/air/CIWS role.
• Gyro-stabilised remotely operated turret
• Integrated optronic fire-control system with IR/day camera/laser
• Compatible with 40 CTA A3B, GPR and APFSDS ammunition
• Can operate autonomously or integrated with ship CMS</x:v>
      </x:c>
      <x:c r="F82" s="38" t="str">
        <x:v>https://knds.com/en/products/systems
https://knds.com/en/subsidiaries/knds-france
https://knds.com/en/products/systems/rapid-fire-naval
https://knds.com/en/products/ammunition/40-mm-cta</x:v>
      </x:c>
    </x:row>
    <x:row r="83" ht="210" customHeight="1">
      <x:c r="A83" s="37" t="str">
        <x:v>Nexter (KNDS France)</x:v>
      </x:c>
      <x:c r="B83" s="32" t="str">
        <x:v>UAVs/Drones</x:v>
      </x:c>
      <x:c r="C83" s="32" t="str">
        <x:v>COLIBRI Loitering Munition</x:v>
      </x:c>
      <x:c r="D83" s="32" t="str">
        <x:v>• Operational radius: about 5 km in the 2024 KNDS demonstration description
• Endurance: about 45 min
• Designed to observe, identify and neutralize static or dynamic threats
• Warhead developed by KNDS; air vehicle partnership with Delair</x:v>
      </x:c>
      <x:c r="E83" s="32" t="str">
        <x:v>• Short-range loitering ammunition / precision-strike system
• Developed under the French Defence Innovation Agency COLIBRI project
• Contracted for Ukraine in the KNDS 2024 release</x:v>
      </x:c>
      <x:c r="F83" s="38" t="str">
        <x:v>https://knds.com/en/press-releases/knds-makes-record-breaking-progress-on-loitering-ammunition</x:v>
      </x:c>
    </x:row>
    <x:row r="84" ht="210" customHeight="1">
      <x:c r="A84" s="37" t="str">
        <x:v>Nexter (KNDS France)</x:v>
      </x:c>
      <x:c r="B84" s="32" t="str">
        <x:v>UAVs/Drones</x:v>
      </x:c>
      <x:c r="C84" s="32" t="str">
        <x:v>MT-10 Loitering Munition</x:v>
      </x:c>
      <x:c r="D84" s="32" t="str">
        <x:v>• Maximum range: 10 km
• Endurance: 30 min
• Weight: 3.8 kg
• Wingspan: 70 cm
• Warhead: 550 g fragmentation/incendiary payload
• Propulsion: electric</x:v>
      </x:c>
      <x:c r="E84" s="32" t="str">
        <x:v>• Counter-rotating bi-rotor architecture
• VTOL or tube launch
• Auto/semi-auto/manual navigation
• GNSS-denied capability; real-time video; abort/re-loiter capability</x:v>
      </x:c>
      <x:c r="F84" s="38" t="str">
        <x:v>https://knds.com/en/products/ammunition/mt-10
https://knds.com/en/products/ammunition/mataris</x:v>
      </x:c>
    </x:row>
    <x:row r="85" ht="210" customHeight="1">
      <x:c r="A85" s="37" t="str">
        <x:v>Nexter (KNDS France)</x:v>
      </x:c>
      <x:c r="B85" s="32" t="str">
        <x:v>UAVs/Drones</x:v>
      </x:c>
      <x:c r="C85" s="32" t="str">
        <x:v>MV-100 VELOCE Loitering Munition</x:v>
      </x:c>
      <x:c r="D85" s="32" t="str">
        <x:v>• Maximum range: 100 km
• Endurance: 30 min
• Weight: 25 kg
• Wingspan: 330 cm
• Cruise speed: 200–400 km/h
• Warhead: 2.5 kg EFP
• Propulsion: turbine</x:v>
      </x:c>
      <x:c r="E85" s="32" t="str">
        <x:v>• Fixed-wing, catapult-launched
• Top-attack anti-armour role
• GNSS-denied navigation
• One C2 system can control multiple loitering munitions</x:v>
      </x:c>
      <x:c r="F85" s="38" t="str">
        <x:v>https://knds.com/en/products/ammunition/mv-100-veloce
https://knds.com/en/products/ammunition/mataris</x:v>
      </x:c>
    </x:row>
    <x:row r="86" ht="210" customHeight="1">
      <x:c r="A86" s="37" t="str">
        <x:v>Nexter (KNDS France)</x:v>
      </x:c>
      <x:c r="B86" s="32" t="str">
        <x:v>UAVs/Drones</x:v>
      </x:c>
      <x:c r="C86" s="32" t="str">
        <x:v>MV-25 OSKAR Loitering Munition</x:v>
      </x:c>
      <x:c r="D86" s="32" t="str">
        <x:v>• Maximum range: 25 km
• Endurance: 45 min
• Weight: 2.3 kg
• Wingspan: 110 cm
• Warhead: 550 g fragmentation/incendiary
• Propulsion: electric</x:v>
      </x:c>
      <x:c r="E86" s="32" t="str">
        <x:v>• Fixed-wing architecture
• Hand launched
• GNSS-denied navigation
• Jam-resistant data link; real-time video; abort/re-loiter capability</x:v>
      </x:c>
      <x:c r="F86" s="38" t="str">
        <x:v>https://knds.com/de/produkte/munition/mv-25-oskar
https://knds.com/en/products/ammunition/mataris</x:v>
      </x:c>
    </x:row>
    <x:row r="87" ht="210" customHeight="1">
      <x:c r="A87" s="37" t="str">
        <x:v>Nexter (KNDS France)</x:v>
      </x:c>
      <x:c r="B87" s="32" t="str">
        <x:v>UAVs/Drones</x:v>
      </x:c>
      <x:c r="C87" s="32" t="str">
        <x:v>MX-10 DAMOCLES Loitering Munition</x:v>
      </x:c>
      <x:c r="D87" s="32" t="str">
        <x:v>• Maximum range: up to 10 km
• Warhead: 550 g fragmentation/incendiary payload
• Architecture: quadcopter</x:v>
      </x:c>
      <x:c r="E87" s="32" t="str">
        <x:v>• Short-range loitering munition for infantry/light-vehicle targets
• Developed with Delair</x:v>
      </x:c>
      <x:c r="F87" s="38" t="str">
        <x:v>https://knds.com/en/products/ammunition/mataris
https://knds.com/en/press-releases/mataris-the-first-french-range-of-loitering-munitions</x:v>
      </x:c>
    </x:row>
    <x:row r="88" ht="210" customHeight="1">
      <x:c r="A88" s="37" t="str">
        <x:v>KNDS Germany</x:v>
      </x:c>
      <x:c r="B88" s="32" t="str">
        <x:v>Artillery</x:v>
      </x:c>
      <x:c r="C88" s="32" t="str">
        <x:v>AGM</x:v>
      </x:c>
      <x:c r="D88" s="32" t="str">
        <x:v>• 155 mm/L52
• 9 rpm
• 360° azimuth ±200°
• elevation −2.5° to +65°
• up to 40 km BB / 54 km V-LAP
• 30 primed projectiles + 144 modular charges
• &lt;39 t for a representative truck-mounted configuration
• crew 2–3.
• Calibre: 155 mm / L52
• Rate of fire: 9 rounds/min
• Range: up to approx. 54 km
• Traverse: 360° (±200° with up to 6 charges)
• Elevation: -2.5° to +65°</x:v>
      </x:c>
      <x:c r="E88" s="32" t="str">
        <x:v>• Unmanned fully automatic artillery module
• automatic loading/laying
• digital FCS
• GPS/INS
• NBC protection
• BITE
• truck chassis agnostic.
• Unmanned fully automatic gun module
• Can be integrated on suitable ~40 t military truck platforms
• Automated projectile and modular-charge loading; digital fire control/navigation</x:v>
      </x:c>
      <x:c r="F88" s="38" t="str">
        <x:v>https://knds.com/en/products/systems/agm
https://knds.com/en/subsidiaries/knds-deutschland</x:v>
      </x:c>
    </x:row>
    <x:row r="89" ht="210" customHeight="1">
      <x:c r="A89" s="37" t="str">
        <x:v>KNDS Germany</x:v>
      </x:c>
      <x:c r="B89" s="32" t="str">
        <x:v>Artillery</x:v>
      </x:c>
      <x:c r="C89" s="32" t="str">
        <x:v>DONAR</x:v>
      </x:c>
      <x:c r="D89" s="32" t="str">
        <x:v>• 155 mm/L52
• &lt;36 t
• ~10.30×2.99×3.2 m
• up to 720 hp
• &gt;60 km/h
• 500 km cruising range
• &gt;6 rpm, 9 rpm stated in technical section
• 30 primed projectiles + 144 modular charges
• 360° azimuth ±200°
• elevation −2.5° to +65°
• crew 2.
• Calibre: 155 mm / L52
• Range: up to approx. 54 km
• Ammunition: 30 projectiles / 144 charge modules
• Crew: 2
• Weight: &lt;36 t
• Dimensions: approx. 10.3 m L × 2.99 m W × 3.2 m H
• Engine: up to 530 kW / 720 hp
• Maximum speed: &gt;60 km/h</x:v>
      </x:c>
      <x:c r="E89" s="32" t="str">
        <x:v>• AGM on ASCOD tracked chassis
• remote/automatic turret
• autoloader
• network-based FCS
• MRSI
• future autonomous operation.
• Unmanned AGM on ASCOD-2 tracked chassis
• Fully automatic loading / laying
• 360° firing; high mine/IED/ballistic protection</x:v>
      </x:c>
      <x:c r="F89" s="38" t="str">
        <x:v>https://knds.com/en/products/systems/donar
https://knds.com/en/subsidiaries/knds-deutschland</x:v>
      </x:c>
    </x:row>
    <x:row r="90" ht="210" customHeight="1">
      <x:c r="A90" s="37" t="str">
        <x:v>KNDS Germany</x:v>
      </x:c>
      <x:c r="B90" s="32" t="str">
        <x:v>Artillery</x:v>
      </x:c>
      <x:c r="C90" s="32" t="str">
        <x:v>MARS II / MLRS Evolution</x:v>
      </x:c>
      <x:c r="D90" s="32" t="str">
        <x:v>• Tracked multiple-launch rocket artillery system
• exact current vehicle/rocket specifications vary by configuration and munition.
• Length: 6.97 m
• Width: 2.94 m
• Height: 2.59 m
• Combat weight: 26.6 t
• Launcher: 2 pods × 6 rockets = 12 rockets
• Salvo: 12 rockets in ~60 sec
• GMLRS range: up to 84 km
• Engine: 368 kW
• Crew: 3</x:v>
      </x:c>
      <x:c r="E90" s="32" t="str">
        <x:v>• Long-range rocket artillery
• launcher-based salvo fire
• precision/area-effect mission set.
• Electric fire-control / laying system
• Multiple rocket-launcher / precision-fire system</x:v>
      </x:c>
      <x:c r="F90" s="38" t="str">
        <x:v>https://knds.com/en/products/systems
https://knds.com/en/subsidiaries/knds-deutschland
https://knds.com/en/products/systems/mars-ii-mlrs-evolution
https://knds.com/en/products</x:v>
      </x:c>
    </x:row>
    <x:row r="91" ht="210" customHeight="1">
      <x:c r="A91" s="37" t="str">
        <x:v>KNDS Germany</x:v>
      </x:c>
      <x:c r="B91" s="32" t="str">
        <x:v>Artillery</x:v>
      </x:c>
      <x:c r="C91" s="32" t="str">
        <x:v>PzH 2000</x:v>
      </x:c>
      <x:c r="D91" s="32" t="str">
        <x:v>• 155 mm/L52
• 57 t
• 11.7×3.5×3.4 m
• 1,000 hp
• &gt;60 km/h
• road range &gt;420 km
• 60 primed projectiles + 288 modular charges
• 3-round burst/10 s
• up to 10 rpm
• azimuth n×360°
• elevation −2.5° to +65°
• combat range up to ~54 km depending ammunition.
• Calibre: 155 mm / L52
• Combat weight: approx. 57 t
• Dimensions: ~11.7 m L × 3.5 m W × 3.4 m H
• Engine: 736 kW / 1,000 hp
• Road speed: &gt;60 km/h
• Road range: &gt;420 km
• Ammunition: 60 projectiles / 288 charge modules
• Range: ~40 km base-bleed; ~54 km V-LAP; longer with Vulcano/Excalibur
• Rate of fire: 3 rounds/10 sec; up to ~10 rounds/min</x:v>
      </x:c>
      <x:c r="E91" s="32" t="str">
        <x:v>• Automated ammunition flow
• inductive fuze programming
• high mobility
• autonomous navigation/fire control
• MRSI
• NBC/protection and crew survivability.
• Highly automated tracked self-propelled howitzer
• Advanced fire control / navigation
• MRSI capability</x:v>
      </x:c>
      <x:c r="F91" s="38" t="str">
        <x:v>https://knds.com/en/products/systems/pzh-2000
https://knds.com/en/subsidiaries/knds-deutschland
https://knds.com/en/products</x:v>
      </x:c>
    </x:row>
    <x:row r="92" ht="210" customHeight="1">
      <x:c r="A92" s="37" t="str">
        <x:v>KNDS Germany</x:v>
      </x:c>
      <x:c r="B92" s="32" t="str">
        <x:v>Artillery</x:v>
      </x:c>
      <x:c r="C92" s="32" t="str">
        <x:v>RCH 155</x:v>
      </x:c>
      <x:c r="D92" s="32" t="str">
        <x:v>• 155 mm/L52
• &gt;8 rpm
• azimuth 360° (±220°)
• elevation −2.5° to +65°
• up to 40 km BB / 54 km V-LAP
• 30 fuzed projectiles + 144 modular charges
• combat weight &lt;40 t
• 10.50×2.99×3.61 m
• engine up to 600 kW/815 hp
• road speed &gt;100 km/h
• road range &gt;700 km.
• Calibre: 155 mm / L52
• Range: up to approx. 54 km, ammunition dependent
• Rate of fire: &gt;8 rounds/min
• Ammunition: 30 projectiles / 144 charge modules
• Crew: 2
• Combat weight: &lt;40 t
• Dimensions: approx. 10.5 m L × 2.99 m W × 3.61 m H
• Engine: up to 600 kW / 815 hp
• Maximum speed: &gt;100 km/h
• Road range: &gt;700 km</x:v>
      </x:c>
      <x:c r="E92" s="32" t="str">
        <x:v>• Unmanned AGM turret
• fully automatic projectile/charge loading
• inductive fuze programming
• digital FCS
• precision navigation
• optional RCWS/smoke
• NBC protection
• moving-target/fire-on-the-move growth.
• Unmanned fully automatic AGM on BOXER chassis
• 360° firing without support legs
• Automated ammunition flow; autonomous navigation/fire control
• Designed for firing on the move / moving targets</x:v>
      </x:c>
      <x:c r="F92" s="38" t="str">
        <x:v>https://knds.com/en/products/systems/rch-155
https://knds.com/en/subsidiaries/knds-deutschland</x:v>
      </x:c>
    </x:row>
    <x:row r="93" ht="210" customHeight="1">
      <x:c r="A93" s="37" t="str">
        <x:v>KNDS Germany</x:v>
      </x:c>
      <x:c r="B93" s="32" t="str">
        <x:v>Artillery</x:v>
      </x:c>
      <x:c r="C93" s="32" t="str">
        <x:v>RCH 155 TRACKED</x:v>
      </x:c>
      <x:c r="D93" s="32" t="str">
        <x:v>• 155 mm/L52
• &gt;8 rpm
• azimuth 360° (±200°)
• elevation −2.5° to +65°
• range up to 40/54/70 km depending ammunition
• 30 fuzed rounds + 144 modular charges
• combat weight &lt;45 t
• 10.60×3.45×3.5 m
• engine ~800–900 kW
• road speed 70 km/h
• road range &lt;500 km.
• Calibre: 155 mm / L52
• Rate of fire: &gt;8 rounds/min
• Range: ~40 km base-bleed; ~54 km V-LAP; up to ~70 km with Vulcano
• Ammunition: 30 projectiles / 144 charges
• Weight: &lt;45 t
• Dimensions: ~10.6 m L × 3.45 m W × 3.5 m H
• Power: 800–900 kW
• Maximum speed: ~70 km/h
• Crew: 2</x:v>
      </x:c>
      <x:c r="E93" s="32" t="str">
        <x:v>• Tracked BOXER-derived protected mobility
• unmanned fully automated AGM
• no support legs
• shoot-and-scoot while moving
• network architecture
• optional surveillance/self-protection.
• Unmanned AGM on BOXER Tracked
• 360° firing without support legs
• MRSI / firing-on-the-move capability</x:v>
      </x:c>
      <x:c r="F93" s="38" t="str">
        <x:v>https://knds.com/en/products/systems/rch-155-tracked
https://knds.com/en/subsidiaries/knds-deutschland</x:v>
      </x:c>
    </x:row>
    <x:row r="94" ht="210" customHeight="1">
      <x:c r="A94" s="37" t="str">
        <x:v>KNDS Germany</x:v>
      </x:c>
      <x:c r="B94" s="32" t="str">
        <x:v>Protected Vehicles</x:v>
      </x:c>
      <x:c r="C94" s="32" t="str">
        <x:v>BOXER</x:v>
      </x:c>
      <x:c r="D94" s="32" t="str">
        <x:v>• 8×8 armoured vehicle family
• exact mass/payload/speed depend on mission module and variant.
• 8×8 modular armoured vehicle family
• Representative GTV dimensions: approx. 7.9 m L × 2.99 m W × 2.94 m H
• Representative weight class: up to ~36.5 t
• Engine power: ~530 kW
• Maximum speed: &gt;100 km/h
• Crew/capacity: typically 3 + 7 depending mission module</x:v>
      </x:c>
      <x:c r="E94" s="32" t="str">
        <x:v>• Modular mission modules
• high protection
• troop carrier, command, ambulance and specialist variants.
• Replaceable mission-module architecture
• High ballistic/mine protection
• Joint KNDS Deutschland/Rheinmetall ARTEC programme</x:v>
      </x:c>
      <x:c r="F94" s="38" t="str">
        <x:v>https://knds.com/en/subsidiaries/knds-deutschland
https://knds.com/en/products/systems
https://knds.com/en/products/boxer
https://knds.com/en/products</x:v>
      </x:c>
    </x:row>
    <x:row r="95" ht="210" customHeight="1">
      <x:c r="A95" s="37" t="str">
        <x:v>KNDS Germany</x:v>
      </x:c>
      <x:c r="B95" s="32" t="str">
        <x:v>Protected Vehicles</x:v>
      </x:c>
      <x:c r="C95" s="32" t="str">
        <x:v>BOXER RCT30</x:v>
      </x:c>
      <x:c r="D95" s="32" t="str">
        <x:v>• BOXER variant with unmanned 30 mm turret
• exact weight depends on configuration.
• Length: 7.9 m
• Main armament: 30 mm MK30-2/ABM
• Coaxial armament: MG5
• Guided missiles: SPIKE LR</x:v>
      </x:c>
      <x:c r="E95" s="32" t="str">
        <x:v>• Remote-controlled turret
• 30 mm medium-calibre firepower
• protected modular chassis.
• BOXER mobility/protection with PUMA-derived RCT30 turret
• Modular mission-module architecture</x:v>
      </x:c>
      <x:c r="F95" s="38" t="str">
        <x:v>https://knds.com/en/subsidiaries/knds-deutschland
https://knds.com/en/products/systems
https://knds.com/en/products/systems/boxer/boxer-rct-30
https://knds.com/en/products/boxer</x:v>
      </x:c>
    </x:row>
    <x:row r="96" ht="210" customHeight="1">
      <x:c r="A96" s="37" t="str">
        <x:v>KNDS Germany</x:v>
      </x:c>
      <x:c r="B96" s="32" t="str">
        <x:v>Protected Vehicles</x:v>
      </x:c>
      <x:c r="C96" s="32" t="str">
        <x:v>DINGO 2</x:v>
      </x:c>
      <x:c r="D96" s="32" t="str">
        <x:v>• 4×4 protected vehicle family
• exact weight/payload/speed depend on variant.
• Length: 6.2 m
• Width: 2.39 m
• Height: 2.54 m
• Maximum permissible weight: up to 13.1 t
• Engine: 163 kW / 810 Nm
• Range: &gt;700 km</x:v>
      </x:c>
      <x:c r="E96" s="32" t="str">
        <x:v>• Mine/IED protection
• patrol, command, ambulance, EOD and utility roles.
• Mine, ballistic, IED and NBC protection
• Remote-weapon-station interface
• Many mission variants including ambulance, command post, EOD, reconnaissance and recovery</x:v>
      </x:c>
      <x:c r="F96" s="38" t="str">
        <x:v>https://knds.com/en/subsidiaries/knds-deutschland
https://knds.com/en/products/systems
https://knds.com/en/products/dingo-2-range</x:v>
      </x:c>
    </x:row>
    <x:row r="97" ht="210" customHeight="1">
      <x:c r="A97" s="37" t="str">
        <x:v>KNDS Germany</x:v>
      </x:c>
      <x:c r="B97" s="32" t="str">
        <x:v>Protected Vehicles</x:v>
      </x:c>
      <x:c r="C97" s="32" t="str">
        <x:v>DINGO 3</x:v>
      </x:c>
      <x:c r="D97" s="32" t="str">
        <x:v>• Next-generation DINGO protected vehicle family
• variant-specific dimensions and weights.</x:v>
      </x:c>
      <x:c r="E97" s="32" t="str">
        <x:v>• Protected mobility and modular mission integration.</x:v>
      </x:c>
      <x:c r="F97" s="38" t="str">
        <x:v>https://knds.com/en/subsidiaries/knds-deutschland
https://knds.com/en/products/systems</x:v>
      </x:c>
    </x:row>
    <x:row r="98" ht="210" customHeight="1">
      <x:c r="A98" s="37" t="str">
        <x:v>KNDS Germany</x:v>
      </x:c>
      <x:c r="B98" s="32" t="str">
        <x:v>Protected Vehicles</x:v>
      </x:c>
      <x:c r="C98" s="32" t="str">
        <x:v>EMBT ADT 140 Demonstrator</x:v>
      </x:c>
      <x:c r="D98" s="32" t="str">
        <x:v>• Main armament: 140 mm ASCALON gun
• Turret: remotely operated ASCALON Demonstrator Turret (ADT 140)
• Technology demonstrator / concept rather than a fielded production MBT</x:v>
      </x:c>
      <x:c r="E98" s="32" t="str">
        <x:v>• Demonstrates very-high-calibre future tank firepower
• Technology integration focus includes sensor fusion, active protection, AI, cyber and hybrid-energy applications
• Part of KNDS future-MBT / MGCS technology roadmap</x:v>
      </x:c>
      <x:c r="F98" s="38" t="str">
        <x:v>https://knds.com/en/press-releases/towards-mgcs-knds-details-the-future-of-main-battle-tanks</x:v>
      </x:c>
    </x:row>
    <x:row r="99" ht="210" customHeight="1">
      <x:c r="A99" s="37" t="str">
        <x:v>KNDS Germany</x:v>
      </x:c>
      <x:c r="B99" s="32" t="str">
        <x:v>Protected Vehicles</x:v>
      </x:c>
      <x:c r="C99" s="32" t="str">
        <x:v>FENNEK</x:v>
      </x:c>
      <x:c r="D99" s="32" t="str">
        <x:v>• 4×4 reconnaissance vehicle family
• exact mass/speed/range vary by version.
• Length: approx. 5.58 m
• Width: 2.55 m
• Height: 1.79 m
• Weight: approx. 12 t
• Engine: approx. 177 kW
• Maximum speed: &gt;100 km/h
• Range: approx. 1,000 km
• Crew: 3</x:v>
      </x:c>
      <x:c r="E99" s="32" t="str">
        <x:v>• Reconnaissance, observation and C4I
• high mobility
• mast-mounted sensors.
• Low-profile reconnaissance vehicle
• Long-endurance reconnaissance / sensor mast
• Weapon options include 7.62 mm, .50 calibre or 40 mm grenade launcher</x:v>
      </x:c>
      <x:c r="F99" s="38" t="str">
        <x:v>https://knds.com/en/subsidiaries/knds-deutschland
https://knds.com/en/products/systems
https://knds.com/en/products/fennek</x:v>
      </x:c>
    </x:row>
    <x:row r="100" ht="210" customHeight="1">
      <x:c r="A100" s="37" t="str">
        <x:v>KNDS Germany</x:v>
      </x:c>
      <x:c r="B100" s="32" t="str">
        <x:v>Protected Vehicles</x:v>
      </x:c>
      <x:c r="C100" s="32" t="str">
        <x:v>GEPARD</x:v>
      </x:c>
      <x:c r="D100" s="32" t="str">
        <x:v>• Tracked self-propelled anti-aircraft gun system
• twin 35 mm guns
• radar-equipped configuration.</x:v>
      </x:c>
      <x:c r="E100" s="32" t="str">
        <x:v>• Autonomous air-defence gun system
• search/track radar
• all-weather operation.</x:v>
      </x:c>
      <x:c r="F100" s="38" t="str">
        <x:v>https://knds.com/en/subsidiaries/knds-deutschland
https://knds.com/en/products/systems</x:v>
      </x:c>
    </x:row>
    <x:row r="101" ht="210" customHeight="1">
      <x:c r="A101" s="37" t="str">
        <x:v>KNDS Germany</x:v>
      </x:c>
      <x:c r="B101" s="32" t="str">
        <x:v>Protected Vehicles</x:v>
      </x:c>
      <x:c r="C101" s="32" t="str">
        <x:v>GFF4</x:v>
      </x:c>
      <x:c r="D101" s="32" t="str">
        <x:v>• Heavy protected 4×4/mission vehicle family
• exact weight and payload configuration-dependent.</x:v>
      </x:c>
      <x:c r="E101" s="32" t="str">
        <x:v>• High protection and modular mission equipment.</x:v>
      </x:c>
      <x:c r="F101" s="38" t="str">
        <x:v>https://knds.com/en/subsidiaries/knds-deutschland
https://knds.com/en/products/systems</x:v>
      </x:c>
    </x:row>
    <x:row r="102" ht="210" customHeight="1">
      <x:c r="A102" s="37" t="str">
        <x:v>KNDS Germany</x:v>
      </x:c>
      <x:c r="B102" s="32" t="str">
        <x:v>Protected Vehicles</x:v>
      </x:c>
      <x:c r="C102" s="32" t="str">
        <x:v>LEOPARD 1</x:v>
      </x:c>
      <x:c r="D102" s="32" t="str">
        <x:v>• Tracked main battle tank family
• 105 mm main gun on classic configuration
• variant-specific armour/mobility.</x:v>
      </x:c>
      <x:c r="E102" s="32" t="str">
        <x:v>• MBT
• numerous modernisation variants.</x:v>
      </x:c>
      <x:c r="F102" s="38" t="str">
        <x:v>https://knds.com/en/subsidiaries/knds-deutschland
https://knds.com/en/products/systems</x:v>
      </x:c>
    </x:row>
    <x:row r="103" ht="210" customHeight="1">
      <x:c r="A103" s="37" t="str">
        <x:v>KNDS Germany</x:v>
      </x:c>
      <x:c r="B103" s="32" t="str">
        <x:v>Protected Vehicles</x:v>
      </x:c>
      <x:c r="C103" s="32" t="str">
        <x:v>LEOPARD 2</x:v>
      </x:c>
      <x:c r="D103" s="32" t="str">
        <x:v>• Tracked MBT family
• 120 mm smoothbore main gun
• variant-specific mass/engine/speed.</x:v>
      </x:c>
      <x:c r="E103" s="32" t="str">
        <x:v>• Advanced protection
• digital fire control
• modular armour and upgrades.</x:v>
      </x:c>
      <x:c r="F103" s="38" t="str">
        <x:v>https://knds.com/en/subsidiaries/knds-deutschland
https://knds.com/en/products/systems</x:v>
      </x:c>
    </x:row>
    <x:row r="104" ht="210" customHeight="1">
      <x:c r="A104" s="37" t="str">
        <x:v>KNDS Germany</x:v>
      </x:c>
      <x:c r="B104" s="32" t="str">
        <x:v>Protected Vehicles</x:v>
      </x:c>
      <x:c r="C104" s="32" t="str">
        <x:v>LEOPARD 2 A-RC 3.0</x:v>
      </x:c>
      <x:c r="D104" s="32" t="str">
        <x:v>• Crew: 3, located in the hull
• Turret: remote-controlled / unmanned modular turret
• Main-armament compatibility: 120 mm, 130 mm or 140 mm
• Autoloader integrated
• Secondary armament: 30 mm weapon in the 2024/26 concept descriptions
• Anti-tank missile integration provision
• Development / technology-concept configuration</x:v>
      </x:c>
      <x:c r="E104" s="32" t="str">
        <x:v>• Reduced protected volume and vehicle mass through unmanned turret architecture
• Improved power-to-weight ratio and tactical mobility
• Prepared for advanced networking and counter-UAS functions
• Technology bridge toward future MGCS concepts</x:v>
      </x:c>
      <x:c r="F104" s="38" t="str">
        <x:v>https://knds.com/en/press-releases/knds-presents-further-development-of-leopard-2-a-rc-3-0-technological-concept-study-at-eurosatory-2026
https://knds.com/en/press-releases/towards-mgcs-knds-details-the-future-of-main-battle-tanks</x:v>
      </x:c>
    </x:row>
    <x:row r="105" ht="210" customHeight="1">
      <x:c r="A105" s="37" t="str">
        <x:v>KNDS Germany</x:v>
      </x:c>
      <x:c r="B105" s="32" t="str">
        <x:v>Protected Vehicles</x:v>
      </x:c>
      <x:c r="C105" s="32" t="str">
        <x:v>Leopard 2A8</x:v>
      </x:c>
      <x:c r="D105" s="32" t="str">
        <x:v>• Crew: 4
• Main armament: 120 mm L55A1
• Ammunition: 42 rounds
• Engine: 1,500 hp; 47.6 L multifuel
• Maximum forward speed: 60 km/h; reverse: 28 km/h
• Road range: &lt;400 km
• Dimensions: 10.968 m L × 3.774 m W × 3.180 m H
• Gradient: 60%; side slope: 30%; ditch: 3 m; vertical obstacle: 1.05 m; submerged fording: up to 4 m</x:v>
      </x:c>
      <x:c r="E105" s="32" t="str">
        <x:v>• Trophy active protection system
• 20 kW APU
• Modernised armour/survivability and digital architecture</x:v>
      </x:c>
      <x:c r="F105" s="38" t="str">
        <x:v>https://backend.knds.com/uploads/KNDS_B_Ansicht_LEOPARD_2_A8_EN_056fd1a8ad.pdf
https://knds.com/en/products</x:v>
      </x:c>
    </x:row>
    <x:row r="106" ht="210" customHeight="1">
      <x:c r="A106" s="37" t="str">
        <x:v>KNDS Germany</x:v>
      </x:c>
      <x:c r="B106" s="32" t="str">
        <x:v>Protected Vehicles</x:v>
      </x:c>
      <x:c r="C106" s="32" t="str">
        <x:v>MUNGO</x:v>
      </x:c>
      <x:c r="D106" s="32" t="str">
        <x:v>• Light air-transportable protected utility vehicle
• exact current configuration data varies.
• Maximum weight: 5.4 t
• Unladen weight: 3.9 t
• Dimensions: 4.71 m L × 2.29 m W × 2.44 m H
• Power: 107 kW
• Maximum speed: 90 km/h
• Range: &gt;400 km
• Capacity: 2 + up to 8</x:v>
      </x:c>
      <x:c r="E106" s="32" t="str">
        <x:v>• Air-mobile logistics/personnel transport
• protected mobility.
• Compact air-transportable protected vehicle family
• Mission variants for transport/support</x:v>
      </x:c>
      <x:c r="F106" s="38" t="str">
        <x:v>https://knds.com/en/subsidiaries/knds-deutschland
https://knds.com/en/products/systems
https://knds.com/en/products/mungo
https://knds.com/en/products</x:v>
      </x:c>
    </x:row>
    <x:row r="107" ht="210" customHeight="1">
      <x:c r="A107" s="37" t="str">
        <x:v>KNDS Germany</x:v>
      </x:c>
      <x:c r="B107" s="32" t="str">
        <x:v>Protected Vehicles</x:v>
      </x:c>
      <x:c r="C107" s="32" t="str">
        <x:v>PUMA</x:v>
      </x:c>
      <x:c r="D107" s="32" t="str">
        <x:v>• Tracked infantry fighting vehicle
• 30 mm MK30-2/ABM cannon
• variant-specific missile/weapon fit.
• Dimensions: 7.4 m L × 3.7 m W × 3.1 m H
• Weight: 31.4 t Level A / 43 t Level C
• Power: 800 kW
• Maximum speed: 70 km/h
• Crew: 3 + 6
• Main armament: 30 mm MK30-2/ABM; coaxial MG4; guided missile</x:v>
      </x:c>
      <x:c r="E107" s="32" t="str">
        <x:v>• High protection
• modular armour
• digital architecture
• networked IFV.
• Unmanned remotely operated turret
• Hunter-killer capability
• Modular mine/AT/IED protection
• A400M air transport at Protection Level A</x:v>
      </x:c>
      <x:c r="F107" s="38" t="str">
        <x:v>https://knds.com/en/subsidiaries/knds-deutschland
https://knds.com/en/products/systems
https://knds.com/en/products/systems/puma</x:v>
      </x:c>
    </x:row>
    <x:row r="108" ht="210" customHeight="1">
      <x:c r="A108" s="37" t="str">
        <x:v>BAE Systems</x:v>
      </x:c>
      <x:c r="B108" s="32" t="str">
        <x:v>Artillery</x:v>
      </x:c>
      <x:c r="C108" s="32" t="str">
        <x:v>ARCHER Mobile Howitzer</x:v>
      </x:c>
      <x:c r="D108" s="32" t="str">
        <x:v>• 155 mm/52 cal
• rate up to 9 rpm
• firing range &gt;50 km
• 21-shell automated magazine
• road speed up to 90 km/h
• range up to 650–800 km depending configuration
• deployment/redeployment ~20–30 s.
• Calibre: 155 mm / 52 calibre
• Magazine: 21 complete rounds
• Range: 40 km conventional; ~60 km with Excalibur; current platform literature also states &gt;50 km depending ammunition
• Rate of fire: up to 8 rounds/min
• Salvo: 3 rounds / 15 sec
• Intensive fire: 20 rounds / 2.5 min
• Continuous fire: 75 rounds/hour
• MRSI: up to 6 rounds
• Direct fire: up to 2,000 m
• Road speed: up to 70–90 km/h depending chassis/configuration
• On-board fuel range: up to ~800 km on current 8×8 configuration</x:v>
      </x:c>
      <x:c r="E108" s="32" t="str">
        <x:v>• Armoured crew cabin
• automated ammunition handling/fuze setting
• onboard ballistic computation
• GPS/INS
• MRSI
• rapid shoot-and-scoot
• BONUS/Excalibur compatibility.
• Fully automated loading, laying and firing from armoured cabin
• Deployment/redeployment roughly 20–30 sec
• NATO 155 mm ammunition compatibility
• Integrated ballistics, automated fuze setting, GPS/INS and BMS interfaces
• A400M/C-17 transportability</x:v>
      </x:c>
      <x:c r="F108" s="38" t="str">
        <x:v>https://www.baesystems.com/en-us/product/archer
https://www.baesystems.com/en-us/what-we-do/land/artillery
https://www.baesystems.com/en/product/archer-switzerland</x:v>
      </x:c>
    </x:row>
    <x:row r="109" ht="210" customHeight="1">
      <x:c r="A109" s="37" t="str">
        <x:v>BAE Systems</x:v>
      </x:c>
      <x:c r="B109" s="32" t="str">
        <x:v>Artillery</x:v>
      </x:c>
      <x:c r="C109" s="32" t="str">
        <x:v>M109-52 Self-Propelled Howitzer</x:v>
      </x:c>
      <x:c r="D109" s="32" t="str">
        <x:v>• 155 mm/52 cal cannon integrated on M109A7 chassis
• exact final configuration performance subject to U.S. Army programme configuration.
• Calibre: 155 mm / 52 calibre
• Cannon: Rheinmetall L52 integrated on M109A7 platform
• Unassisted range: approx. 30 km vs 22 km for legacy L39 comparison
• Rocket-assisted range: up to ~60 km vs ~30 km for legacy L39 comparison</x:v>
      </x:c>
      <x:c r="E109" s="32" t="str">
        <x:v>• Extended-range upgrade path
• domestic U.S. manufacturing
• improved long-range fires.
• JBMOU-compliant 52-cal cannon
• Uses mature M109A7 chassis / systems
• Designed for rapid fielding of longer-range firepower</x:v>
      </x:c>
      <x:c r="F109" s="38" t="str">
        <x:v>https://www.baesystems.com/en-us/product/m109-52-self-propelled-howitzer
https://www.baesystems.com/en-us/what-we-do/land/artillery
https://www.baesystems.com/dam/jcr%3A86d9ad40-5148-45ab-9a0a-d5069169f316</x:v>
      </x:c>
    </x:row>
    <x:row r="110" ht="210" customHeight="1">
      <x:c r="A110" s="37" t="str">
        <x:v>BAE Systems</x:v>
      </x:c>
      <x:c r="B110" s="32" t="str">
        <x:v>Artillery</x:v>
      </x:c>
      <x:c r="C110" s="32" t="str">
        <x:v>M109A7</x:v>
      </x:c>
      <x:c r="D110" s="32" t="str">
        <x:v>• 155 mm tracked self-propelled howitzer
• exact current range/weight figures vary by configuration and ammunition.
• Combat weight: 38,101 kg / 84,000 lb
• Crew: 4
• Engine: 675 hp
• Fuel capacity: 549 L
• Maximum speed: 61 km/h
• Cruising range: ~300 km
• Length: 9.7 m
• Width: 3.9 m
• Height: 3.3 m
• Slope: 60%; side slope: 40%; trench: 1.8 m; fording: 1.07 m
• Cannon: M284/M284A2 on M182A1 mount</x:v>
      </x:c>
      <x:c r="E110" s="32" t="str">
        <x:v>• Digitised M109 family
• improved survivability and mobility
• commonality with Bradley components
• ABCT integration.
• Digital backbone / modern electrical architecture
• Commonality with Armored Brigade Combat Team vehicle components
• Onboard diagnostics and enhanced survivability</x:v>
      </x:c>
      <x:c r="F110" s="38" t="str">
        <x:v>https://www.baesystems.com/en-us/product/m109a7
https://www.baesystems.com/en-us/what-we-do/land/artillery
https://www.baesystems.com/dam/jcr%3A891d545e-5925-442e-a4b1-65172af2647d</x:v>
      </x:c>
    </x:row>
    <x:row r="111" ht="210" customHeight="1">
      <x:c r="A111" s="37" t="str">
        <x:v>BAE Systems</x:v>
      </x:c>
      <x:c r="B111" s="32" t="str">
        <x:v>Artillery</x:v>
      </x:c>
      <x:c r="C111" s="32" t="str">
        <x:v>M777 Lightweight Towed 155 mm Howitzer</x:v>
      </x:c>
      <x:c r="D111" s="32" t="str">
        <x:v>• 155 mm/39 cal
• max unassisted 24.7 km
• max assisted 30+ km
• intense 4 rpm up to 2 min
• sustained 2 rpm
• emplacement &lt;3 min
• displacement 2–3 min
• elevation +1,275 mil, depression −43 mil
• traverse 400 mil left/right on carriage
• road speed 88 km/h
• cross-country 24 km/h.
• Calibre: 155 mm / 39 calibre
• Weight: &lt;10,000 lb / &lt;4,536 kg
• Maximum range: 24.7 km unassisted; 30+ km assisted; approx. 40 km with Excalibur
• Rate of fire: intense 4 rounds/min for up to 2 min; sustained 2 rounds/min
• Emplacement: &lt;3 min
• Displacement: approx. 2–3 min
• Road towing speed: up to 88 km/h; cross-country: 24 km/h</x:v>
      </x:c>
      <x:c r="E111" s="32" t="str">
        <x:v>• Ultra-lightweight towed artillery
• NATO/US ammunition compatibility
• air transport by C-130/C-17/C-5 and rotary-wing platforms
• digital fire-control/navigation options depending configuration.
• Ultra-lightweight titanium-based towed howitzer
• Digital fire-control variants support precision-guided Excalibur
• Air transportable by C-130/C-17 and heavy/medium-lift helicopters</x:v>
      </x:c>
      <x:c r="F111" s="38" t="str">
        <x:v>https://www.baesystems.com/dam/jcr%3A460e123c-94b6-4bea-a619-eed32a8b87a7
https://www.baesystems.com/en-us/what-we-do/land/artillery
https://www.cpeae.army.mil/Project-Offices/PM-CAS/Organizations/Tactical-Artillery-Systems/Products/M777A2/</x:v>
      </x:c>
    </x:row>
    <x:row r="112" ht="210" customHeight="1">
      <x:c r="A112" s="37" t="str">
        <x:v>BAE Systems</x:v>
      </x:c>
      <x:c r="B112" s="32" t="str">
        <x:v>Artillery</x:v>
      </x:c>
      <x:c r="C112" s="32" t="str">
        <x:v>TRIDON Mk2</x:v>
      </x:c>
      <x:c r="D112" s="32" t="str">
        <x:v>• 40 mm self-propelled remotely controlled anti-aircraft gun
• effective range up to 12 km depending target/ammunition/sensors/terrain.</x:v>
      </x:c>
      <x:c r="E112" s="32" t="str">
        <x:v>• Ground-based air defence against drones, cruise missiles, aircraft and armoured vehicles
• modular
• day/night sensors
• onboard FCS
• remote operation.</x:v>
      </x:c>
      <x:c r="F112" s="38" t="str">
        <x:v>https://www.baesystems.com/en/product/tridon-mk2
https://www.baesystems.com/en-us/what-we-do/land/artillery</x:v>
      </x:c>
    </x:row>
    <x:row r="113" ht="210" customHeight="1">
      <x:c r="A113" s="37" t="str">
        <x:v>BAE Systems</x:v>
      </x:c>
      <x:c r="B113" s="32" t="str">
        <x:v>Ammunition</x:v>
      </x:c>
      <x:c r="C113" s="32" t="str">
        <x:v>105 mm Artillery Ammunition</x:v>
      </x:c>
      <x:c r="D113" s="32" t="str">
        <x:v>• 105 mm artillery ammunition family
• exact projectile/charge/fuze data vary.
• Calibre: 105 mm</x:v>
      </x:c>
      <x:c r="E113" s="32" t="str">
        <x:v>• BAE ammunition portfolio spans artillery, mortar, naval, medium-calibre and small-arms ammunition
• many rounds are configurable by fuze/projectile type.
• Designed for Royal Ordnance 105 mm Light Gun L118</x:v>
      </x:c>
      <x:c r="F113" s="38" t="str">
        <x:v>https://www.baesystems.com/en-uk/what-we-do/weapon-systems/munitions
https://www.baesystems.com/en-us/product/precision-guided-munitions
https://www.baesystems.com/en/what-we-do/land</x:v>
      </x:c>
    </x:row>
    <x:row r="114" ht="210" customHeight="1">
      <x:c r="A114" s="37" t="str">
        <x:v>BAE Systems</x:v>
      </x:c>
      <x:c r="B114" s="32" t="str">
        <x:v>Ammunition</x:v>
      </x:c>
      <x:c r="C114" s="32" t="str">
        <x:v>120 mm Mortar Ammunition</x:v>
      </x:c>
      <x:c r="D114" s="32" t="str">
        <x:v>• 120 mm mortar ammunition family
• exact projectile type, mass and range vary.</x:v>
      </x:c>
      <x:c r="E114" s="32" t="str">
        <x:v>• BAE ammunition portfolio spans artillery, mortar, naval, medium-calibre and small-arms ammunition
• many rounds are configurable by fuze/projectile type.</x:v>
      </x:c>
      <x:c r="F114" s="38" t="str">
        <x:v>https://www.baesystems.com/en-uk/what-we-do/weapon-systems/munitions
https://www.baesystems.com/en-us/product/precision-guided-munitions</x:v>
      </x:c>
    </x:row>
    <x:row r="115" ht="210" customHeight="1">
      <x:c r="A115" s="37" t="str">
        <x:v>BAE Systems</x:v>
      </x:c>
      <x:c r="B115" s="32" t="str">
        <x:v>Ammunition</x:v>
      </x:c>
      <x:c r="C115" s="32" t="str">
        <x:v>155 mm Artillery Ammunition</x:v>
      </x:c>
      <x:c r="D115" s="32" t="str">
        <x:v>• 155 mm artillery ammunition family
• projectile/charge/fuze-specific specifications vary by round.
• Calibre: 155 mm
• Designed around NATO JBMOU / STANAG requirements</x:v>
      </x:c>
      <x:c r="E115" s="32" t="str">
        <x:v>• BAE ammunition portfolio spans artillery, mortar, naval, medium-calibre and small-arms ammunition
• many rounds are configurable by fuze/projectile type.
• Family of NATO-compatible 155 mm artillery ammunition manufactured by BAE Systems Munitions</x:v>
      </x:c>
      <x:c r="F115" s="38" t="str">
        <x:v>https://www.baesystems.com/en-uk/what-we-do/weapon-systems/munitions
https://www.baesystems.com/en-us/product/precision-guided-munitions
https://www.baesystems.com/en/what-we-do/land</x:v>
      </x:c>
    </x:row>
    <x:row r="116" ht="210" customHeight="1">
      <x:c r="A116" s="37" t="str">
        <x:v>BAE Systems</x:v>
      </x:c>
      <x:c r="B116" s="32" t="str">
        <x:v>Ammunition</x:v>
      </x:c>
      <x:c r="C116" s="32" t="str">
        <x:v>3P Programmable Ammunition</x:v>
      </x:c>
      <x:c r="D116" s="32" t="str">
        <x:v>• Programmable 3P ammunition family for Bofors 40 mm/air-defence applications
• fuze programming depends on weapon/FCS.</x:v>
      </x:c>
      <x:c r="E116" s="32" t="str">
        <x:v>• BAE ammunition portfolio spans artillery, mortar, naval, medium-calibre and small-arms ammunition
• many rounds are configurable by fuze/projectile type.</x:v>
      </x:c>
      <x:c r="F116" s="38" t="str">
        <x:v>https://www.baesystems.com/en-uk/what-we-do/weapon-systems/munitions
https://www.baesystems.com/en-us/product/precision-guided-munitions</x:v>
      </x:c>
    </x:row>
    <x:row r="117" ht="210" customHeight="1">
      <x:c r="A117" s="37" t="str">
        <x:v>BAE Systems</x:v>
      </x:c>
      <x:c r="B117" s="32" t="str">
        <x:v>Ammunition</x:v>
      </x:c>
      <x:c r="C117" s="32" t="str">
        <x:v>4.5-inch Naval Ammunition</x:v>
      </x:c>
      <x:c r="D117" s="32" t="str">
        <x:v>• 4.5-inch naval gun ammunition family
• exact projectile/fuze data vary.
• Calibre: 4.5 inch naval gun ammunition</x:v>
      </x:c>
      <x:c r="E117" s="32" t="str">
        <x:v>• BAE ammunition portfolio spans artillery, mortar, naval, medium-calibre and small-arms ammunition
• many rounds are configurable by fuze/projectile type.
• Variants: Improved Ammunition HE N20/Fuze NC23; Surface Practice N21; Illum L1/Fuze L163; IR Illum L2/Fuze L163</x:v>
      </x:c>
      <x:c r="F117" s="38" t="str">
        <x:v>https://www.baesystems.com/en-uk/what-we-do/weapon-systems/munitions
https://www.baesystems.com/en-us/product/precision-guided-munitions
https://www.baesystems.com/en/product/4-5inch-naval-ammunition</x:v>
      </x:c>
    </x:row>
    <x:row r="118" ht="210" customHeight="1">
      <x:c r="A118" s="37" t="str">
        <x:v>BAE Systems</x:v>
      </x:c>
      <x:c r="B118" s="32" t="str">
        <x:v>Ammunition</x:v>
      </x:c>
      <x:c r="C118" s="32" t="str">
        <x:v>40 mm Cased Telescoped Ammunition</x:v>
      </x:c>
      <x:c r="D118" s="32" t="str">
        <x:v>• 40 mm CTA family
• projectile types include programmable/multipurpose effects depending configuration.</x:v>
      </x:c>
      <x:c r="E118" s="32" t="str">
        <x:v>• BAE ammunition portfolio spans artillery, mortar, naval, medium-calibre and small-arms ammunition
• many rounds are configurable by fuze/projectile type.</x:v>
      </x:c>
      <x:c r="F118" s="38" t="str">
        <x:v>https://www.baesystems.com/en-uk/what-we-do/weapon-systems/munitions
https://www.baesystems.com/en-us/product/precision-guided-munitions</x:v>
      </x:c>
    </x:row>
    <x:row r="119" ht="210" customHeight="1">
      <x:c r="A119" s="37" t="str">
        <x:v>BAE Systems</x:v>
      </x:c>
      <x:c r="B119" s="32" t="str">
        <x:v>Ammunition</x:v>
      </x:c>
      <x:c r="C119" s="32" t="str">
        <x:v>5.56 mm Small Arms Ammunition</x:v>
      </x:c>
      <x:c r="D119" s="32" t="str">
        <x:v>• 5.56 mm NATO small-arms ammunition family
• exact projectile construction and ballistics vary.
• Calibre: 5.56×45 mm NATO
• L15/SS109 ball: 4 g / 62 gr FMJ boat-tail, lead core with steel-tip penetrator
• M193 ball: 3.56 g projectile</x:v>
      </x:c>
      <x:c r="E119" s="32" t="str">
        <x:v>• BAE ammunition portfolio spans artillery, mortar, naval, medium-calibre and small-arms ammunition
• many rounds are configurable by fuze/projectile type.
• Variants include ball, tracer, blank, drill and enhanced-performance rounds
• STANAG 4172 compliant / NATO-qualified variants</x:v>
      </x:c>
      <x:c r="F119" s="38" t="str">
        <x:v>https://www.baesystems.com/en-uk/what-we-do/weapon-systems/munitions
https://www.baesystems.com/en-us/product/precision-guided-munitions
https://www.baesystems.com/en/product/556mm-ball
https://www.baesystems.com/en/product~small-arms-ammunition-5-56mm~</x:v>
      </x:c>
    </x:row>
    <x:row r="120" ht="210" customHeight="1">
      <x:c r="A120" s="37" t="str">
        <x:v>BAE Systems</x:v>
      </x:c>
      <x:c r="B120" s="32" t="str">
        <x:v>Ammunition</x:v>
      </x:c>
      <x:c r="C120" s="32" t="str">
        <x:v>7.62 mm Small Arms Ammunition</x:v>
      </x:c>
      <x:c r="D120" s="32" t="str">
        <x:v>• 7.62 mm NATO small-arms ammunition family
• exact projectile construction and ballistics vary.
• Calibre family: 7.62 mm NATO</x:v>
      </x:c>
      <x:c r="E120" s="32" t="str">
        <x:v>• BAE ammunition portfolio spans artillery, mortar, naval, medium-calibre and small-arms ammunition
• many rounds are configurable by fuze/projectile type.
• Variants include ball, tracer, blank, sniper and high-performance ammunition
• NATO-qualified configurations</x:v>
      </x:c>
      <x:c r="F120" s="38" t="str">
        <x:v>https://www.baesystems.com/en-uk/what-we-do/weapon-systems/munitions
https://www.baesystems.com/en-us/product/precision-guided-munitions
https://www.baesystems.com/en/product~small-arms-ammunition-7-62mm~</x:v>
      </x:c>
    </x:row>
    <x:row r="121" ht="210" customHeight="1">
      <x:c r="A121" s="37" t="str">
        <x:v>BAE Systems</x:v>
      </x:c>
      <x:c r="B121" s="32" t="str">
        <x:v>Ammunition</x:v>
      </x:c>
      <x:c r="C121" s="32" t="str">
        <x:v>81 mm Mortar Ammunition</x:v>
      </x:c>
      <x:c r="D121" s="32" t="str">
        <x:v>• 81 mm mortar ammunition family
• exact projectile type, mass and range vary.
• Calibre: 81 mm</x:v>
      </x:c>
      <x:c r="E121" s="32" t="str">
        <x:v>• BAE ammunition portfolio spans artillery, mortar, naval, medium-calibre and small-arms ammunition
• many rounds are configurable by fuze/projectile type.
• Battle-proven area-effect family
• Mk4 charge system across products</x:v>
      </x:c>
      <x:c r="F121" s="38" t="str">
        <x:v>https://www.baesystems.com/en-uk/what-we-do/weapon-systems/munitions
https://www.baesystems.com/en-us/product/precision-guided-munitions</x:v>
      </x:c>
    </x:row>
    <x:row r="122" ht="210" customHeight="1">
      <x:c r="A122" s="37" t="str">
        <x:v>BAE Systems</x:v>
      </x:c>
      <x:c r="B122" s="32" t="str">
        <x:v>Ammunition</x:v>
      </x:c>
      <x:c r="C122" s="32" t="str">
        <x:v>BlackThorn Mission-Configurable Warheads</x:v>
      </x:c>
      <x:c r="D122" s="32" t="str">
        <x:v>• Mission-configurable warhead technology
• exact explosive/fragmentation configuration is mission dependent.</x:v>
      </x:c>
      <x:c r="E122" s="32" t="str">
        <x:v>• BAE ammunition portfolio spans artillery, mortar, naval, medium-calibre and small-arms ammunition
• many rounds are configurable by fuze/projectile type.</x:v>
      </x:c>
      <x:c r="F122" s="38" t="str">
        <x:v>https://www.baesystems.com/en-uk/what-we-do/weapon-systems/munitions
https://www.baesystems.com/en-us/product/precision-guided-munitions</x:v>
      </x:c>
    </x:row>
    <x:row r="123" ht="210" customHeight="1">
      <x:c r="A123" s="37" t="str">
        <x:v>BAE Systems</x:v>
      </x:c>
      <x:c r="B123" s="32" t="str">
        <x:v>Ammunition</x:v>
      </x:c>
      <x:c r="C123" s="32" t="str">
        <x:v>Bofors 155 BONUS</x:v>
      </x:c>
      <x:c r="D123" s="32" t="str">
        <x:v>• 155 mm sensor-fuzed anti-armour artillery projectile
• exact mass/range and sensor details depend on production configuration.
• Calibre: 155 mm
• Maximum range: 35 km from L52 gun
• Payload: 2 sensor-fuzed attack munitions
• Search footprint: up to 32,000 m²</x:v>
      </x:c>
      <x:c r="E123" s="32" t="str">
        <x:v>• BAE ammunition portfolio spans artillery, mortar, naval, medium-calibre and small-arms ammunition
• many rounds are configurable by fuze/projectile type.
• Fire-and-forget top-attack against armoured vehicles
• Developed/produced jointly by BAE Systems Bofors and Nexter/KNDS France</x:v>
      </x:c>
      <x:c r="F123" s="38" t="str">
        <x:v>https://www.baesystems.com/en-uk/what-we-do/weapon-systems/munitions
https://www.baesystems.com/en-us/product/precision-guided-munitions
https://www.baesystems.com/en/product/155-bonus</x:v>
      </x:c>
    </x:row>
    <x:row r="124" ht="210" customHeight="1">
      <x:c r="A124" s="37" t="str">
        <x:v>BAE Systems</x:v>
      </x:c>
      <x:c r="B124" s="32" t="str">
        <x:v>Ammunition</x:v>
      </x:c>
      <x:c r="C124" s="32" t="str">
        <x:v>Hypervelocity Projectile (HVP)</x:v>
      </x:c>
      <x:c r="D124" s="32" t="str">
        <x:v>• High-velocity guided projectile family
• calibre/platform-specific integration
• detailed performance depends on configuration.</x:v>
      </x:c>
      <x:c r="E124" s="32" t="str">
        <x:v>• BAE ammunition portfolio spans artillery, mortar, naval, medium-calibre and small-arms ammunition
• many rounds are configurable by fuze/projectile type.</x:v>
      </x:c>
      <x:c r="F124" s="38" t="str">
        <x:v>https://www.baesystems.com/en-uk/what-we-do/weapon-systems/munitions
https://www.baesystems.com/en-us/product/precision-guided-munitions</x:v>
      </x:c>
    </x:row>
    <x:row r="125" ht="210" customHeight="1">
      <x:c r="A125" s="37" t="str">
        <x:v>BAE Systems</x:v>
      </x:c>
      <x:c r="B125" s="32" t="str">
        <x:v>Protected Vehicles</x:v>
      </x:c>
      <x:c r="C125" s="32" t="str">
        <x:v>AAV7A1 Assault Amphibious Vehicle</x:v>
      </x:c>
      <x:c r="D125" s="32" t="str">
        <x:v>• Engine: 400 hp V8
• Waterjets: twin 14,000 gpm
• Sea speed: approx. 7 knots
• Land speed: approx. 45 mph / 72 km/h</x:v>
      </x:c>
      <x:c r="E125" s="32" t="str">
        <x:v>• Amphibious ship-to-shore armoured vehicle
• Weapon station with .50 cal machine gun / Mk19 grenade launcher</x:v>
      </x:c>
      <x:c r="F125" s="38" t="str">
        <x:v>https://www.baesystems.com/en/product/assault-amphibious-vehicle</x:v>
      </x:c>
    </x:row>
    <x:row r="126" ht="210" customHeight="1">
      <x:c r="A126" s="37" t="str">
        <x:v>BAE Systems</x:v>
      </x:c>
      <x:c r="B126" s="32" t="str">
        <x:v>Protected Vehicles</x:v>
      </x:c>
      <x:c r="C126" s="32" t="str">
        <x:v>ACV</x:v>
      </x:c>
      <x:c r="D126" s="32" t="str">
        <x:v>• 8×8 amphibious combat vehicle family based on SUPERAV platform
• exact final configuration depends on U.S. Marine Corps variant.
• 8×8 wheeled amphibious armoured platform</x:v>
      </x:c>
      <x:c r="E126" s="32" t="str">
        <x:v>• Ship-to-shore amphibious mobility
• armoured protection
• modular mission equipment.
• Designed for open-ocean ship-to-shore operations
• Variants include personnel, command and 30 mm configurations
• Modular growth architecture</x:v>
      </x:c>
      <x:c r="F126" s="38" t="str">
        <x:v>https://www.baesystems.com/en-uk/what-we-do/land/combat-vehicles
https://www.baesystems.com/en-us/product/amphibious-combat-vehicle
https://www.baesystems.com/en/what-we-do/land</x:v>
      </x:c>
    </x:row>
    <x:row r="127" ht="210" customHeight="1">
      <x:c r="A127" s="37" t="str">
        <x:v>BAE Systems</x:v>
      </x:c>
      <x:c r="B127" s="32" t="str">
        <x:v>Protected Vehicles</x:v>
      </x:c>
      <x:c r="C127" s="32" t="str">
        <x:v>AMPV</x:v>
      </x:c>
      <x:c r="D127" s="32" t="str">
        <x:v>• Tracked armoured vehicle family replacing M113 in U.S. ABCT
• variants include General Purpose, Mortar Carrier, Mission Command, Medical Treatment and Medical Evacuation.</x:v>
      </x:c>
      <x:c r="E127" s="32" t="str">
        <x:v>• High protection
• Bradley/M109A7 commonality
• digital architecture
• full-rate production.</x:v>
      </x:c>
      <x:c r="F127" s="38" t="str">
        <x:v>https://www.baesystems.com/en-uk/what-we-do/land/combat-vehicles</x:v>
      </x:c>
    </x:row>
    <x:row r="128" ht="210" customHeight="1">
      <x:c r="A128" s="37" t="str">
        <x:v>BAE Systems</x:v>
      </x:c>
      <x:c r="B128" s="32" t="str">
        <x:v>Protected Vehicles</x:v>
      </x:c>
      <x:c r="C128" s="32" t="str">
        <x:v>Bradley Fighting Vehicle</x:v>
      </x:c>
      <x:c r="D128" s="32" t="str">
        <x:v>• Tracked IFV family
• 25 mm cannon and TOW in classic configurations
• exact weight/mobility vary by variant.
• Tracked infantry fighting vehicle family</x:v>
      </x:c>
      <x:c r="E128" s="32" t="str">
        <x:v>• Infantry fighting vehicle
• anti-armour capability
• protected troop carriage.
• Digital electronics and modernisation upgrades
• Current BAE Systems production/support platform for U.S. Army</x:v>
      </x:c>
      <x:c r="F128" s="38" t="str">
        <x:v>https://www.baesystems.com/en-uk/what-we-do/land/combat-vehicles
https://www.baesystems.com/en/product/bradley-fighting-vehicle
https://www.baesystems.com/en/what-we-do/land</x:v>
      </x:c>
    </x:row>
    <x:row r="129" ht="210" customHeight="1">
      <x:c r="A129" s="37" t="str">
        <x:v>BAE Systems</x:v>
      </x:c>
      <x:c r="B129" s="32" t="str">
        <x:v>Protected Vehicles</x:v>
      </x:c>
      <x:c r="C129" s="32" t="str">
        <x:v>BvS10</x:v>
      </x:c>
      <x:c r="D129" s="32" t="str">
        <x:v>• Armoured articulated all-terrain vehicle
• payload up to 6 t
• load volume 2.5 + 6.5 m³
• weapon integration from 5.56 to 12.7 mm and 40 mm AGL.</x:v>
      </x:c>
      <x:c r="E129" s="32" t="str">
        <x:v>• Extreme-terrain mobility
• ballistic/anti-tank-mine protection
• smoke launchers
• C2 integration.</x:v>
      </x:c>
      <x:c r="F129" s="38" t="str">
        <x:v>https://www.baesystems.com/en-uk/what-we-do/land/combat-vehicles</x:v>
      </x:c>
    </x:row>
    <x:row r="130" ht="210" customHeight="1">
      <x:c r="A130" s="37" t="str">
        <x:v>BAE Systems</x:v>
      </x:c>
      <x:c r="B130" s="32" t="str">
        <x:v>Protected Vehicles</x:v>
      </x:c>
      <x:c r="C130" s="32" t="str">
        <x:v>BvS10 Beowulf</x:v>
      </x:c>
      <x:c r="D130" s="32" t="str">
        <x:v>• Amphibious articulated all-terrain vehicle
• exact payload/range vary by configuration.</x:v>
      </x:c>
      <x:c r="E130" s="32" t="str">
        <x:v>• Unarmoured/amphibious logistics and personnel mobility.</x:v>
      </x:c>
      <x:c r="F130" s="38" t="str">
        <x:v>https://www.baesystems.com/en-uk/what-we-do/land/combat-vehicles</x:v>
      </x:c>
    </x:row>
    <x:row r="131" ht="210" customHeight="1">
      <x:c r="A131" s="37" t="str">
        <x:v>BAE Systems</x:v>
      </x:c>
      <x:c r="B131" s="32" t="str">
        <x:v>Protected Vehicles</x:v>
      </x:c>
      <x:c r="C131" s="32" t="str">
        <x:v>CV90</x:v>
      </x:c>
      <x:c r="D131" s="32" t="str">
        <x:v>• Tracked IFV family
• exact mass/engine/armament varies by variant
• common configurations use 30/35/40 mm cannon.
• Vehicle weight class: 20–38 t depending variant
• Troop compartment: up to 8 personnel</x:v>
      </x:c>
      <x:c r="E131" s="32" t="str">
        <x:v>• Highly modular IFV
• advanced sensors
• active/passive protection options
• networked architecture.
• Modular weapon-system integration
• Battlefield Management System
• Hard/soft-kill defensive aids, jammer, IFF
• Anti-air and C-UAS capability
• CBRN protection</x:v>
      </x:c>
      <x:c r="F131" s="38" t="str">
        <x:v>https://www.baesystems.com/en-uk/what-we-do/land/combat-vehicles
https://www.baesystems.com/en/product/cv90-ifv-worldleading-combat-capability</x:v>
      </x:c>
    </x:row>
    <x:row r="132" ht="210" customHeight="1">
      <x:c r="A132" s="37" t="str">
        <x:v>BAE Systems</x:v>
      </x:c>
      <x:c r="B132" s="32" t="str">
        <x:v>Protected Vehicles</x:v>
      </x:c>
      <x:c r="C132" s="32" t="str">
        <x:v>CV90 Armadillo</x:v>
      </x:c>
      <x:c r="D132" s="32" t="str">
        <x:v>• Tracked protected vehicle variant of CV90 family
• exact configuration varies.
• APC variant payload capacity: up to 16 t</x:v>
      </x:c>
      <x:c r="E132" s="32" t="str">
        <x:v>• Armoured personnel/mission carrier
• modular mission fit.
• Turretless multi-role CV90 configuration
• Up to 80% commonality among variants
• High protection / high payload / modular conversion</x:v>
      </x:c>
      <x:c r="F132" s="38" t="str">
        <x:v>https://www.baesystems.com/en-uk/what-we-do/land/combat-vehicles
https://www.baesystems.com/en/product/cv90-armadillo--multirole-flexibility</x:v>
      </x:c>
    </x:row>
    <x:row r="133" ht="210" customHeight="1">
      <x:c r="A133" s="37" t="str">
        <x:v>BAE Systems</x:v>
      </x:c>
      <x:c r="B133" s="32" t="str">
        <x:v>Protected Vehicles</x:v>
      </x:c>
      <x:c r="C133" s="32" t="str">
        <x:v>CV90 MkIV</x:v>
      </x:c>
      <x:c r="D133" s="32" t="str">
        <x:v>• GVWR 38 t
• up to 1,000 hp
• upgraded X300 transmission
• 3 t additional payload vs 35 t baseline.
• Engine: up to 1,000 hp
• GVWR: 38 t (increased from 35 t)
• Additional payload growth: 3 t</x:v>
      </x:c>
      <x:c r="E133" s="32" t="str">
        <x:v>• Improved electronic architecture
• growth capacity
• enhanced mobility and survivability.
• Upgraded X300 heavy-duty transmission
• New electronic architecture / growth capacity
• Fifth-generation CV90 configuration</x:v>
      </x:c>
      <x:c r="F133" s="38" t="str">
        <x:v>https://www.baesystems.com/en-uk/what-we-do/land/combat-vehicles
https://www.baesystems.com/en-us/product/cv90-mkiv</x:v>
      </x:c>
    </x:row>
    <x:row r="134" ht="210" customHeight="1">
      <x:c r="A134" s="37" t="str">
        <x:v>BAE Systems</x:v>
      </x:c>
      <x:c r="B134" s="32" t="str">
        <x:v>Protected Vehicles</x:v>
      </x:c>
      <x:c r="C134" s="32" t="str">
        <x:v>CV90120</x:v>
      </x:c>
      <x:c r="D134" s="32" t="str">
        <x:v>• CV90-derived medium tank with 120 mm main gun
• exact configuration-dependent weight/mobility.
• Weight: up to 38 t
• Engine: up to 1,000 hp
• Main gun: 120 mm with autoloader
• In-bore ATGM range: 10,000 m
• RWS: 7.62 / 12.7 mm
• Crew: 3 + 2 operator seats</x:v>
      </x:c>
      <x:c r="E134" s="32" t="str">
        <x:v>• Direct-fire armoured capability on CV90 chassis.
• Active Protection System
• Modular defensive-aid suite with laser/radar/missile warning
• AI-assisted threat identification
• NATO 120 mm smoothbore ammunition compatibility</x:v>
      </x:c>
      <x:c r="F134" s="38" t="str">
        <x:v>https://www.baesystems.com/en-uk/what-we-do/land/combat-vehicles
https://www.baesystems.com/en/product/cv90120--strong-agile-lethal</x:v>
      </x:c>
    </x:row>
    <x:row r="135" ht="210" customHeight="1">
      <x:c r="A135" s="37" t="str">
        <x:v>BAE Systems</x:v>
      </x:c>
      <x:c r="B135" s="32" t="str">
        <x:v>Protected Vehicles</x:v>
      </x:c>
      <x:c r="C135" s="32" t="str">
        <x:v>M113 Family</x:v>
      </x:c>
      <x:c r="D135" s="32" t="str">
        <x:v>• Tracked armoured personnel carrier family
• variant-specific weight/engine/armament.</x:v>
      </x:c>
      <x:c r="E135" s="32" t="str">
        <x:v>• Long-service APC family with numerous specialist variants.</x:v>
      </x:c>
      <x:c r="F135" s="38" t="str">
        <x:v>https://www.baesystems.com/en-uk/what-we-do/land/combat-vehicles</x:v>
      </x:c>
    </x:row>
    <x:row r="136" ht="210" customHeight="1">
      <x:c r="A136" s="37" t="str">
        <x:v>BAE Systems</x:v>
      </x:c>
      <x:c r="B136" s="32" t="str">
        <x:v>Protected Vehicles</x:v>
      </x:c>
      <x:c r="C136" s="32" t="str">
        <x:v>M88 HERCULES</x:v>
      </x:c>
      <x:c r="D136" s="32" t="str">
        <x:v>• Tracked armoured recovery vehicle family
• exact mass/engine/towing capacity vary by M88A2/M88A3 configuration.</x:v>
      </x:c>
      <x:c r="E136" s="32" t="str">
        <x:v>• Heavy recovery and maintenance support for armoured formations.</x:v>
      </x:c>
      <x:c r="F136" s="38" t="str">
        <x:v>https://www.baesystems.com/en-uk/what-we-do/land/combat-vehicles</x:v>
      </x:c>
    </x:row>
    <x:row r="137" ht="210" customHeight="1">
      <x:c r="A137" s="37" t="str">
        <x:v>BAE Systems</x:v>
      </x:c>
      <x:c r="B137" s="32" t="str">
        <x:v>Marine/Naval</x:v>
      </x:c>
      <x:c r="C137" s="32" t="str">
        <x:v>57 mm Naval Gun System / Bofors 57 Mk3</x:v>
      </x:c>
      <x:c r="D137" s="32" t="str">
        <x:v>• 57 mm automatic naval gun
• exact mount mass/ready rounds depend on configuration.
• Calibre: 57 mm
• Rate of fire: 220 rounds/min
• Ready ammunition: 120 rounds
• Range: &gt;9 nmi
• Elevation: -10° to +77°
• Train: unlimited
• Mount weight: approx. 6,800 kg
• Barrel life: &gt;4,000 rounds</x:v>
      </x:c>
      <x:c r="E137" s="32" t="str">
        <x:v>• High-rate naval gun
• programmable ammunition
• air/surface targets.
• Fully automatic medium-calibre naval gun
• Programmable ammunition / multi-role anti-air, anti-surface capability</x:v>
      </x:c>
      <x:c r="F137" s="38" t="str">
        <x:v>https://www.baesystems.com/en-us/who-we-are/platforms-and-services/products-and-services
https://www.baesystems.com/en-us/product/57mm-naval-gun-system
https://www.baesystems.com/en-uk/what-we-do/weapon-systems/naval-weapons</x:v>
      </x:c>
    </x:row>
    <x:row r="138" ht="210" customHeight="1">
      <x:c r="A138" s="37" t="str">
        <x:v>BAE Systems</x:v>
      </x:c>
      <x:c r="B138" s="32" t="str">
        <x:v>Marine/Naval</x:v>
      </x:c>
      <x:c r="C138" s="32" t="str">
        <x:v>Adaptable Deck Launching System (ADLS)</x:v>
      </x:c>
      <x:c r="D138" s="32" t="str">
        <x:v>• Modular naval launcher
• exact cell count depends on installation.</x:v>
      </x:c>
      <x:c r="E138" s="32" t="str">
        <x:v>• Flexible launch architecture for guided weapons/effector integration.</x:v>
      </x:c>
      <x:c r="F138" s="38" t="str">
        <x:v>https://www.baesystems.com/en-us/who-we-are/platforms-and-services/products-and-services</x:v>
      </x:c>
    </x:row>
    <x:row r="139" ht="210" customHeight="1">
      <x:c r="A139" s="37" t="str">
        <x:v>BAE Systems</x:v>
      </x:c>
      <x:c r="B139" s="32" t="str">
        <x:v>Marine/Naval</x:v>
      </x:c>
      <x:c r="C139" s="32" t="str">
        <x:v>Archerfish Mine Disposal System</x:v>
      </x:c>
      <x:c r="D139" s="32" t="str">
        <x:v>• Expendable unmanned underwater mine-disposal system
• exact dimensions/range depend on variant.</x:v>
      </x:c>
      <x:c r="E139" s="32" t="str">
        <x:v>• Remote mine neutralisation
• underwater search/disposal.</x:v>
      </x:c>
      <x:c r="F139" s="38" t="str">
        <x:v>https://www.baesystems.com/en-us/who-we-are/platforms-and-services/products-and-services</x:v>
      </x:c>
    </x:row>
    <x:row r="140" ht="210" customHeight="1">
      <x:c r="A140" s="37" t="str">
        <x:v>BAE Systems</x:v>
      </x:c>
      <x:c r="B140" s="32" t="str">
        <x:v>Marine/Naval</x:v>
      </x:c>
      <x:c r="C140" s="32" t="str">
        <x:v>Astute-class Attack Submarine</x:v>
      </x:c>
      <x:c r="D140" s="32" t="str">
        <x:v>• Length: 97 m
• Displacement: 7,400 t
• Crew: ~98
• Dived endurance: ~90 days, limited principally by food/crew
• Land-attack reach: targets up to ~1,000 km from coast using TLAM</x:v>
      </x:c>
      <x:c r="E140" s="32" t="str">
        <x:v>• Nuclear-powered attack submarine
• Tomahawk cruise missiles and Spearfish heavyweight torpedoes
• Non-penetrating optronic mast/periscope technology</x:v>
      </x:c>
      <x:c r="F140" s="38" t="str">
        <x:v>https://www.baesystems.com/en/product/astute-class-submarines</x:v>
      </x:c>
    </x:row>
    <x:row r="141" ht="210" customHeight="1">
      <x:c r="A141" s="37" t="str">
        <x:v>BAE Systems</x:v>
      </x:c>
      <x:c r="B141" s="32" t="str">
        <x:v>Marine/Naval</x:v>
      </x:c>
      <x:c r="C141" s="32" t="str">
        <x:v>Bofors 40 Mk4 Naval Gun</x:v>
      </x:c>
      <x:c r="D141" s="32" t="str">
        <x:v>• 40 mm naval gun
• automatic medium-calibre mount
• exact rate/range depend on ammunition.</x:v>
      </x:c>
      <x:c r="E141" s="32" t="str">
        <x:v>• Multi-purpose naval close/medium-range defence
• programmable ammunition.</x:v>
      </x:c>
      <x:c r="F141" s="38" t="str">
        <x:v>https://www.baesystems.com/en-us/who-we-are/platforms-and-services/products-and-services</x:v>
      </x:c>
    </x:row>
    <x:row r="142" ht="210" customHeight="1">
      <x:c r="A142" s="37" t="str">
        <x:v>BAE Systems</x:v>
      </x:c>
      <x:c r="B142" s="32" t="str">
        <x:v>Marine/Naval</x:v>
      </x:c>
      <x:c r="C142" s="32" t="str">
        <x:v>Mk38 Mod 3 Machine Gun System</x:v>
      </x:c>
      <x:c r="D142" s="32" t="str">
        <x:v>• 30 mm naval remote weapon system
• exact rate/range vary by configuration.</x:v>
      </x:c>
      <x:c r="E142" s="32" t="str">
        <x:v>• Stabilised remote weapon station
• EO/IR and fire-control integration.</x:v>
      </x:c>
      <x:c r="F142" s="38" t="str">
        <x:v>https://www.baesystems.com/en-us/who-we-are/platforms-and-services/products-and-services</x:v>
      </x:c>
    </x:row>
    <x:row r="143" ht="210" customHeight="1">
      <x:c r="A143" s="37" t="str">
        <x:v>BAE Systems</x:v>
      </x:c>
      <x:c r="B143" s="32" t="str">
        <x:v>Marine/Naval</x:v>
      </x:c>
      <x:c r="C143" s="32" t="str">
        <x:v>Mk45 Mod 4 Naval Gun System</x:v>
      </x:c>
      <x:c r="D143" s="32" t="str">
        <x:v>• 127 mm/5-inch class naval gun
• rate and range depend on ammunition/configuration.
• Calibre: 5 inch / 127 mm; 62 calibre
• Naval surface-fire-support range: &gt;20 nmi / 36 km with 5-inch Cargo projectile and improved charge</x:v>
      </x:c>
      <x:c r="E143" s="32" t="str">
        <x:v>• Fully automated naval gun
• surface/air/shore-fire support
• advanced fire control.
• Strengthened gun/mount subsystems
• Advanced control system
• Reduced-signature low-maintenance gun shield
• Compatible with extended-range munitions</x:v>
      </x:c>
      <x:c r="F143" s="38" t="str">
        <x:v>https://www.baesystems.com/en-us/who-we-are/platforms-and-services/products-and-services
https://www.baesystems.com/en-uk/product/mk-45-mod-4-naval-gun-system</x:v>
      </x:c>
    </x:row>
    <x:row r="144" ht="210" customHeight="1">
      <x:c r="A144" s="37" t="str">
        <x:v>BAE Systems</x:v>
      </x:c>
      <x:c r="B144" s="32" t="str">
        <x:v>Marine/Naval</x:v>
      </x:c>
      <x:c r="C144" s="32" t="str">
        <x:v>Spearfish Heavyweight Torpedo</x:v>
      </x:c>
      <x:c r="D144" s="32" t="str">
        <x:v>• 533 mm heavyweight torpedo family
• exact performance depends on variant.</x:v>
      </x:c>
      <x:c r="E144" s="32" t="str">
        <x:v>• Submarine-launched heavyweight anti-submarine/anti-surface torpedo.</x:v>
      </x:c>
      <x:c r="F144" s="38" t="str">
        <x:v>https://www.baesystems.com/en-us/who-we-are/platforms-and-services/products-and-services</x:v>
      </x:c>
    </x:row>
    <x:row r="145" ht="210" customHeight="1">
      <x:c r="A145" s="37" t="str">
        <x:v>BAE Systems</x:v>
      </x:c>
      <x:c r="B145" s="32" t="str">
        <x:v>Marine/Naval</x:v>
      </x:c>
      <x:c r="C145" s="32" t="str">
        <x:v>Sting Ray Mod 1 Lightweight Torpedo</x:v>
      </x:c>
      <x:c r="D145" s="32" t="str">
        <x:v>• 324 mm lightweight torpedo family
• exact speed/range/depth depend on configuration.</x:v>
      </x:c>
      <x:c r="E145" s="32" t="str">
        <x:v>• Anti-submarine torpedo
• digital guidance and acoustic homing.</x:v>
      </x:c>
      <x:c r="F145" s="38" t="str">
        <x:v>https://www.baesystems.com/en-us/who-we-are/platforms-and-services/products-and-services</x:v>
      </x:c>
    </x:row>
    <x:row r="146" ht="210" customHeight="1">
      <x:c r="A146" s="37" t="str">
        <x:v>BAE Systems</x:v>
      </x:c>
      <x:c r="B146" s="32" t="str">
        <x:v>Marine/Naval</x:v>
      </x:c>
      <x:c r="C146" s="32" t="str">
        <x:v>Type 26 Global Combat Ship</x:v>
      </x:c>
      <x:c r="D146" s="32" t="str">
        <x:v>• Displacement: 6,900 t
• Length: 149.9 m
• Maximum beam: 20.8 m
• Top speed: 26+ knots
• Range: &gt;7,000 nmi on electric-motor drive
• Accommodation: 208 total / 157 core complement
• Propulsion: 2 electric motors, 4 high-speed diesel generators, gas-turbine direct drive</x:v>
      </x:c>
      <x:c r="E146" s="32" t="str">
        <x:v>• Integrated Mission Bay for helicopters/UUVs/boats/mission loads
• Artisan 3D radar
• Sonar 2087
• Sea Ceptor and medium-calibre gun
• Acoustically quiet anti-submarine-warfare hull design</x:v>
      </x:c>
      <x:c r="F146" s="38" t="str">
        <x:v>https://www.baesystems.com/en/product/global-combat-ship</x:v>
      </x:c>
    </x:row>
    <x:row r="147" ht="210" customHeight="1">
      <x:c r="A147" s="37" t="str">
        <x:v>BAE Systems</x:v>
      </x:c>
      <x:c r="B147" s="32" t="str">
        <x:v>Marine/Naval</x:v>
      </x:c>
      <x:c r="C147" s="32" t="str">
        <x:v>Type 45 Daring-class Air Defence Destroyer</x:v>
      </x:c>
      <x:c r="D147" s="32" t="str">
        <x:v>• Displacement: 7,500 tonnes
• Length: 152.4 m
• Maximum beam: 21.2 m
• Top speed: 27 kt
• Range: 7,000 miles
• Crew: approximately 190</x:v>
      </x:c>
      <x:c r="E147" s="32" t="str">
        <x:v>• Royal Navy guided-missile air-defence destroyer
• Designed primarily for anti-air warfare and fleet protection against aircraft and missiles
• BAE Systems built the six ships using modular construction at Glasgow and Portsmouth</x:v>
      </x:c>
      <x:c r="F147" s="38" t="str">
        <x:v>https://www.baesystems.com/en-uk/product/destroyers</x:v>
      </x:c>
    </x:row>
    <x:row r="148" ht="210" customHeight="1">
      <x:c r="A148" s="37" t="str">
        <x:v>BAE Systems</x:v>
      </x:c>
      <x:c r="B148" s="32" t="str">
        <x:v>Marine/Naval</x:v>
      </x:c>
      <x:c r="C148" s="32" t="str">
        <x:v>VLS Mk41</x:v>
      </x:c>
      <x:c r="D148" s="32" t="str">
        <x:v>• Vertical launch system
• module/cell count depends on ship fit.</x:v>
      </x:c>
      <x:c r="E148" s="32" t="str">
        <x:v>• Modular naval missile launch system supporting multiple missile types.</x:v>
      </x:c>
      <x:c r="F148" s="38" t="str">
        <x:v>https://www.baesystems.com/en-us/who-we-are/platforms-and-services/products-and-services</x:v>
      </x:c>
    </x:row>
    <x:row r="149" ht="210" customHeight="1">
      <x:c r="A149" s="37" t="str">
        <x:v>BAE Systems</x:v>
      </x:c>
      <x:c r="B149" s="32" t="str">
        <x:v>UAVs/Drones</x:v>
      </x:c>
      <x:c r="C149" s="32" t="str">
        <x:v>Brontanax</x:v>
      </x:c>
      <x:c r="D149" s="32" t="str">
        <x:v>• Uncrewed air system in BAE FalconWorks portfolio
• detailed public numeric specifications not established in reviewed source.</x:v>
      </x:c>
      <x:c r="E149" s="32" t="str">
        <x:v>• Advanced UAS research/development platform.</x:v>
      </x:c>
      <x:c r="F149" s="38" t="str">
        <x:v>https://www.baesystems.com/en-us/product/uncrewed-air-systems</x:v>
      </x:c>
    </x:row>
    <x:row r="150" ht="210" customHeight="1">
      <x:c r="A150" s="37" t="str">
        <x:v>BAE Systems</x:v>
      </x:c>
      <x:c r="B150" s="32" t="str">
        <x:v>UAVs/Drones</x:v>
      </x:c>
      <x:c r="C150" s="32" t="str">
        <x:v>Capstone</x:v>
      </x:c>
      <x:c r="D150" s="32" t="str">
        <x:v>• Uncrewed air system in BAE portfolio
• detailed public numeric specifications not established in reviewed source.</x:v>
      </x:c>
      <x:c r="E150" s="32" t="str">
        <x:v>• UAS research/mission development.</x:v>
      </x:c>
      <x:c r="F150" s="38" t="str">
        <x:v>https://www.baesystems.com/en-us/product/uncrewed-air-systems</x:v>
      </x:c>
    </x:row>
    <x:row r="151" ht="210" customHeight="1">
      <x:c r="A151" s="37" t="str">
        <x:v>BAE Systems</x:v>
      </x:c>
      <x:c r="B151" s="32" t="str">
        <x:v>UAVs/Drones</x:v>
      </x:c>
      <x:c r="C151" s="32" t="str">
        <x:v>DEMON</x:v>
      </x:c>
      <x:c r="D151" s="32" t="str">
        <x:v>• Uncrewed combat-air technology demonstrator
• detailed performance not fully public.</x:v>
      </x:c>
      <x:c r="E151" s="32" t="str">
        <x:v>• Low-observable/uncrewed combat-air research.</x:v>
      </x:c>
      <x:c r="F151" s="38" t="str">
        <x:v>https://www.baesystems.com/en/what-we-do/air
https://www.baesystems.com/en-us/product/uncrewed-air-systems</x:v>
      </x:c>
    </x:row>
    <x:row r="152" ht="210" customHeight="1">
      <x:c r="A152" s="37" t="str">
        <x:v>BAE Systems</x:v>
      </x:c>
      <x:c r="B152" s="32" t="str">
        <x:v>UAVs/Drones</x:v>
      </x:c>
      <x:c r="C152" s="32" t="str">
        <x:v>Fregata</x:v>
      </x:c>
      <x:c r="D152" s="32" t="str">
        <x:v>• Uncrewed air system in BAE portfolio
• detailed public numeric specifications not established in reviewed source.</x:v>
      </x:c>
      <x:c r="E152" s="32" t="str">
        <x:v>• UAS research/mission development.</x:v>
      </x:c>
      <x:c r="F152" s="38" t="str">
        <x:v>https://www.baesystems.com/en-us/product/uncrewed-air-systems</x:v>
      </x:c>
    </x:row>
    <x:row r="153" ht="210" customHeight="1">
      <x:c r="A153" s="37" t="str">
        <x:v>BAE Systems</x:v>
      </x:c>
      <x:c r="B153" s="32" t="str">
        <x:v>UAVs/Drones</x:v>
      </x:c>
      <x:c r="C153" s="32" t="str">
        <x:v>Koios</x:v>
      </x:c>
      <x:c r="D153" s="32" t="str">
        <x:v>• Uncrewed air system in BAE portfolio
• detailed public numeric specifications not established in reviewed source.</x:v>
      </x:c>
      <x:c r="E153" s="32" t="str">
        <x:v>• UAS research/mission development.</x:v>
      </x:c>
      <x:c r="F153" s="38" t="str">
        <x:v>https://www.baesystems.com/en-us/product/uncrewed-air-systems</x:v>
      </x:c>
    </x:row>
    <x:row r="154" ht="210" customHeight="1">
      <x:c r="A154" s="37" t="str">
        <x:v>BAE Systems</x:v>
      </x:c>
      <x:c r="B154" s="32" t="str">
        <x:v>UAVs/Drones</x:v>
      </x:c>
      <x:c r="C154" s="32" t="str">
        <x:v>Nyan</x:v>
      </x:c>
      <x:c r="D154" s="32" t="str">
        <x:v>• Uncrewed air system in BAE portfolio
• detailed public numeric specifications not established in reviewed source.</x:v>
      </x:c>
      <x:c r="E154" s="32" t="str">
        <x:v>• UAS research/mission development.</x:v>
      </x:c>
      <x:c r="F154" s="38" t="str">
        <x:v>https://www.baesystems.com/en-us/product/uncrewed-air-systems</x:v>
      </x:c>
    </x:row>
    <x:row r="155" ht="210" customHeight="1">
      <x:c r="A155" s="37" t="str">
        <x:v>BAE Systems</x:v>
      </x:c>
      <x:c r="B155" s="32" t="str">
        <x:v>UAVs/Drones</x:v>
      </x:c>
      <x:c r="C155" s="32" t="str">
        <x:v>PHASA-35</x:v>
      </x:c>
      <x:c r="D155" s="32" t="str">
        <x:v>• 35 m wingspan
• mass 150 kg
• solar-electric HAPS UAS
• stratospheric flight &gt;66,000 ft demonstrated
• designed for months-long persistence.
• Flight trials exceeded 66,000 ft altitude</x:v>
      </x:c>
      <x:c r="E155" s="32" t="str">
        <x:v>• Solar-electric
• high-altitude pseudo-satellite
• flexible payload
• ISR/communications/security
• rechargeable energy storage
• autonomous/persistent operations.
• Ultra-light solar-electric High Altitude Pseudo Satellite (HAPS)
• Persistent sensing and communications
• Solar arrays charge batteries for overnight flight</x:v>
      </x:c>
      <x:c r="F155" s="38" t="str">
        <x:v>https://www.baesystems.com/en/product/phasa-35
https://www.baesystems.com/en-us/product/uncrewed-air-systems
https://www.baesystems.com/en-us/product/phasa-35</x:v>
      </x:c>
    </x:row>
    <x:row r="156" ht="210" customHeight="1">
      <x:c r="A156" s="37" t="str">
        <x:v>BAE Systems</x:v>
      </x:c>
      <x:c r="B156" s="32" t="str">
        <x:v>UAVs/Drones</x:v>
      </x:c>
      <x:c r="C156" s="32" t="str">
        <x:v>T-600</x:v>
      </x:c>
      <x:c r="D156" s="32" t="str">
        <x:v>• Electric VTOL UAS demonstrator
• payload 200 kg
• speed up to 140 km/h
• range up to 80 km depending payload.</x:v>
      </x:c>
      <x:c r="E156" s="32" t="str">
        <x:v>• Heavy-lift uncrewed demonstrator
• modular transport
• maritime technology trials.</x:v>
      </x:c>
      <x:c r="F156" s="38" t="str">
        <x:v>https://www.baesystems.com/en/article/t-600-electric-uncrewed-demonstrator-aircraft-achieves-significant-milestone-at-nato-exercise
https://www.baesystems.com/en-us/product/uncrewed-air-systems</x:v>
      </x:c>
    </x:row>
    <x:row r="157" ht="210" customHeight="1">
      <x:c r="A157" s="37" t="str">
        <x:v>BAE Systems</x:v>
      </x:c>
      <x:c r="B157" s="32" t="str">
        <x:v>UAVs/Drones</x:v>
      </x:c>
      <x:c r="C157" s="32" t="str">
        <x:v>T-650</x:v>
      </x:c>
      <x:c r="D157" s="32" t="str">
        <x:v>• Heavy-lift electric VTOL UAS programme
• exact final payload/endurance depend on development configuration.</x:v>
      </x:c>
      <x:c r="E157" s="32" t="str">
        <x:v>• Heavy-lift logistics
• low-emission electric propulsion
• modular mission payloads.</x:v>
      </x:c>
      <x:c r="F157" s="38" t="str">
        <x:v>https://www.baesystems.com/en-us/product/uncrewed-air-systems</x:v>
      </x:c>
    </x:row>
    <x:row r="158" ht="210" customHeight="1">
      <x:c r="A158" s="37" t="str">
        <x:v>BAE Systems</x:v>
      </x:c>
      <x:c r="B158" s="32" t="str">
        <x:v>UAVs/Drones</x:v>
      </x:c>
      <x:c r="C158" s="32" t="str">
        <x:v>T-Series Heavy-Lift UAS</x:v>
      </x:c>
      <x:c r="D158" s="32" t="str">
        <x:v>• Payload range across family: 68–300 kg</x:v>
      </x:c>
      <x:c r="E158" s="32" t="str">
        <x:v>• All-electric heavy-lift uncrewed aircraft family
• Runway-independent
• Mission roles include logistics, weapons release and casualty evacuation
• Owned Malloy Aeronautics technology</x:v>
      </x:c>
      <x:c r="F158" s="38" t="str">
        <x:v>https://www.baesystems.com/en/product/t-series</x:v>
      </x:c>
    </x:row>
    <x:row r="159" ht="210" customHeight="1">
      <x:c r="A159" s="37" t="str">
        <x:v>BAE Systems</x:v>
      </x:c>
      <x:c r="B159" s="32" t="str">
        <x:v>UAVs/Drones</x:v>
      </x:c>
      <x:c r="C159" s="32" t="str">
        <x:v>Taranis</x:v>
      </x:c>
      <x:c r="D159" s="32" t="str">
        <x:v>• Uncrewed combat air demonstrator
• programme-specific performance not fully public.</x:v>
      </x:c>
      <x:c r="E159" s="32" t="str">
        <x:v>• Stealthy autonomous UCAV demonstrator
• sensor/mission integration.</x:v>
      </x:c>
      <x:c r="F159" s="38" t="str">
        <x:v>https://www.baesystems.com/en/product/taranis
https://www.baesystems.com/en-us/product/uncrewed-air-systems</x:v>
      </x:c>
    </x:row>
    <x:row r="160" ht="210" customHeight="1">
      <x:c r="A160" s="37" t="str">
        <x:v>BAE Systems</x:v>
      </x:c>
      <x:c r="B160" s="32" t="str">
        <x:v>Missiles</x:v>
      </x:c>
      <x:c r="C160" s="32" t="str">
        <x:v>APKWS</x:v>
      </x:c>
      <x:c r="D160" s="32" t="str">
        <x:v>• 70 mm rocket precision-guidance kit
• converts compatible unguided rockets into laser-guided precision weapons
• exact rocket/warhead performance depends on host rocket.
• Rocket calibre: 2.75 inch / 70 mm
• Target lock / strike range: &gt;6 km; latest upgrade states ~30% increased strike distance</x:v>
      </x:c>
      <x:c r="E160" s="32" t="str">
        <x:v>• Semi-active laser guidance
• precision strike
• modular integration with aircraft/launchers.
• Converts unguided Hydra 70 / Mk66-class rockets into precision-guided munitions
• Distributed Aperture Semi-Active Laser Seeker (DASALS)
• Applicable to rotary-wing, fixed-wing, UAV, ground and maritime launch platforms</x:v>
      </x:c>
      <x:c r="F160" s="38" t="str">
        <x:v>https://www.baesystems.com/en-us/product/precision-guided-munitions
https://www.baesystems.com/en-us/product/apkws</x:v>
      </x:c>
    </x:row>
    <x:row r="161" ht="210" customHeight="1">
      <x:c r="A161" s="37" t="str">
        <x:v>Leonardo</x:v>
      </x:c>
      <x:c r="B161" s="32" t="str">
        <x:v>Artillery</x:v>
      </x:c>
      <x:c r="C161" s="32" t="str">
        <x:v>HITFACT MkII 105/120</x:v>
      </x:c>
      <x:c r="D161" s="32" t="str">
        <x:v>• 105/120 mm turret/gun system
• exact mass and elevation/traverse depend on gun configuration.</x:v>
      </x:c>
      <x:c r="E161" s="32" t="str">
        <x:v>• Low-recoil turret
• digital fire control
• day/night sighting
• stabilised weapon
• vehicle integration.</x:v>
      </x:c>
      <x:c r="F161" s="38" t="str">
        <x:v>https://www.leonardo.us/defense-systems</x:v>
      </x:c>
    </x:row>
    <x:row r="162" ht="210" customHeight="1">
      <x:c r="A162" s="37" t="str">
        <x:v>Leonardo</x:v>
      </x:c>
      <x:c r="B162" s="32" t="str">
        <x:v>Artillery</x:v>
      </x:c>
      <x:c r="C162" s="32" t="str">
        <x:v>HITFIRE 155/52</x:v>
      </x:c>
      <x:c r="D162" s="32" t="str">
        <x:v>• 155 mm/52 cal artillery turret/system concept
• exact platform performance depends on host vehicle.</x:v>
      </x:c>
      <x:c r="E162" s="32" t="str">
        <x:v>• Automated/remote operation
• 155/52 artillery integration
• networked fire-control architecture.</x:v>
      </x:c>
      <x:c r="F162" s="38" t="str">
        <x:v>https://www.leonardo.us/defense-systems</x:v>
      </x:c>
    </x:row>
    <x:row r="163" ht="210" customHeight="1">
      <x:c r="A163" s="37" t="str">
        <x:v>Leonardo</x:v>
      </x:c>
      <x:c r="B163" s="32" t="str">
        <x:v>Artillery</x:v>
      </x:c>
      <x:c r="C163" s="32" t="str">
        <x:v>VBM 155 SPH</x:v>
      </x:c>
      <x:c r="D163" s="32" t="str">
        <x:v>• 155 mm/52 self-propelled howitzer development on 10×10 VBM platform
• prototype/development status in 2026
• detailed final performance not yet fixed.</x:v>
      </x:c>
      <x:c r="E163" s="32" t="str">
        <x:v>• Automated artillery turret
• mobile protected platform
• development with CIO/IDV.</x:v>
      </x:c>
      <x:c r="F163" s="38" t="str">
        <x:v>https://www.edrmagazine.eu/eurosatory-2026-cio-enters-the-self-propelled-howitzers-domain-with-the-vbm-155
https://www.leonardo.us/defense-systems</x:v>
      </x:c>
    </x:row>
    <x:row r="164" ht="210" customHeight="1">
      <x:c r="A164" s="37" t="str">
        <x:v>Leonardo</x:v>
      </x:c>
      <x:c r="B164" s="32" t="str">
        <x:v>Ammunition</x:v>
      </x:c>
      <x:c r="C164" s="32" t="str">
        <x:v>4AP Fuze</x:v>
      </x:c>
      <x:c r="D164" s="32" t="str">
        <x:v>• Programmable multi-purpose fuze technology for medium/large calibre ammunition
• exact setting modes depend on host round/gun.</x:v>
      </x:c>
      <x:c r="E164" s="32" t="str">
        <x:v>• Extended-range and precision naval/land ammunition
• guidance and fuze technologies vary by round.</x:v>
      </x:c>
      <x:c r="F164" s="38" t="str">
        <x:v>https://electronics.leonardo.com/documents/16277707/0/Vulcano%2B155%2B%2528MM08723%2529_HQ.pdf
https://electronics.leonardo.com/documents/16277707/18299996/OTO%2B127-64%2BLW%2B%28MM08728%29_LQ.pdf?t=1643204551796
https://www.leonardo.us/defense-systems</x:v>
      </x:c>
    </x:row>
    <x:row r="165" ht="210" customHeight="1">
      <x:c r="A165" s="37" t="str">
        <x:v>Leonardo</x:v>
      </x:c>
      <x:c r="B165" s="32" t="str">
        <x:v>Ammunition</x:v>
      </x:c>
      <x:c r="C165" s="32" t="str">
        <x:v>Conventional Naval Ammunition</x:v>
      </x:c>
      <x:c r="D165" s="32" t="str">
        <x:v>• Leonardo naval ammunition family for 76/127 mm guns
• projectile/fuze variants determine ballistic performance.</x:v>
      </x:c>
      <x:c r="E165" s="32" t="str">
        <x:v>• Extended-range and precision naval/land ammunition
• guidance and fuze technologies vary by round.</x:v>
      </x:c>
      <x:c r="F165" s="38" t="str">
        <x:v>https://electronics.leonardo.com/documents/16277707/0/Vulcano%2B155%2B%2528MM08723%2529_HQ.pdf
https://electronics.leonardo.com/documents/16277707/18299996/OTO%2B127-64%2BLW%2B%28MM08728%29_LQ.pdf?t=1643204551796
https://www.leonardo.us/defense-systems</x:v>
      </x:c>
    </x:row>
    <x:row r="166" ht="210" customHeight="1">
      <x:c r="A166" s="37" t="str">
        <x:v>Leonardo</x:v>
      </x:c>
      <x:c r="B166" s="32" t="str">
        <x:v>Ammunition</x:v>
      </x:c>
      <x:c r="C166" s="32" t="str">
        <x:v>DART 76</x:v>
      </x:c>
      <x:c r="D166" s="32" t="str">
        <x:v>• 76 mm guided ammunition
• terminally guided projectile family for OTO 76 mm guns
• exact engagement envelope depends on firing/guidance configuration.
• Calibre: 76 mm
• Effective range: up to ~8 km
• Published hit probability: up to ~98%
• Three-ammunition salvo capability</x:v>
      </x:c>
      <x:c r="E166" s="32" t="str">
        <x:v>• Extended-range and precision naval/land ammunition
• guidance and fuze technologies vary by round.
• Guided anti-air / anti-missile ammunition for STRALES/OTO 76 system
• Can address multiple incoming threats</x:v>
      </x:c>
      <x:c r="F166" s="38" t="str">
        <x:v>https://electronics.leonardo.com/documents/16277707/0/Vulcano%2B155%2B%2528MM08723%2529_HQ.pdf
https://electronics.leonardo.com/documents/16277707/18299996/OTO%2B127-64%2BLW%2B%28MM08728%29_LQ.pdf?t=1643204551796
https://www.leonardo.us/defense-systems
https://electronics.leonardo.com/documents/16277707/18386329/Naval%2BSystems%2B%28mm08409%29tm.pdf?t=1632745765878
https://electronics.leonardo.com/documents/16277707/18404219/OTO%2B76_62%2BSR.pdf?t=1773997188747</x:v>
      </x:c>
    </x:row>
    <x:row r="167" ht="210" customHeight="1">
      <x:c r="A167" s="37" t="str">
        <x:v>Leonardo</x:v>
      </x:c>
      <x:c r="B167" s="32" t="str">
        <x:v>Ammunition</x:v>
      </x:c>
      <x:c r="C167" s="32" t="str">
        <x:v>VULCANO 127</x:v>
      </x:c>
      <x:c r="D167" s="32" t="str">
        <x:v>• 127 mm naval ammunition family
• BER and GLR variants
• VULCANO 127 can extend range up to &gt;100 km
• multifunction fuzes and terminal guidance options.</x:v>
      </x:c>
      <x:c r="E167" s="32" t="str">
        <x:v>• Extended-range and precision naval/land ammunition
• guidance and fuze technologies vary by round.</x:v>
      </x:c>
      <x:c r="F167" s="38" t="str">
        <x:v>https://electronics.leonardo.com/documents/16277707/0/Vulcano%2B155%2B%2528MM08723%2529_HQ.pdf
https://electronics.leonardo.com/documents/16277707/18299996/OTO%2B127-64%2BLW%2B%28MM08728%29_LQ.pdf?t=1643204551796
https://www.leonardo.us/defense-systems</x:v>
      </x:c>
    </x:row>
    <x:row r="168" ht="210" customHeight="1">
      <x:c r="A168" s="37" t="str">
        <x:v>Leonardo</x:v>
      </x:c>
      <x:c r="B168" s="32" t="str">
        <x:v>Ammunition</x:v>
      </x:c>
      <x:c r="C168" s="32" t="str">
        <x:v>VULCANO 155</x:v>
      </x:c>
      <x:c r="D168" s="32" t="str">
        <x:v>• 155 mm guided/extended-range ammunition family
• BER: up to 50 km with 155/52 and up to 36 km with 155/39
• GLR: up to 70 km with 155/52 and up to 55 km with 155/39
• GLR uses IMU+GPS
• CEP ≤5 m on coordinates
• SAL terminal guidance CEP ≤3 m
• notched HE warhead
• multifunctional fuze.
• Calibre: 155 mm
• BER maximum range: up to 50 km from 52-cal; up to 36 km from 39-cal
• GLR maximum range: up to 70 km from 52-cal; up to 55 km from 39-cal
• GLR guidance: IMU + GPS; SAL terminal-guidance option
• Published accuracy: CEP ≤5 m coordinate-guided; ≤3 m with SAL terminal guidance</x:v>
      </x:c>
      <x:c r="E168" s="32" t="str">
        <x:v>• Extended-range and precision naval/land ammunition
• guidance and fuze technologies vary by round.
• Insensitive-munition design
• Multi-function fuze
• Extended-range precision artillery ammunition</x:v>
      </x:c>
      <x:c r="F168" s="38" t="str">
        <x:v>https://electronics.leonardo.com/documents/16277707/0/Vulcano%2B155%2B%2528MM08723%2529_HQ.pdf
https://electronics.leonardo.com/documents/16277707/18299996/OTO%2B127-64%2BLW%2B%28MM08728%29_LQ.pdf?t=1643204551796
https://www.leonardo.us/defense-systems
https://electronics.leonardo.com/documents/16277707/0/Vulcano%2B155%2B%28MM08723%29_HQ.pdf</x:v>
      </x:c>
    </x:row>
    <x:row r="169" ht="210" customHeight="1">
      <x:c r="A169" s="37" t="str">
        <x:v>Leonardo</x:v>
      </x:c>
      <x:c r="B169" s="32" t="str">
        <x:v>Ammunition</x:v>
      </x:c>
      <x:c r="C169" s="32" t="str">
        <x:v>VULCANO 76</x:v>
      </x:c>
      <x:c r="D169" s="32" t="str">
        <x:v>• 76 mm naval extended-range/guided ammunition family
• exact range depends on gun/round configuration.
• Calibre: 76 mm
• Projectile weight: &lt;5 kg
• BER range: &gt;30 km
• GLR range: &gt;40 km
• GLR/IR range: up to ~40 km</x:v>
      </x:c>
      <x:c r="E169" s="32" t="str">
        <x:v>• Extended-range and precision naval/land ammunition
• guidance and fuze technologies vary by round.
• IMU/GPS mid-course guidance
• IR or semi-active-laser terminal options
• Multi-function fuze</x:v>
      </x:c>
      <x:c r="F169" s="38" t="str">
        <x:v>https://electronics.leonardo.com/documents/16277707/0/Vulcano%2B155%2B%2528MM08723%2529_HQ.pdf
https://electronics.leonardo.com/documents/16277707/18299996/OTO%2B127-64%2BLW%2B%28MM08728%29_LQ.pdf?t=1643204551796
https://www.leonardo.us/defense-systems
https://electronics.leonardo.com/documents/16277707/0/Vulcano%2B76.pdf?t=1671440408358</x:v>
      </x:c>
    </x:row>
    <x:row r="170" ht="210" customHeight="1">
      <x:c r="A170" s="37" t="str">
        <x:v>Leonardo</x:v>
      </x:c>
      <x:c r="B170" s="32" t="str">
        <x:v>Protected Vehicles</x:v>
      </x:c>
      <x:c r="C170" s="32" t="str">
        <x:v>Ariete C2</x:v>
      </x:c>
      <x:c r="D170" s="32" t="str">
        <x:v>• Modernised Italian MBT
• 120 mm main gun family
• exact C2 mass/mobility depends on upgrade configuration.</x:v>
      </x:c>
      <x:c r="E170" s="32" t="str">
        <x:v>• Fire-control, protection and mobility modernisation of Ariete tank.</x:v>
      </x:c>
      <x:c r="F170" s="38" t="str">
        <x:v>https://www.leonardo.com/documents/15646808/0/LDO_Iveco_CS_ENG_18_03_2026.pdf?t=1773854391790</x:v>
      </x:c>
    </x:row>
    <x:row r="171" ht="210" customHeight="1">
      <x:c r="A171" s="37" t="str">
        <x:v>Leonardo</x:v>
      </x:c>
      <x:c r="B171" s="32" t="str">
        <x:v>Protected Vehicles</x:v>
      </x:c>
      <x:c r="C171" s="32" t="str">
        <x:v>Centauro II</x:v>
      </x:c>
      <x:c r="D171" s="32" t="str">
        <x:v>• 8×8
• 120 mm/L45 main weapon
• 525 kW/700+ hp
• &gt;105 km/h
• crew 1+3
• dimensions 8,260 mm length, 3,120 mm width, 3,650 mm total height
• approach/departure 40°/40°.</x:v>
      </x:c>
      <x:c r="E171" s="32" t="str">
        <x:v>• Wheeled tank destroyer
• automatic loading
• day/night sights
• digital CAN bus
• CBRN hardening
• CTIS/run-flat
• integrated FCS
• modular protection.</x:v>
      </x:c>
      <x:c r="F171" s="38" t="str">
        <x:v>https://www.idvgroup.com/products/land-armoured-vehicles/centauro-ii/
https://www.leonardo.com/documents/15646808/0/LDO_Iveco_CS_ENG_18_03_2026.pdf?t=1773854391790</x:v>
      </x:c>
    </x:row>
    <x:row r="172" ht="210" customHeight="1">
      <x:c r="A172" s="37" t="str">
        <x:v>Leonardo</x:v>
      </x:c>
      <x:c r="B172" s="32" t="str">
        <x:v>Protected Vehicles</x:v>
      </x:c>
      <x:c r="C172" s="32" t="str">
        <x:v>LMV2</x:v>
      </x:c>
      <x:c r="D172" s="32" t="str">
        <x:v>• Light protected 4×4 vehicle family
• exact mass/payload/speed depend on configuration.</x:v>
      </x:c>
      <x:c r="E172" s="32" t="str">
        <x:v>• Protected mobility
• modular mission variants
• military utility/patrol roles.</x:v>
      </x:c>
      <x:c r="F172" s="38" t="str">
        <x:v>https://www.leonardo.com/documents/15646808/0/LDO_Iveco_CS_ENG_18_03_2026.pdf?t=1773854391790</x:v>
      </x:c>
    </x:row>
    <x:row r="173" ht="210" customHeight="1">
      <x:c r="A173" s="37" t="str">
        <x:v>Leonardo</x:v>
      </x:c>
      <x:c r="B173" s="32" t="str">
        <x:v>Protected Vehicles</x:v>
      </x:c>
      <x:c r="C173" s="32" t="str">
        <x:v>MTV</x:v>
      </x:c>
      <x:c r="D173" s="32" t="str">
        <x:v>• Medium tactical vehicle family acquired with IDV
• exact dimensions/payload vary by configuration.</x:v>
      </x:c>
      <x:c r="E173" s="32" t="str">
        <x:v>• Logistics/tactical transport
• modular body and mission options.</x:v>
      </x:c>
      <x:c r="F173" s="38" t="str">
        <x:v>https://www.leonardo.com/documents/15646808/0/LDO_Iveco_CS_ENG_18_03_2026.pdf?t=1773854391790</x:v>
      </x:c>
    </x:row>
    <x:row r="174" ht="210" customHeight="1">
      <x:c r="A174" s="37" t="str">
        <x:v>Leonardo</x:v>
      </x:c>
      <x:c r="B174" s="32" t="str">
        <x:v>Protected Vehicles</x:v>
      </x:c>
      <x:c r="C174" s="32" t="str">
        <x:v>MUV</x:v>
      </x:c>
      <x:c r="D174" s="32" t="str">
        <x:v>• 4×4 military utility vehicle
• GVW 5.5–7.0 t
• payload up to 4,000 kg
• top speed 110 km/h
• range not stated
• fording 600 mm
• gradient/side slope 60%/30%
• wheelbases 3,480/3,780/4,175 mm
• 145–180 hp engines
• manual 6-speed or automatic 8-speed
• STANAG 4362 fuel
• optional run-flat/STIS.</x:v>
      </x:c>
      <x:c r="E174" s="32" t="str">
        <x:v>• Cargo, troop, ambulance, pickup, command-post, civil-protection and firefighting variants
• COTS supportability
• common spares.</x:v>
      </x:c>
      <x:c r="F174" s="38" t="str">
        <x:v>https://www.idvgroup.com/products/multirole-vehicles/muv/
https://www.leonardo.com/documents/15646808/0/LDO_Iveco_CS_ENG_18_03_2026.pdf?t=1773854391790</x:v>
      </x:c>
    </x:row>
    <x:row r="175" ht="210" customHeight="1">
      <x:c r="A175" s="37" t="str">
        <x:v>Leonardo</x:v>
      </x:c>
      <x:c r="B175" s="32" t="str">
        <x:v>Protected Vehicles</x:v>
      </x:c>
      <x:c r="C175" s="32" t="str">
        <x:v>SUPERAV Amphibious / VBA</x:v>
      </x:c>
      <x:c r="D175" s="32" t="str">
        <x:v>• 8×8 amphibious
• empty 27,500 kg
• payload 4,000 kg
• GVW 31,500 kg
• internal volume 18 m³
• personnel up to 3+13
• land speed &gt;105 km/h
• ship-to-shore/open-water capability.</x:v>
      </x:c>
      <x:c r="E175" s="32" t="str">
        <x:v>• Amphibious ship-to-shore
• hydro-pneumatic suspension
• CTIS
• 12.7 mm to 40 mm turret integration
• C4I
• anti-RCIED.</x:v>
      </x:c>
      <x:c r="F175" s="38" t="str">
        <x:v>https://www.idvgroup.com/products/amphibious-armoured-vehicles/superav-amphibious-armoured-vehicle-8x8/
https://www.leonardo.com/documents/15646808/0/LDO_Iveco_CS_ENG_18_03_2026.pdf?t=1773854391790</x:v>
      </x:c>
    </x:row>
    <x:row r="176" ht="210" customHeight="1">
      <x:c r="A176" s="37" t="str">
        <x:v>Leonardo</x:v>
      </x:c>
      <x:c r="B176" s="32" t="str">
        <x:v>Protected Vehicles</x:v>
      </x:c>
      <x:c r="C176" s="32" t="str">
        <x:v>SUPERAV Land</x:v>
      </x:c>
      <x:c r="D176" s="32" t="str">
        <x:v>• 8×8
• empty 27,500 kg
• payload 4,000 kg
• GVW 31,500 kg
• internal volume 16 m³
• &gt;105 km/h
• range ≥700 km
• gradient ≥60%
• side slope ≥30%
• step ≥0.65 m
• trench ≥2 m
• FPT Cursor 16 700 hp/515 kW, 3,000 Nm
• 7+2R automatic.</x:v>
      </x:c>
      <x:c r="E176" s="32" t="str">
        <x:v>• High-hardness monocoque
• add-on armour
• anti-mine/IED
• CBRN
• fire suppression
• CTIS
• digital vetronics.</x:v>
      </x:c>
      <x:c r="F176" s="38" t="str">
        <x:v>https://www.idvgroup.com/products/land-armoured-vehicles/superav-land/
https://www.leonardo.com/documents/15646808/0/LDO_Iveco_CS_ENG_18_03_2026.pdf?t=1773854391790</x:v>
      </x:c>
    </x:row>
    <x:row r="177" ht="210" customHeight="1">
      <x:c r="A177" s="37" t="str">
        <x:v>Leonardo</x:v>
      </x:c>
      <x:c r="B177" s="32" t="str">
        <x:v>Protected Vehicles</x:v>
      </x:c>
      <x:c r="C177" s="32" t="str">
        <x:v>VBA</x:v>
      </x:c>
      <x:c r="D177" s="32" t="str">
        <x:v>• 8×8 amphibious armoured vehicle based on SUPERAV
• exact final Italian Navy configuration is customer-specific.</x:v>
      </x:c>
      <x:c r="E177" s="32" t="str">
        <x:v>• Amphibious protected mobility
• naval/shore operations
• modular mission systems.</x:v>
      </x:c>
      <x:c r="F177" s="38" t="str">
        <x:v>https://www.idvgroup.com/products/amphibious-armoured-vehicles/superav-amphibious-armoured-vehicle-8x8/
https://www.leonardo.com/documents/15646808/0/LDO_Iveco_CS_ENG_18_03_2026.pdf?t=1773854391790</x:v>
      </x:c>
    </x:row>
    <x:row r="178" ht="210" customHeight="1">
      <x:c r="A178" s="37" t="str">
        <x:v>Leonardo</x:v>
      </x:c>
      <x:c r="B178" s="32" t="str">
        <x:v>Protected Vehicles</x:v>
      </x:c>
      <x:c r="C178" s="32" t="str">
        <x:v>VBM Freccia AIFV/ATGM</x:v>
      </x:c>
      <x:c r="D178" s="32" t="str">
        <x:v>• 8×8
• max GVW 31,500 kg
• internal volume 11 m³
• max speed 110 km/h
• range &gt;800 km at 70 km/h
• gradient 60%
• side slope 30%
• trench ≥2 m
• fording 1.5 m
• engine 405 kW/550 hp, 2,000 Nm
• automatic 5F/2R
• 14.00R20
• CTIS
• crew turret 2.</x:v>
      </x:c>
      <x:c r="E178" s="32" t="str">
        <x:v>• Hydropneumatic independent suspension
• H-type driveline
• ballistic/AT-mine protection
• CBRN/AFESS options
• ATGM/IFV configurations.</x:v>
      </x:c>
      <x:c r="F178" s="38" t="str">
        <x:v>https://www.idvgroup.com/products/land-armoured-vehicles/vbm-freccia-aifv-atgm/
https://www.leonardo.com/documents/15646808/0/LDO_Iveco_CS_ENG_18_03_2026.pdf?t=1773854391790</x:v>
      </x:c>
    </x:row>
    <x:row r="179" ht="210" customHeight="1">
      <x:c r="A179" s="37" t="str">
        <x:v>Leonardo</x:v>
      </x:c>
      <x:c r="B179" s="32" t="str">
        <x:v>Marine/Naval</x:v>
      </x:c>
      <x:c r="C179" s="32" t="str">
        <x:v>HITROLE</x:v>
      </x:c>
      <x:c r="D179" s="32" t="str">
        <x:v>• Remote weapon station family
• calibre and sensor configuration vary by variant.</x:v>
      </x:c>
      <x:c r="E179" s="32" t="str">
        <x:v>• Stabilised remote weapon
• EO/IR
• day/night surveillance and target engagement.</x:v>
      </x:c>
      <x:c r="F179" s="38" t="str">
        <x:v>https://www.leonardo.us/defense-systems</x:v>
      </x:c>
    </x:row>
    <x:row r="180" ht="210" customHeight="1">
      <x:c r="A180" s="37" t="str">
        <x:v>Leonardo</x:v>
      </x:c>
      <x:c r="B180" s="32" t="str">
        <x:v>Marine/Naval</x:v>
      </x:c>
      <x:c r="C180" s="32" t="str">
        <x:v>LIONFISH 12.7</x:v>
      </x:c>
      <x:c r="D180" s="32" t="str">
        <x:v>• 12.7 mm naval RWS family
• exact mass/rate/range depend on configuration.</x:v>
      </x:c>
      <x:c r="E180" s="32" t="str">
        <x:v>• Compact stabilised remote weapon
• EO/IR and tracking
• anti-surface/asymmetric threat role.</x:v>
      </x:c>
      <x:c r="F180" s="38" t="str">
        <x:v>https://www.leonardo.com/documents/15646808/25231171/LDO_PRESS%2BNOTE%2BNavy%2BLeague%2BSAS_ENG.pdf?t=1680530536328</x:v>
      </x:c>
    </x:row>
    <x:row r="181" ht="210" customHeight="1">
      <x:c r="A181" s="37" t="str">
        <x:v>Leonardo</x:v>
      </x:c>
      <x:c r="B181" s="32" t="str">
        <x:v>Marine/Naval</x:v>
      </x:c>
      <x:c r="C181" s="32" t="str">
        <x:v>LIONFISH 20</x:v>
      </x:c>
      <x:c r="D181" s="32" t="str">
        <x:v>• 20 mm naval RWS family
• exact mass/rate/range depend on configuration.</x:v>
      </x:c>
      <x:c r="E181" s="32" t="str">
        <x:v>• Stabilised naval turret
• sensor/fire-control integration
• modular family architecture.</x:v>
      </x:c>
      <x:c r="F181" s="38" t="str">
        <x:v>https://www.leonardo.com/documents/15646808/25231171/LDO_PRESS%2BNOTE%2BNavy%2BLeague%2BSAS_ENG.pdf?t=1680530536328</x:v>
      </x:c>
    </x:row>
    <x:row r="182" ht="210" customHeight="1">
      <x:c r="A182" s="37" t="str">
        <x:v>Leonardo</x:v>
      </x:c>
      <x:c r="B182" s="32" t="str">
        <x:v>Marine/Naval</x:v>
      </x:c>
      <x:c r="C182" s="32" t="str">
        <x:v>LIONFISH 20/30 Family</x:v>
      </x:c>
      <x:c r="D182" s="32" t="str">
        <x:v>• 20/30 mm naval turret family
• exact performance is variant-specific.</x:v>
      </x:c>
      <x:c r="E182" s="32" t="str">
        <x:v>• Common architecture, stabilisation and sensor/fire-control integration.</x:v>
      </x:c>
      <x:c r="F182" s="38" t="str">
        <x:v>https://www.leonardo.com/documents/15646808/25231171/LDO_PRESS%2BNOTE%2BNavy%2BLeague%2BSAS_ENG.pdf?t=1680530536328</x:v>
      </x:c>
    </x:row>
    <x:row r="183" ht="210" customHeight="1">
      <x:c r="A183" s="37" t="str">
        <x:v>Leonardo</x:v>
      </x:c>
      <x:c r="B183" s="32" t="str">
        <x:v>Marine/Naval</x:v>
      </x:c>
      <x:c r="C183" s="32" t="str">
        <x:v>LIONFISH 30</x:v>
      </x:c>
      <x:c r="D183" s="32" t="str">
        <x:v>• 30×173 mm
• controlled single/programmed/continuous burst
• burst mode configurable up to 200 rpm
• up to 200 ready rounds
• effective range 3,500 m
• training −155° to +155°
• elevation −20° to +70°
• training speed 140°/s
• elevation speed 90°/s
• mass 1,450 kg without ammunition
• LRF 10 km.</x:v>
      </x:c>
      <x:c r="E183" s="32" t="str">
        <x:v>• Two-axis stabilisation
• dual feed
• multi-target detection
• EO/IR
• data logging/video
• external FCS/remote console
• no deck penetration.</x:v>
      </x:c>
      <x:c r="F183" s="38" t="str">
        <x:v>https://electronics.leonardo.com/documents/16277707/0/LIONFISH%2B30%2B%28EL00018%29_NR.pdf?t=1751527406490</x:v>
      </x:c>
    </x:row>
    <x:row r="184" ht="210" customHeight="1">
      <x:c r="A184" s="37" t="str">
        <x:v>Leonardo</x:v>
      </x:c>
      <x:c r="B184" s="32" t="str">
        <x:v>Marine/Naval</x:v>
      </x:c>
      <x:c r="C184" s="32" t="str">
        <x:v>MARLIN 30</x:v>
      </x:c>
      <x:c r="D184" s="32" t="str">
        <x:v>• 30×173 mm
• single/100/200 rpm
• up to 160 ready rounds
• effective range 3,500 m
• training ±155°
• elevation −19°/+70°
• training speed 140°/s
• elevation speed 80°/s
• mass 1,200–1,430 kg depending configuration
• LRF 6.5 km.</x:v>
      </x:c>
      <x:c r="E184" s="32" t="str">
        <x:v>• Automatic dual feed
• stabilisation
• video tracking
• stealth design
• no deck penetration.</x:v>
      </x:c>
      <x:c r="F184" s="38" t="str">
        <x:v>https://electronics.leonardo.com/documents/16277707/18421316/MARLIN%2B30_new.pdf?t=1618842731728</x:v>
      </x:c>
    </x:row>
    <x:row r="185" ht="210" customHeight="1">
      <x:c r="A185" s="37" t="str">
        <x:v>Leonardo</x:v>
      </x:c>
      <x:c r="B185" s="32" t="str">
        <x:v>Marine/Naval</x:v>
      </x:c>
      <x:c r="C185" s="32" t="str">
        <x:v>MARLIN 40</x:v>
      </x:c>
      <x:c r="D185" s="32" t="str">
        <x:v>• 40 mm naval gun system
• exact mount mass/rate/range depend on configuration.</x:v>
      </x:c>
      <x:c r="E185" s="32" t="str">
        <x:v>• Remote/stabilised naval weapon
• anti-air/surface role
• programmable ammunition compatibility depending fit.</x:v>
      </x:c>
      <x:c r="F185" s="38" t="str">
        <x:v>https://www.leonardo.com/documents/15646808/25231171/LDO_PRESS%2BNOTE%2BNavy%2BLeague%2BSAS_ENG.pdf?t=1680530536328</x:v>
      </x:c>
    </x:row>
    <x:row r="186" ht="210" customHeight="1">
      <x:c r="A186" s="37" t="str">
        <x:v>Leonardo</x:v>
      </x:c>
      <x:c r="B186" s="32" t="str">
        <x:v>Marine/Naval</x:v>
      </x:c>
      <x:c r="C186" s="32" t="str">
        <x:v>OTO 127/64 LW</x:v>
      </x:c>
      <x:c r="D186" s="32" t="str">
        <x:v>• 127 mm naval gun
• rate 32 rpm ±10%
• dry weight 33,000 kg ±5%
• training ±55°
• elevation −12°/+70°
• training speed 40°/s
• elevation speed 30°/s
• ready rounds 56
• VULCANO range &gt;100 km.
• Calibre: 127 mm / 64 calibre
• Ready ammunition: 4 drums × 14 rounds = 56 rounds
• VULCANO-guided ammunition published range: up to ~70 km</x:v>
      </x:c>
      <x:c r="E186" s="32" t="str">
        <x:v>• Automated ammunition handling
• VULCANO integration
• naval FCS/mission planning
• multifunction naval fire support.
• Naval Fire Control Support
• Supports standard 127 mm / 5-inch ammunition and VULCANO family
• Digital/analogue CMS integration</x:v>
      </x:c>
      <x:c r="F186" s="38" t="str">
        <x:v>https://electronics.leonardo.com/documents/16277707/18299996/OTO%2B127-64%2BLW%2B%28MM08728%29_LQ.pdf?t=1643204551796
https://electronics.leonardo.com/en/products/127-64-lw
https://electronics.leonardo.com/documents/16277707/18386329/Naval%2BSystems%2B%28mm08409%29tm.pdf?t=1632745765878</x:v>
      </x:c>
    </x:row>
    <x:row r="187" ht="210" customHeight="1">
      <x:c r="A187" s="37" t="str">
        <x:v>Leonardo</x:v>
      </x:c>
      <x:c r="B187" s="32" t="str">
        <x:v>Marine/Naval</x:v>
      </x:c>
      <x:c r="C187" s="32" t="str">
        <x:v>OTO 76/62 Compact / family</x:v>
      </x:c>
      <x:c r="D187" s="32" t="str">
        <x:v>• 76 mm naval gun family
• exact rate/weight depend on mount variant.</x:v>
      </x:c>
      <x:c r="E187" s="32" t="str">
        <x:v>• Multi-purpose naval gun family.</x:v>
      </x:c>
      <x:c r="F187" s="38" t="str">
        <x:v>https://www.leonardo.us/defense-systems-oto-76/62-sr</x:v>
      </x:c>
    </x:row>
    <x:row r="188" ht="210" customHeight="1">
      <x:c r="A188" s="37" t="str">
        <x:v>Leonardo</x:v>
      </x:c>
      <x:c r="B188" s="32" t="str">
        <x:v>Marine/Naval</x:v>
      </x:c>
      <x:c r="C188" s="32" t="str">
        <x:v>OTO 76/62 Super Rapid</x:v>
      </x:c>
      <x:c r="D188" s="32" t="str">
        <x:v>• 76 mm naval gun
• rate 120 rpm
• dry weight 7,900 kg
• elevation −15° to +85°
• training unlimited with slip ring
• training speed 60°/s
• elevation speed 35°/s
• ready rounds 80
• range 16 km standard, 20 km extended-range SAPOMER, up to 40 km with guided VULCANO (development context).
• Calibre: 76 mm / 62 calibre
• Rate of fire: 120 rounds/min
• Dry weight: 7,900 kg
• Training: unlimited with slip ring
• Elevation: -15° to +85°
• Training speed: 60°/s; elevation speed: 35°/s
• Ready ammunition: 80 rounds
• Range: 16 km standard; 20 km SAPOMER ER; up to 40 km with VULCANO 76 GLR</x:v>
      </x:c>
      <x:c r="E188" s="32" t="str">
        <x:v>• Automatic ammunition handling
• muzzle-velocity radar
• Multi Feeding Device
• STRALES/DART guidance
• integrated BITE and FCS interfaces
• stealth shield.
• Remotely controlled naval gun
• FCS digital/analogue/CORBA interfaces
• Optional STRALES/DART, muzzle-velocity radar and multi-feed
• Sea-water cooling with fresh-water flushing</x:v>
      </x:c>
      <x:c r="F188" s="38" t="str">
        <x:v>https://www.leonardo.us/defense-systems-oto-76/62-sr
https://electronics.leonardo.com/documents/16277707/18404219/OTO%2B76_62%2BSR.pdf?t=1773997188747</x:v>
      </x:c>
    </x:row>
    <x:row r="189" ht="210" customHeight="1">
      <x:c r="A189" s="37" t="str">
        <x:v>Leonardo</x:v>
      </x:c>
      <x:c r="B189" s="32" t="str">
        <x:v>UAVs/Drones</x:v>
      </x:c>
      <x:c r="C189" s="32" t="str">
        <x:v>AWHero</x:v>
      </x:c>
      <x:c r="D189" s="32" t="str">
        <x:v>• MTOW: 200 kg class
• Useful load (payload + fuel): 85 kg
• Endurance: 6 h with 35 kg payload
• Ceiling: 4,268 m / 14,000 ft
• Maximum cruise speed: 167 km/h / 90 kt
• Main rotor diameter: 4.0 m
• Length: 3.7 m
• Height: 1.2 m
• Heavy-fuel engine: JP-5 / JP-8 / Jet A-1
• Data-link range: 50 nmi; optional 100 nmi</x:v>
      </x:c>
      <x:c r="E189" s="32" t="str">
        <x:v>• Rotary-wing RUAS optimised for maritime operations
• Automatic deck takeoff/landing and deck-lock
• AES-256 encrypted command/control link
• Gabbiano TS20UL maritime radar, EO/IR and AIS integration
• STANAG 4586-compatible GCS</x:v>
      </x:c>
      <x:c r="F189" s="38" t="str">
        <x:v>https://uncrewed.leonardo.com/documents/16277715/18565868/AWHERO%2BBrochure.pdf?t=1657904987176</x:v>
      </x:c>
    </x:row>
    <x:row r="190" ht="210" customHeight="1">
      <x:c r="A190" s="37" t="str">
        <x:v>Leonardo</x:v>
      </x:c>
      <x:c r="B190" s="32" t="str">
        <x:v>UAVs/Drones</x:v>
      </x:c>
      <x:c r="C190" s="32" t="str">
        <x:v>CREX-B Micro UAS</x:v>
      </x:c>
      <x:c r="D190" s="32" t="str">
        <x:v>• Wingspan: 1.7 m
• Fuselage length: 0.45 m
• MTOW: &lt;2.1 kg
• Endurance: ~75 min
• Maximum airspeed: 110 km/h
• Cruise speed: ~36 km/h
• Maximum altitude: ~3,100 m ASL
• Operational altitude: 30–500 m AGL
• Radio link: up to ~10 km LOS
• Operating/storage temperature: -20°C to +49°C</x:v>
      </x:c>
      <x:c r="E190" s="32" t="str">
        <x:v>• Micro-UAS for tactical / special-forces missions
• Low acoustic signature
• Rain resistance and high wind tolerance</x:v>
      </x:c>
      <x:c r="F190" s="38" t="str">
        <x:v>https://aeronautics.leonardo.com/documents/30508878/30801272/CREX-B_UAS.pdf</x:v>
      </x:c>
    </x:row>
    <x:row r="191" ht="210" customHeight="1">
      <x:c r="A191" s="37" t="str">
        <x:v>Leonardo</x:v>
      </x:c>
      <x:c r="B191" s="32" t="str">
        <x:v>UAVs/Drones</x:v>
      </x:c>
      <x:c r="C191" s="32" t="str">
        <x:v>Falco EVO</x:v>
      </x:c>
      <x:c r="D191" s="32" t="str">
        <x:v>• Length 6.2 m
• wingspan 12.5 m
• height 2.5 m
• MTOW 650 kg
• endurance 20+ h
• max payload &gt;100 kg
• ceiling 6,000 m
• link range &gt;200 km, extendable via relay/GCS handover/SATCOM.
• Endurance: &gt;20 h
• Ceiling: ~6,000 m
• Payload: up to ~150 kg in current Falco-family data</x:v>
      </x:c>
      <x:c r="E191" s="32" t="str">
        <x:v>• EO/IR/LRF/laser marker/designator
• SAR/GMTI
• multimode radar
• EW
• AIS
• ESM
• COMINT
• relay
• hyperspectral
• SATCOM
• multi-mission ISTAR.
• LOS and BLOS/SATCOM connectivity
• EO/IR, SAR/GMTI, SIGINT/COMINT payload options
• Heavy tactical ISTAR RPAS</x:v>
      </x:c>
      <x:c r="F191" s="38" t="str">
        <x:v>https://uncrewed.leonardo.com/documents/16277715/0/FALCO%2BEVO_%28MM07818%29-VEL.pdf
https://uncrewed.leonardo.com/documents/16277715/18577372/Falco%2BFamily%2B%28MM09053%29_LQ.pdf?t=1719474758473</x:v>
      </x:c>
    </x:row>
    <x:row r="192" ht="210" customHeight="1">
      <x:c r="A192" s="37" t="str">
        <x:v>Leonardo</x:v>
      </x:c>
      <x:c r="B192" s="32" t="str">
        <x:v>UAVs/Drones</x:v>
      </x:c>
      <x:c r="C192" s="32" t="str">
        <x:v>Falco Xplorer</x:v>
      </x:c>
      <x:c r="D192" s="32" t="str">
        <x:v>• High-altitude long-endurance RPAS
• published public data: &gt;24 h endurance
• &gt;350 kg payload
• &gt;30,000 ft ceiling
• LOS/BLOS/SATCOM communications
• exact dimensions/MTOW depend on configuration.
• Length: ~9 m
• Wingspan: 18.5 m
• Height: 3.8 m
• MTOW: 1,300 kg
• Endurance: &gt;24 h
• Payload: &gt;350 kg
• Ceiling: &gt;30,000 ft / approx. 8,000 m</x:v>
      </x:c>
      <x:c r="E192" s="32" t="str">
        <x:v>• Strategic ISTAR
• SAR
• EO/IR
• SIGINT/COMINT
• AIS
• automatic takeoff/landing
• BLOS SATCOM.
• LOS and BLOS SATCOM
• Payloads can include EO/IR/LRF/LD, Gabbiano T80UL SAR/GMTI, SIGINT/COMINT and AIS
• Strategic ISTAR RPAS</x:v>
      </x:c>
      <x:c r="F192" s="38" t="str">
        <x:v>https://uncrewed.leonardo.com/documents/16277715/0/Falco%2BXplorer%2B%28mm09001%29-VEL.pdf?t=1719474462010
https://uncrewed.leonardo.com/documents/16277715/18577372/Falco%2BFamily%2B%28MM09053%29_LQ.pdf?t=1719474758473</x:v>
      </x:c>
    </x:row>
    <x:row r="193" ht="210" customHeight="1">
      <x:c r="A193" s="37" t="str">
        <x:v>Leonardo</x:v>
      </x:c>
      <x:c r="B193" s="32" t="str">
        <x:v>UAVs/Drones</x:v>
      </x:c>
      <x:c r="C193" s="32" t="str">
        <x:v>Mirach 100/5 Aerial Target</x:v>
      </x:c>
      <x:c r="D193" s="32" t="str">
        <x:v>• High-subsonic reusable aerial target system
• Can manage up to 8 targets simultaneously in training scenario</x:v>
      </x:c>
      <x:c r="E193" s="32" t="str">
        <x:v>• European armed-forces threat simulator
• Ground-control system supports mission planning, re-tasking, rehearsal and playback</x:v>
      </x:c>
      <x:c r="F193" s="38" t="str">
        <x:v>https://uncrewed.leonardo.com/it/products/mirach-1005</x:v>
      </x:c>
    </x:row>
    <x:row r="194" ht="210" customHeight="1">
      <x:c r="A194" s="37" t="str">
        <x:v>Rheinmetall</x:v>
      </x:c>
      <x:c r="B194" s="32" t="str">
        <x:v>Artillery</x:v>
      </x:c>
      <x:c r="C194" s="32" t="str">
        <x:v>HX3 10×10 Wheeled Self-Propelled Howitzer</x:v>
      </x:c>
      <x:c r="D194" s="32" t="str">
        <x:v>• Gun: 155 mm L52 elevating mass
• Carrier: HX3 10×10 military truck
• Crew: 2
• Ready-to-fire ammunition: 40 rounds in two magazines
• Firing arc: 360°
• Rate of fire: 8 rounds in 60 seconds
• Range with base-bleed projectile: 40 km
• Range with V-LAP / extended-range charge: 60 km
• Growth option: 155 mm/L52A1 or L60 ordnance for &gt;80 km-class range
• MRSI capability: Yes
• Free payload growth margin: ~5,000 kg</x:v>
      </x:c>
      <x:c r="E194" s="32" t="str">
        <x:v>• Fully automatic electrically driven artillery turret
• Digital ammunition handling
• JBMoU-compatible projectiles and modular charges
• High-mobility wheeled artillery platform</x:v>
      </x:c>
      <x:c r="F194" s="38" t="str">
        <x:v>https://www.rheinmetall.com/en/products/wheeled-armoured-vehicles/wheeled-self-propelled-howitzer
https://www.rheinmetall.com/en/products/weapons-and-ammunition</x:v>
      </x:c>
    </x:row>
    <x:row r="195" ht="210" customHeight="1">
      <x:c r="A195" s="37" t="str">
        <x:v>Rheinmetall</x:v>
      </x:c>
      <x:c r="B195" s="32" t="str">
        <x:v>Artillery</x:v>
      </x:c>
      <x:c r="C195" s="32" t="str">
        <x:v>Skyranger 30 Mobile Air Defence System</x:v>
      </x:c>
      <x:c r="D195" s="32" t="str">
        <x:v>• Primary gun: 30×173 mm KCE revolver cannon
• Effective cannon range: up to 3,000 m
• Programmable AHEAD airburst ammunition
• Integrated search radar and electro-optical sensors for 360° surveillance/target tracking
• Modular short-range missile integration
• Turret can be integrated on Boxer, Lynx KF41, Pandur EVO and other vehicle/truck platforms</x:v>
      </x:c>
      <x:c r="E195" s="32" t="str">
        <x:v>• Mobile very-short-range air defence / counter-UAS
• Autonomous or networked operation
• Designed against drones, loitering munitions and other low-altitude aerial threats
• Ordered/selected by multiple European users</x:v>
      </x:c>
      <x:c r="F195" s="38" t="str">
        <x:v>https://www.rheinmetall.com/en/media/news-watch/news/2026/06/2026-06-10-rheinmetall-showcases-its-cutting-edge-skyranger-air-defence-system-at-ila-2026?sType=Spane4all</x:v>
      </x:c>
    </x:row>
    <x:row r="196" ht="210" customHeight="1">
      <x:c r="A196" s="37" t="str">
        <x:v>Rheinmetall</x:v>
      </x:c>
      <x:c r="B196" s="32" t="str">
        <x:v>Artillery</x:v>
      </x:c>
      <x:c r="C196" s="32" t="str">
        <x:v>Skyranger 35 Mobile Air Defence System</x:v>
      </x:c>
      <x:c r="D196" s="32" t="str">
        <x:v>• Primary gun: KDG 35/1000 revolver cannon
• Calibre: 35×228 mm
• Rate of fire: 1,000 rounds/min
• Effective cannon range: up to 4,000 m
• Programmable AHEAD airburst ammunition
• Integrated radar and electro-optical tracking
• Guided-missile integration provision</x:v>
      </x:c>
      <x:c r="E196" s="32" t="str">
        <x:v>• Mobile gun-based air defence against drones, loitering munitions and conventional aerial threats
• Autonomous airspace surveillance and engagement
• Integrated on Lynx KF41 and Leopard 1 configurations in current programmes</x:v>
      </x:c>
      <x:c r="F196" s="38" t="str">
        <x:v>https://www.rheinmetall.com/en/media/news-watch/news/2026/06/2026-06-24-romania-orders-skyranger-35-air-defence-systems-from-rheinmetall
https://www.rheinmetall.com/en/media/news-watch/news/2025/10/2025-10-10-rheinmetall-skyranger-35-ukraine</x:v>
      </x:c>
    </x:row>
    <x:row r="197" ht="210" customHeight="1">
      <x:c r="A197" s="37" t="str">
        <x:v>Rheinmetall</x:v>
      </x:c>
      <x:c r="B197" s="32" t="str">
        <x:v>Ammunition</x:v>
      </x:c>
      <x:c r="C197" s="32" t="str">
        <x:v>Assegai 155 mm Projectile Family</x:v>
      </x:c>
      <x:c r="D197" s="32" t="str">
        <x:v>• Calibre: 155 mm
• 39-cal gun ranges: BT 24.7 km; BB 30.8 km; VLAP 41 km
• 52-cal gun ranges: BT 30 km; BB 40 km; VLAP 54 km
• 52-cal muzzle velocity: BT 937 m/s; BB 953 m/s; VLAP 950 m/s
• 39-cal muzzle velocity: BT 811 m/s; BB 829 m/s; VLAP 830 m/s
• 52-cal chamber pressure — BT: ~323 MPa
• 52-cal chamber pressure — BB/VLAP: ~348 MPa
• 39-cal chamber pressure — BT: ~282 MPa
• 39-cal chamber pressure — BB/VLAP: ~309 MPa</x:v>
      </x:c>
      <x:c r="E197" s="32" t="str">
        <x:v>• Family includes HE, insensitive HE, pre-formed-fragmentation, VLAP, smoke, red-phosphorus smoke, illumination and IR illumination projectiles
• Compatible with 39–52 calibre 155 mm artillery</x:v>
      </x:c>
      <x:c r="F197" s="38" t="str">
        <x:v>https://www.rheinmetall.com/Rheinmetall%20Group/brochure-download/Weapon-Ammmunition/B171e0721-155mm-Assegai-projectile-family-RDM.pdf</x:v>
      </x:c>
    </x:row>
    <x:row r="198" ht="210" customHeight="1">
      <x:c r="A198" s="37" t="str">
        <x:v>Rheinmetall</x:v>
      </x:c>
      <x:c r="B198" s="32" t="str">
        <x:v>Protected Vehicles</x:v>
      </x:c>
      <x:c r="C198" s="32" t="str">
        <x:v>Fuchs Evolution</x:v>
      </x:c>
      <x:c r="D198" s="32" t="str">
        <x:v>• Configuration: 6×6
• Power increase vs legacy Fuchs: +100 kW / +1,000 Nm
• Payload increase: +1,500 kg
• Usable protected volume increase: +1 m³
• Interior height increase: +140 mm
• Legacy Fuchs reference dimensions: 6.8 m L × 2.98 m W × 2.5 m H
• Legacy Fuchs road speed reference: ~105 km/h
• Legacy Fuchs range reference: ~800 km</x:v>
      </x:c>
      <x:c r="E198" s="32" t="str">
        <x:v>• Fully digital vehicle architecture (NGVA/CAN bus)
• Amphibious and highly armoured configurations
• Modular variants: troop carrier, medical, EOD/engineer, command, EW, reconnaissance
• Medium-calibre turret integration possible</x:v>
      </x:c>
      <x:c r="F198" s="38" t="str">
        <x:v>https://www.rheinmetall.com/en/products/wheeled-armoured-vehicles/fuchs-evolution
https://www.army.mod.uk/learn-and-explore/equipment/reconnaissance-vehicles/fuchs/</x:v>
      </x:c>
    </x:row>
    <x:row r="199" ht="210" customHeight="1">
      <x:c r="A199" s="37" t="str">
        <x:v>Rheinmetall</x:v>
      </x:c>
      <x:c r="B199" s="32" t="str">
        <x:v>Protected Vehicles</x:v>
      </x:c>
      <x:c r="C199" s="32" t="str">
        <x:v>Fuchs JAGM</x:v>
      </x:c>
      <x:c r="D199" s="32" t="str">
        <x:v>• Carrier: Fuchs Evolution 6×6
• Missile load: 24 AGM-179 JAGM
• JAGM range: up to 16 km</x:v>
      </x:c>
      <x:c r="E199" s="32" t="str">
        <x:v>• Vertical-launch anti-tank / multi-role missile vehicle
• JAGM multimode seeker: semi-active laser + millimetre-wave radar
• Tandem shaped-charge fragmentation warhead
• Can engage ground and air targets</x:v>
      </x:c>
      <x:c r="F199" s="38" t="str">
        <x:v>https://www.rheinmetall.com/en/media/news-watch/news/2026/06/2026-06-15-rheinmetall-at-eurosatory-fuchs-jagm-next-generation-missile-tank-destroyer</x:v>
      </x:c>
    </x:row>
    <x:row r="200" ht="210" customHeight="1">
      <x:c r="A200" s="37" t="str">
        <x:v>Rheinmetall</x:v>
      </x:c>
      <x:c r="B200" s="32" t="str">
        <x:v>Protected Vehicles</x:v>
      </x:c>
      <x:c r="C200" s="32" t="str">
        <x:v>Lynx KF41 Infantry Fighting Vehicle</x:v>
      </x:c>
      <x:c r="D200" s="32" t="str">
        <x:v>• Combat weight: approximately 44 t in peer-combat configuration with Lance 2.0 turret and survivability package
• Engine: Liebherr diesel, 850 kW / 1,140 hp
• Power-to-weight ratio: approximately 26 hp/t in the cited 44 t configuration
• Maximum road speed: up to 70 km/h
• Operating range: &gt;500 km
• Crew / dismounts: up to 3 crew + 8 soldiers
• Crew-compartment volume: 6.43 m³ in current Rheinmetall product description
• Main armament: 30 mm cannon in standard IFV configuration; optional anti-tank guided missiles
• Protection: modular ballistic, mine/IED and active/reactive protection packages; exact protection levels are configuration-dependent</x:v>
      </x:c>
      <x:c r="E200" s="32" t="str">
        <x:v>• Modular next-generation tracked IFV built around common drive and mission modules
• Open digital architecture / 'digital backbone' for rapid sensor, effector and software integration
• Lance turret integration with stabilized weapon systems and target tracking
• Large growth payload reserve for future mission kits
• Variants include IFV/APC, reconnaissance, command, recovery, ambulance, air-defence, mortar and direct-fire support</x:v>
      </x:c>
      <x:c r="F200" s="38" t="str">
        <x:v>https://www.rheinmetall.com/en/products/tracked-armoured-vehicles/lynx-infantry-fighting-vehicle
https://www.rheinmetall.com/Rheinmetall%20Group/brochure-download/Vehicle-Systems/B260e0518-LYNX-KF41.pdf</x:v>
      </x:c>
    </x:row>
    <x:row r="201" ht="210" customHeight="1">
      <x:c r="A201" s="37" t="str">
        <x:v>Rheinmetall</x:v>
      </x:c>
      <x:c r="B201" s="32" t="str">
        <x:v>Protected Vehicles</x:v>
      </x:c>
      <x:c r="C201" s="32" t="str">
        <x:v>Panther KF51</x:v>
      </x:c>
      <x:c r="D201" s="32" t="str">
        <x:v>• Combat weight: &lt;59 t
• Main gun: 130 mm L52 Future Gun System
• Autoloader: up to 20 ready rounds
• Coaxial weapon: 12.7 mm
• Natter RCWS: 7.62 mm; 2,500 ready rounds
• Operational range: &gt;500 km
• Engine: MTU MB 873 Ka-501 V12 diesel, 1,103 kW / 1,500 hp
• Transmission: Renk HSWL 354
• Maximum road speed: ~70 km/h
• Reverse speed: ~30 km/h
• Hull dimensions: ~7.8 m L × 3.7 m W × 2.5 m H
• Crew: 3 baseline; optional 4th operator station
• 130 mm autoloader: 20 ready rounds in two 10-round magazines
• Main-gun firing cycle: two shots in &lt;3 seconds
• 130 mm FGS stated effective range: &gt;3,500 m against 1,000 mm RHA-class target</x:v>
      </x:c>
      <x:c r="E201" s="32" t="str">
        <x:v>• Optional HERO 120 loitering-munition integration
• Digital NGVA architecture
• Layered active, reactive and passive protection
• Trophy Active Protection System option/architecture
• Three-crew baseline with optional fourth station</x:v>
      </x:c>
      <x:c r="F201" s="38" t="str">
        <x:v>https://www.rheinmetall.com/en/products/tracked-armoured-vehicles/panther-kf51-main-battle-tank
https://www.armyrecognition.com/military-products/army/main-battle-tanks/main-battle-tanks/kf51-panther-mbt-main-battle-tank-germany-technical-data-fact-sheet
https://www.janes.com/defence-intelligence-insights/defence-news/weapons/rheinmetall-identifies-markets-for-kf51-panther-tank</x:v>
      </x:c>
    </x:row>
    <x:row r="202" ht="210" customHeight="1">
      <x:c r="A202" s="37" t="str">
        <x:v>Rheinmetall</x:v>
      </x:c>
      <x:c r="B202" s="32" t="str">
        <x:v>Protected Vehicles</x:v>
      </x:c>
      <x:c r="C202" s="32" t="str">
        <x:v>Survivor R</x:v>
      </x:c>
      <x:c r="D202" s="32" t="str">
        <x:v>• Drive: 4×4
• Engine: 320 hp / 235 kW in current page description
• Crew capacity: up to 10
• Older technical data: top speed 100 km/h; power 250 kW; torque 1,250 Nm; GVW 17,000 kg; payload &gt;1,500 kg; length ~6.86 m
• Legacy technical configuration GVW: ~17,000 kg
• Legacy payload: &gt;1,500 kg
• Legacy top speed: ~100 km/h
• Legacy length: ~6.86 m
• Legacy power: ~250 kW / 1,250 Nm</x:v>
      </x:c>
      <x:c r="E202" s="32" t="str">
        <x:v>• Armoured monocoque crew cell
• Modular add-on armour
• Optional CBRN ventilation, run-flats, fire suppression, winches and weapon station
• C-UAS and CBRN mission variants</x:v>
      </x:c>
      <x:c r="F202" s="38" t="str">
        <x:v>https://www.rheinmetall.com/en/products/wheeled-armoured-vehicles/survivor-r
https://www.rheinmetall.com/Rheinmetall%20Group/Presse/Informationsmaterial/Dimensions/Rheinmetall-magazine-Dimensions-2023-01.pdf</x:v>
      </x:c>
    </x:row>
    <x:row r="203" ht="210" customHeight="1">
      <x:c r="A203" s="37" t="str">
        <x:v>Rheinmetall</x:v>
      </x:c>
      <x:c r="B203" s="32" t="str">
        <x:v>Marine/Naval</x:v>
      </x:c>
      <x:c r="C203" s="32" t="str">
        <x:v>Oerlikon Millennium Gun System</x:v>
      </x:c>
      <x:c r="D203" s="32" t="str">
        <x:v>• Calibre: 35 mm
• On-mount ammunition: up to 252 rounds
• Average ship power demand: &lt;1 kVA
• Gun calibre: 35×228 mm
• Mount weight on deck: 2,970 kg
• Swept radius at 0° barrel: 3,950 mm
• Training arc: unlimited / n×360°
• Elevation arc: -15° to +85°
• Training speed: 120°/s
• Elevation speed: 100°/s
• Nominal burst rate: 1,000 rounds/min
• Rapid single-shot rate: 200 rounds/min
• Muzzle velocity: 1,050–1,175 m/s depending ammunition
• Ready ammunition: up to 252 rounds</x:v>
      </x:c>
      <x:c r="E203" s="32" t="str">
        <x:v>• Remotely controlled naval close-in weapon system
• Can operate with external or optional integrated fire-control solution
• Programmable 35 mm AHEAD ammunition compatibility</x:v>
      </x:c>
      <x:c r="F203" s="38" t="str">
        <x:v>https://www.rheinmetall.com/Rheinmetall%20Group/brochure-download/Air-Defence/B036e0222-Oerlikon-Millennium-Gun-System.pdf
https://www.rheinmetall.com/en/products/weapons-and-ammunition/naval-weapon-systems</x:v>
      </x:c>
    </x:row>
    <x:row r="204" ht="210" customHeight="1">
      <x:c r="A204" s="37" t="str">
        <x:v>Rheinmetall</x:v>
      </x:c>
      <x:c r="B204" s="32" t="str">
        <x:v>UAVs/Drones</x:v>
      </x:c>
      <x:c r="C204" s="32" t="str">
        <x:v>FV-014 Loitering Munition</x:v>
      </x:c>
      <x:c r="D204" s="32" t="str">
        <x:v>• Launch weight: ~20 kg including 6 kg payload
• Maximum range: up to 100 km
• Data-link range: ~60 km
• Flight duration: ~70 min
• Warhead: ~5–6 kg HEDP / TRITON-class payload
• Warhead penetration: &gt;600 mm RHA
• Propulsion: electric</x:v>
      </x:c>
      <x:c r="E204" s="32" t="str">
        <x:v>• Tactical loitering-munition / strike-drone product in 2026 portfolio</x:v>
      </x:c>
      <x:c r="F204" s="38" t="str">
        <x:v>https://ir.rheinmetall.com/media/document/6d4637c5-eafa-47cc-afe2-b8810256e0cd/assets/Rheinmetall_AG_2026_Investor_Presentation_January.pdf
https://www.rheinmetall.com/en/products/weapons-and-ammunition/loitering-munition/loitering-munition-system-fv-014
https://www.rheinmetall.com/en/media/news-watch/news/2026/02/2026-02-19-successful-testing-of-the-fv-014-loitering-munition</x:v>
      </x:c>
    </x:row>
    <x:row r="205" ht="210" customHeight="1">
      <x:c r="A205" s="37" t="str">
        <x:v>Rheinmetall</x:v>
      </x:c>
      <x:c r="B205" s="32" t="str">
        <x:v>UAVs/Drones</x:v>
      </x:c>
      <x:c r="C205" s="32" t="str">
        <x:v>LUNA NG</x:v>
      </x:c>
      <x:c r="D205" s="32" t="str">
        <x:v>• Endurance: &gt;12 h
• Operating altitude: up to 5,000 m
• Typical system package: 5 UAVs
• Take-off weight: ~110 kg
• Wingspan: ~5.34 m
• Payload: &gt;30 kg
• Data-link range: &gt;100 km; Janes reports ~150 km, extendable to ~500 km with SATCOM
• Typical reconnaissance speed: ~90 km/h
• Maximum speed: ~130 km/h
• Operating ceiling: &gt;5,000 m
• Engine: heavy-fuel Wankel rotary engine with injection, liquid cooling and starter-generator</x:v>
      </x:c>
      <x:c r="E205" s="32" t="str">
        <x:v>• Catapult launch; net/parachute recovery
• Runway-independent reconnaissance UAS
• Long-endurance ISR platform</x:v>
      </x:c>
      <x:c r="F205" s="38" t="str">
        <x:v>https://www.rheinmetall.com/en/media/news-watch/news/2026/06/2026-06-10-rheinmetall-at-ila-the-luna-ng-reconnaissance-drone-sets-new-standards
https://www.janes.com/defence-intelligence-insights/defence-news/air/ila-2024-rheinmetall-showcases-luna-ng-uav-developed-for-germany
https://www.armyrecognition.com/news/aerospace-news/2026/germany-accelerates-sensor-to-shooter-links-with-luna-ng-drone-in-bundeswehr-trials</x:v>
      </x:c>
    </x:row>
    <x:row r="206" ht="210" customHeight="1">
      <x:c r="A206" s="37" t="str">
        <x:v>Hanwha (Aerospace/Group)</x:v>
      </x:c>
      <x:c r="B206" s="32" t="str">
        <x:v>Artillery</x:v>
      </x:c>
      <x:c r="C206" s="32" t="str">
        <x:v>120 mm Self-Propelled Mortar Carrier</x:v>
      </x:c>
      <x:c r="D206" s="32" t="str">
        <x:v>• Calibre: 120 mm
• Calibre: 120 mm rifled mortar
• Carrier: K200A1 tracked armoured vehicle
• Maximum speed: ~70 km/h
• Maximum range: ~12 km in earlier DAPA reporting; rocket-assisted ammunition reported up to ~13 km
• Engagement arc: 360° without rotating carrier
• Automated fire-control and reloading system</x:v>
      </x:c>
      <x:c r="E206" s="32" t="str">
        <x:v>• Vehicle-mounted mortar fire-support system
• Automated/digitised fire-support architecture</x:v>
      </x:c>
      <x:c r="F206" s="38" t="str">
        <x:v>https://www.hanwhaaerospace.com/eng/whatwedo/product/land.do
https://armyrecognition.com/news/army-news/2020/south-korea-to-produce-120mm-self-propelled-mortar-system
https://kookbang.dema.mil.kr/newsWeb/20260225/1/ATCE_CTGR_0020010033/view.do</x:v>
      </x:c>
    </x:row>
    <x:row r="207" ht="210" customHeight="1">
      <x:c r="A207" s="37" t="str">
        <x:v>Hanwha (Aerospace/Group)</x:v>
      </x:c>
      <x:c r="B207" s="32" t="str">
        <x:v>Artillery</x:v>
      </x:c>
      <x:c r="C207" s="32" t="str">
        <x:v>Chunmoo Multiple Rocket Launcher</x:v>
      </x:c>
      <x:c r="D207" s="32" t="str">
        <x:v>• Carrier: 8×8 truck
• Launcher: two interchangeable rocket/missile pods
• 239 mm CGR-080 guided rocket range: ~80 km
• CTM-MR missile range class: ~160 km
• CTM-290 range: up to 290 km
• Each pod can carry up to 6 × 239 mm rockets or 1 × 290 km-class missile
• Combat weight: ~25–31 t depending configuration
• Crew: 3 in launcher vehicle
• Dimensions: approx. 9.0 m L × 2.5–2.9 m W × 3.0–3.3 m H
• Engine: ~400–450 hp diesel
• Maximum road speed: ~80–90 km/h
• Cruising range: ~480–800 km depending chassis/configuration
• Launcher traverse: ~194° to 360° depending reference/configuration
• Elevation: 0° to 60°
• 239 mm guided-rocket firing rate: 6 rounds in ~30 sec
• Pod loads: 20 × 130 mm, 6 × 227 mm or 6 × 239 mm per pod; two pods</x:v>
      </x:c>
      <x:c r="E207" s="32" t="str">
        <x:v>• Modular multi-calibre launcher
• GPS/INS precision-guided munitions
• Rapid pod reload and mixed-munition flexibility</x:v>
      </x:c>
      <x:c r="F207" s="38" t="str">
        <x:v>https://www.hanwhaaerospace.com/eng/media/newsroom/view.do?seq=631
https://m.hanwhaaerospace.com/eng/media/newsroom/view.do?seq=300
https://www.armyrecognition.com/military-products/army/artillery-vehicles-and-weapons/multiple-launch-rocket-systems/k239-chunmoo
https://armyrecognition.com/news/army-news/army-news-2024/hanwha-aerospace-unveils-chunmoo-mrls-anti-ship-ballistic-missile-capability-at-adas-2024
https://odin.t2com.army.mil/WEG/Asset/a912aa8b360f636e3d7e63a7534f1ad6</x:v>
      </x:c>
    </x:row>
    <x:row r="208" ht="210" customHeight="1">
      <x:c r="A208" s="37" t="str">
        <x:v>Hanwha (Aerospace/Group)</x:v>
      </x:c>
      <x:c r="B208" s="32" t="str">
        <x:v>Artillery</x:v>
      </x:c>
      <x:c r="C208" s="32" t="str">
        <x:v>K10 Ammunition Resupply Vehicle</x:v>
      </x:c>
      <x:c r="D208" s="32" t="str">
        <x:v>• Combat weight: ~47 t
• Dimensions: ~8.43 m L × 3.40 m W × 3.56 m H
• Crew: 3
• Engine: MTU MT881 Ka-500 diesel, 1,000 hp
• Maximum speed: ~62–67 km/h
• Range: ~360 km
• Ammunition capacity: 104 × 155 mm projectiles
• Charge capacity: ~504 propellant charges
• Transfer rate: ~10–12 rounds/min
• Obstacle crossing: 0.75 m wall; 2.8 m trench; 60% gradient; 30% side slope; ~1.5 m fording</x:v>
      </x:c>
      <x:c r="E208" s="32" t="str">
        <x:v>• Automated transfer of projectiles/charges to K9 without exposing crew
• High commonality with K9 mobility platform</x:v>
      </x:c>
      <x:c r="F208" s="38" t="str">
        <x:v>https://www.hanwhaaerospace.com/eng/whatwedo/product/land.do
https://www.hanwhaaerospace.com/assets/content/library/download/Hanwha%20Defense%20Brochure_EN.pdf
https://www.armyrecognition.com/military-products/army/artillery-vehicles-and-weapons/non-categories/k10-arv-south-korea-uk
https://weaponsystems.net/system/159-K10%2BAmmunition%2BResupply%2BVehicle</x:v>
      </x:c>
    </x:row>
    <x:row r="209" ht="210" customHeight="1">
      <x:c r="A209" s="37" t="str">
        <x:v>Hanwha (Aerospace/Group)</x:v>
      </x:c>
      <x:c r="B209" s="32" t="str">
        <x:v>Artillery</x:v>
      </x:c>
      <x:c r="C209" s="32" t="str">
        <x:v>K105A1 / K105 HTS</x:v>
      </x:c>
      <x:c r="D209" s="32" t="str">
        <x:v>• Calibre: 105 mm</x:v>
      </x:c>
      <x:c r="E209" s="32" t="str">
        <x:v>• Truck-mounted self-propelled 105 mm howitzer system
• Digitised fire-control / high-mobility concept</x:v>
      </x:c>
      <x:c r="F209" s="38" t="str">
        <x:v>https://www.hanwhaaerospace.com/eng/whatwedo/product/land.do</x:v>
      </x:c>
    </x:row>
    <x:row r="210" ht="210" customHeight="1">
      <x:c r="A210" s="37" t="str">
        <x:v>Hanwha (Aerospace/Group)</x:v>
      </x:c>
      <x:c r="B210" s="32" t="str">
        <x:v>Artillery</x:v>
      </x:c>
      <x:c r="C210" s="32" t="str">
        <x:v>K9 Thunder</x:v>
      </x:c>
      <x:c r="D210" s="32" t="str">
        <x:v>• Calibre: 155 mm / 52 calibre
• Combat weight: ~46.3–47 t
• Maximum speed: 67 km/h
• Range: &gt;40 km with conventional long-range ammunition
• Burst: 3 rounds in &lt;15 sec
• Maximum rate: 6–8 rounds/min for 3 min
• First round: within ~30 sec from stationary / ~60 sec from movement
• Crew: 5
• Hull length: 7.44 m
• Width: 3.4 m
• Height to turret roof: 2.73 m
• Engine: MTU MT881 Ka-500 diesel, 1,000 hp
• Transmission: Allison X1100-5A3, 4 forward / 2 reverse
• Maximum road speed: 67 km/h
• Cruising range: 360 km
• On-board ammunition: 48 projectiles + associated charges
• Standard HE range: ~30 km
• Rocket-assisted range: ~40 km
• Maximum rate of fire: 6 rounds/min
• Burst: 3 rounds in 15 sec
• Sustained rate: 2 rounds/min
• Protection reference: 14.5 mm AP and 152/155 mm artillery fragments</x:v>
      </x:c>
      <x:c r="E210" s="32" t="str">
        <x:v>• Tracked self-propelled howitzer
• Automatic fire-control and navigation
• Shoot-and-scoot design
• Global K9 family with localized variants</x:v>
      </x:c>
      <x:c r="F210" s="38" t="str">
        <x:v>https://www.hanwhaaerospace.com/eng/media/newsroom/view.do?seq=271
https://www.hanwhaaerospace.com/eng/whatwedo/product/land.do
https://www.hanwhaaerospace.com/assets/content/library/download/Hanwha%20Defense%20Brochure_EN.pdf
https://www.armyrecognition.com/military-products/army/artillery-vehicles-and-weapons/self-propelled-howitzers/k9-thunder-south-korea-uk
https://odin.t2com.army.mil/WEG/Asset/2d16a930236b99e7af6ca4fd504e8bc6</x:v>
      </x:c>
    </x:row>
    <x:row r="211" ht="210" customHeight="1">
      <x:c r="A211" s="37" t="str">
        <x:v>Hanwha (Aerospace/Group)</x:v>
      </x:c>
      <x:c r="B211" s="32" t="str">
        <x:v>Artillery</x:v>
      </x:c>
      <x:c r="C211" s="32" t="str">
        <x:v>K9A2</x:v>
      </x:c>
      <x:c r="D211" s="32" t="str">
        <x:v>• Calibre: 155 mm / 52 calibre
• Maximum rate of fire: up to 10 rounds/min
• On-board ammunition: 48 rounds in turret/autoloader
• Crew: 3; emergency operation with 2 reported
• Sustained rate: ~4–6 rounds/min
• Range with Excalibur demonstrated: nearly 50 km
• Extended-range development figure: up to ~70 km with advanced ammunition
• Engine: ~1,000 hp
• Maximum road speed: ~67 km/h
• Cruising range: ~360 km
• Barrel life target: ~1,500 rounds vs ~1,000 legacy</x:v>
      </x:c>
      <x:c r="E211" s="32" t="str">
        <x:v>• Fully automatic ammunition handling/loading
• Automated turret
• Reduced crew requirement vs legacy K9
• Next-generation K9 configuration
• Autoloader automatically handles both projectiles and modular charges, enabling the three-person crew and higher firing rate.</x:v>
      </x:c>
      <x:c r="F211" s="38" t="str">
        <x:v>https://www.hanwhaaerospace.com/eng/media/newsroom/view.do?seq=445
https://www.hanwhaaerospace.com/eng/whatwedo/product/land.do
https://armyrecognition.com/news/army-news/army-news-2024/south-koreas-k9a2-emerges-among-top-choices-as-us-armys-future-self-propelled-howitzer
https://www.armyrecognition.com/focus-analysis-conflicts/army/defence-security-industry-technology/discover-new-south-korean-k9a2-155mm-self-propelled-howitzer-combat-capabilities</x:v>
      </x:c>
    </x:row>
    <x:row r="212" ht="210" customHeight="1">
      <x:c r="A212" s="37" t="str">
        <x:v>Hanwha (Aerospace/Group)</x:v>
      </x:c>
      <x:c r="B212" s="32" t="str">
        <x:v>Ammunition</x:v>
      </x:c>
      <x:c r="C212" s="32" t="str">
        <x:v>120 mm Mortar Ammunition</x:v>
      </x:c>
      <x:c r="D212" s="32" t="str">
        <x:v>• Calibre: 120 mm</x:v>
      </x:c>
      <x:c r="E212" s="32" t="str">
        <x:v>• Mortar ammunition family</x:v>
      </x:c>
      <x:c r="F212" s="38" t="str">
        <x:v>https://www.hanwhaaerospace.com/eng/whatwedo/product/land.do</x:v>
      </x:c>
    </x:row>
    <x:row r="213" ht="210" customHeight="1">
      <x:c r="A213" s="37" t="str">
        <x:v>Hanwha (Aerospace/Group)</x:v>
      </x:c>
      <x:c r="B213" s="32" t="str">
        <x:v>Ammunition</x:v>
      </x:c>
      <x:c r="C213" s="32" t="str">
        <x:v>155 mm Artillery Ammunition Family</x:v>
      </x:c>
      <x:c r="D213" s="32" t="str">
        <x:v>• Calibre: 155 mm
• M482 HE-ER-BB total length: 900 mm
• M482 total weight: 45.5 kg
• M482 explosive fill: 8.5 kg
• M482 39-cal muzzle velocity / max range: 840 m/s / 32 km
• M482 52-cal muzzle velocity / max range: 948 m/s / 40 km
• M454 Super-HE maximum range: ~22–28 km depending barrel
• M150 smoke range: ~22 km; screen duration: ~3 min</x:v>
      </x:c>
      <x:c r="E213" s="32" t="str">
        <x:v>• Artillery projectile / charge family supporting K9-class 155 mm systems</x:v>
      </x:c>
      <x:c r="F213" s="38" t="str">
        <x:v>https://www.hanwhaaerospace.com/eng/whatwedo/product/land.do
https://www.hanwhaaerospace.com/assets/content/esg/sustainBusiness/download/en/HanwhaAerospace_SustainabilityReport_2025_ENG.pdf
https://www.elbitsystems.com/sites/default/files/2026-06/m482_web.pdf
https://www.elbitsystems.com/media/Catalog_Artillery_Ammunition_13_Web.pdf</x:v>
      </x:c>
    </x:row>
    <x:row r="214" ht="210" customHeight="1">
      <x:c r="A214" s="37" t="str">
        <x:v>Hanwha (Aerospace/Group)</x:v>
      </x:c>
      <x:c r="B214" s="32" t="str">
        <x:v>Ammunition</x:v>
      </x:c>
      <x:c r="C214" s="32" t="str">
        <x:v>40 mm Grenade Ammunition</x:v>
      </x:c>
      <x:c r="D214" s="32" t="str">
        <x:v>• Calibre: 40 mm
• K200 HE cartridge weight: 215 g
• K200 HE cartridge length: 100 mm
• K200 explosive filler: 32 g Composition B
• K200 maximum range: 400 m
• K200 muzzle velocity: 75.3 m/s
• HW921 HEDP cartridge weight: 225 g
• HW921 HEDP filler: 45 g Composition A5
• HW921 maximum range: 400 m
• HW921 muzzle velocity: 75.3 m/s
• HEDP penetration statement: at least 2 in steel armour at 0° obliquity</x:v>
      </x:c>
      <x:c r="E214" s="32" t="str">
        <x:v>• Grenade ammunition family</x:v>
      </x:c>
      <x:c r="F214" s="38" t="str">
        <x:v>https://www.hanwhaaerospace.com/eng/whatwedo/product/land.do
https://www.hanwhacorp.co.kr/common/fileDownload.do?name=low_Velocity_01.pdf&amp;path=%2Fupload%2Fdefense%2F40mm%2Flow_Velocity_01.pdf</x:v>
      </x:c>
    </x:row>
    <x:row r="215" ht="210" customHeight="1">
      <x:c r="A215" s="37" t="str">
        <x:v>Hanwha (Aerospace/Group)</x:v>
      </x:c>
      <x:c r="B215" s="32" t="str">
        <x:v>Protected Vehicles</x:v>
      </x:c>
      <x:c r="C215" s="32" t="str">
        <x:v>K21 IFV</x:v>
      </x:c>
      <x:c r="D215" s="32" t="str">
        <x:v>• Combat weight: ~27 t in later public technical references
• Crew: 3 + 9 dismounts
• Engine: 750 hp
• Road speed: 70 km/h
• Cross-country speed: ~40 km/h
• Water speed: ~6 km/h
• Range: 450 km
• Ground clearance: 0.48 m
• Gradient: 60%
• Main gun: 40 mm cannon
• Secondary: 7.62 mm MG
• Dimensions: ~6.9 m L × 3.4 m W × 2.6 m H
• Maximum road speed: ~70 km/h
• Operational range: ~450 km
• Main armament: 40 mm cannon
• Secondary armament: 7.62 mm machine gun
• Anti-tank missiles: 2 launchers</x:v>
      </x:c>
      <x:c r="E215" s="32" t="str">
        <x:v>• Amphibious infantry fighting vehicle
• ATGM integration option
• Hydropneumatic suspension</x:v>
      </x:c>
      <x:c r="F215" s="38" t="str">
        <x:v>https://www.hanwhaaerospace.com/assets/content/library/download/Hanwha%20Defense%20Brochure_EN.pdf
https://www.hanwhaaerospace.com/eng/whatwedo/product/land.do
https://www.armyrecognition.com/military-products/army/infantry-fighting-vehicles/tracked-vehicles/k-21-south-korea-uk</x:v>
      </x:c>
    </x:row>
    <x:row r="216" ht="210" customHeight="1">
      <x:c r="A216" s="37" t="str">
        <x:v>Hanwha (Aerospace/Group)</x:v>
      </x:c>
      <x:c r="B216" s="32" t="str">
        <x:v>Protected Vehicles</x:v>
      </x:c>
      <x:c r="C216" s="32" t="str">
        <x:v>Redback IFV</x:v>
      </x:c>
      <x:c r="D216" s="32" t="str">
        <x:v>• Combat weight: ~43 t
• Crew: 3 + 8 dismounts
• Dismounts: 6–8
• Engine: 1,000 hp
• Maximum speed: 70 km/h
• Cruising range: 560 km
• Trench crossing: 3 m
• Gradient: 60%
• Side slope: 30%
• Main gun: 30 mm cannon
• Secondary: 7.62 mm MG; 12.7 mm RWS; ATGM integration
• Main armament: 30 mm Mk44S Bushmaster II cannon
• Secondary armament: 7.62 mm MAG58
• Anti-tank missiles: 2 × SPIKE LR2
• Maximum road speed: &gt;65 km/h
• Operational range: ~520 km
• Ballistic protection: up to STANAG 4569 Level 5 in public configuration data
• Mine protection: up to STANAG 4569 Level 4a/4b in public configuration data</x:v>
      </x:c>
      <x:c r="E216" s="32" t="str">
        <x:v>• In-arm hydropneumatic suspension
• Integrated active protection system
• High mine/blast and ballistic protection
• Advanced situational-awareness sensors</x:v>
      </x:c>
      <x:c r="F216" s="38" t="str">
        <x:v>https://www.hanwhaaerospace.com/assets/content/library/download/Hanwha%20Defense%20Brochure_EN.pdf
https://www.hanwhaaerospace.com/eng/whatwedo/product/land.do
https://www.armyrecognition.com/news/army-news/army-news-2022/south-korea-hanwha-defense-demonstrates-combat-capabilities-of-as-21-redback-tracked-armored-ifv
https://armyrecognition.com/news/army-news/army-news-2024/hanwha-aerospace-presents-its-k21-redback-ifv-at-bsda-2024</x:v>
      </x:c>
    </x:row>
    <x:row r="217" ht="210" customHeight="1">
      <x:c r="A217" s="37" t="str">
        <x:v>Hanwha (Aerospace/Group)</x:v>
      </x:c>
      <x:c r="B217" s="32" t="str">
        <x:v>Protected Vehicles</x:v>
      </x:c>
      <x:c r="C217" s="32" t="str">
        <x:v>Tigon 8×8</x:v>
      </x:c>
      <x:c r="D217" s="32" t="str">
        <x:v>• Configuration: 8×8
• Combat weight: ~32–34 t depending configuration
• Engine: ~700 hp
• Maximum road speed: ~100 km/h
• Operational range: ~800 km
• Personnel: 11
• Ballistic protection: up to STANAG 4569 Level 6
• Mine protection: up to STANAG Level 4
• Armament options: 30 mm autocannon, 105 mm gun, ATGM systems</x:v>
      </x:c>
      <x:c r="E217" s="32" t="str">
        <x:v>• Multi-purpose wheeled armoured vehicle
• RCWS and medium-calibre turret integration options
• Mission-configurable armoured platform</x:v>
      </x:c>
      <x:c r="F217" s="38" t="str">
        <x:v>https://www.hanwhaaerospace.com/eng/whatwedo/product/land.do
https://www.armyrecognition.com/archives/archives-land-defense/defense-news-army-2025/hanwha-aerospace-proposes-tigon-armored-vehicle-family-to-chile-to-strengthen-strategic-autonomy-through-local-production</x:v>
      </x:c>
    </x:row>
    <x:row r="218" ht="210" customHeight="1">
      <x:c r="A218" s="37" t="str">
        <x:v>Hanwha (Aerospace/Group)</x:v>
      </x:c>
      <x:c r="B218" s="32" t="str">
        <x:v>Marine/Naval</x:v>
      </x:c>
      <x:c r="C218" s="32" t="str">
        <x:v>KSS-I 1,200 t-Class Submarine (Hanwha Ocean)</x:v>
      </x:c>
      <x:c r="D218" s="32" t="str">
        <x:v>• Displacement: ~1,200 t
• Length: ~56–61 m
• Beam: 6.3 m
• Draft: 5.5 m
• Surface speed: ~11 kt
• Submerged speed: ~21 kt
• Surface range: ~11,000 nmi
• Submerged range: ~400 nmi
• Crew: ~33
• Armament: 8 × 533 mm torpedo tubes; ~14 SUT torpedoes; UGM-84 Harpoon integration
• Propulsion: 4 × MTU 8V396 SE diesels + Siemens electric motor, single shaft</x:v>
      </x:c>
      <x:c r="E218" s="32" t="str">
        <x:v>• Conventional submarine programme</x:v>
      </x:c>
      <x:c r="F218" s="38" t="str">
        <x:v>https://www.hanwhaocean.com/pdf/Hanwha_Ocean_Brochure_EN_2025.pdf
https://www.navalnews.com/naval-news/2020/06/video-south-korea-celebrates-the-30th-anniversary-of-its-submarine-force/</x:v>
      </x:c>
    </x:row>
    <x:row r="219" ht="210" customHeight="1">
      <x:c r="A219" s="37" t="str">
        <x:v>Hanwha (Aerospace/Group)</x:v>
      </x:c>
      <x:c r="B219" s="32" t="str">
        <x:v>Marine/Naval</x:v>
      </x:c>
      <x:c r="C219" s="32" t="str">
        <x:v>KSS-II 1,800 t-Class Submarine (Hanwha Ocean)</x:v>
      </x:c>
      <x:c r="D219" s="32" t="str">
        <x:v>• Surface displacement: ~1,690 t
• Submerged displacement: ~1,860 t
• Length: 65 m
• Beam: 6.3 m
• Draft: 6 m
• Surface speed: ~10 kt
• Submerged speed: ~20 kt
• Surface range: ~12,000 nmi
• Submerged range: ~420 nmi
• Crew: ~27
• Armament: 8 × 533 mm torpedo tubes; 4 Harpoon-capable
• Propulsion: diesel-electric + PEM fuel-cell AIP; Siemens Permasyn 2.85 MW motor</x:v>
      </x:c>
      <x:c r="E219" s="32" t="str">
        <x:v>• Conventional submarine programme / export-capable naval platform</x:v>
      </x:c>
      <x:c r="F219" s="38" t="str">
        <x:v>https://www.hanwhaocean.com/pdf/Hanwha_Ocean_Brochure_EN_2025.pdf
https://www.navalnews.com/naval-news/2022/02/rok-navy-finds-major-defects-on-three-of-its-type-214-submarines/</x:v>
      </x:c>
    </x:row>
    <x:row r="220" ht="210" customHeight="1">
      <x:c r="A220" s="37" t="str">
        <x:v>Hanwha (Aerospace/Group)</x:v>
      </x:c>
      <x:c r="B220" s="32" t="str">
        <x:v>Marine/Naval</x:v>
      </x:c>
      <x:c r="C220" s="32" t="str">
        <x:v>KSS-III 3,000 t-Class Submarine (Hanwha Ocean)</x:v>
      </x:c>
      <x:c r="D220" s="32" t="str">
        <x:v>• Batch I surfaced displacement: ~3,358 t
• Batch I submerged displacement: ~3,705–3,800 t
• Length: 83.5 m
• Beam: 9.6 m
• Draft: 7.7 m
• Maximum submerged speed: ~20 kt
• Cruising range: ~10,000 nmi
• Crew: ~50
• Torpedo tubes: 8 × 533 mm
• VLS: 6 cells on Batch I
• Batch II: ~3,600 t surfaced / 4,000 t submerged, 89.4 m length, 9.7 m beam, 7.6 m draft, 10 VLS cells, lithium-ion batteries</x:v>
      </x:c>
      <x:c r="E220" s="32" t="str">
        <x:v>• Conventional submarine developed through Korea's KSS-III programme
• Hanwha Ocean naval portfolio includes submarines, destroyers, frigates, corvettes, OPVs and unmanned maritime vehicles</x:v>
      </x:c>
      <x:c r="F220" s="38" t="str">
        <x:v>https://www.hanwhaocean.com/pdf/Hanwha_Ocean_Brochure_EN_2025.pdf
https://www.navalnews.com/naval-news/2023/04/south-koreas-2nd-kss-iii-submarine-commissioned-with-rok-navy/
https://www.navalnews.com/naval-news/2023/12/hanwha-ocean-to-build-third-and-final-kss-iii-batch-ii-submarine/</x:v>
      </x:c>
    </x:row>
    <x:row r="221" ht="210" customHeight="1">
      <x:c r="A221" s="37" t="str">
        <x:v>Hanwha (Aerospace/Group)</x:v>
      </x:c>
      <x:c r="B221" s="32" t="str">
        <x:v>Missiles</x:v>
      </x:c>
      <x:c r="C221" s="32" t="str">
        <x:v>CGR-080 Guided Rocket</x:v>
      </x:c>
      <x:c r="D221" s="32" t="str">
        <x:v>• Calibre: 239 mm
• Range: up to ~80 km
• CEP: ~15 m
• Guidance: GPS/INS</x:v>
      </x:c>
      <x:c r="E221" s="32" t="str">
        <x:v>• Precision-guided Chunmoo rocket</x:v>
      </x:c>
      <x:c r="F221" s="38" t="str">
        <x:v>https://www.hanwhaaerospace.com/eng/media/newsroom/view.do?seq=591</x:v>
      </x:c>
    </x:row>
    <x:row r="222" ht="210" customHeight="1">
      <x:c r="A222" s="37" t="str">
        <x:v>Hanwha (Aerospace/Group)</x:v>
      </x:c>
      <x:c r="B222" s="32" t="str">
        <x:v>Missiles</x:v>
      </x:c>
      <x:c r="C222" s="32" t="str">
        <x:v>CTM-290 Tactical Missile</x:v>
      </x:c>
      <x:c r="D222" s="32" t="str">
        <x:v>• Maximum range: up to 290 km</x:v>
      </x:c>
      <x:c r="E222" s="32" t="str">
        <x:v>• Long-range precision missile for Chunmoo launcher</x:v>
      </x:c>
      <x:c r="F222" s="38" t="str">
        <x:v>https://www.hanwhaaerospace.com/eng/media/newsroom/view.do?seq=631</x:v>
      </x:c>
    </x:row>
    <x:row r="223" ht="210" customHeight="1">
      <x:c r="A223" s="37" t="str">
        <x:v>Hanwha (Aerospace/Group)</x:v>
      </x:c>
      <x:c r="B223" s="32" t="str">
        <x:v>Missiles</x:v>
      </x:c>
      <x:c r="C223" s="32" t="str">
        <x:v>L-SAM Anti-Ballistic Missile</x:v>
      </x:c>
      <x:c r="D223" s="32" t="str">
        <x:v>• Intercept altitude: &gt;40 km class</x:v>
      </x:c>
      <x:c r="E223" s="32" t="str">
        <x:v>• Hit-to-kill anti-ballistic-missile interceptor
• DACS divert/attitude-control system
• Dual-pulse propulsion
• Part of L-SAM upper-tier air-defence system</x:v>
      </x:c>
      <x:c r="F223" s="38" t="str">
        <x:v>https://www.hanwhaaerospace.com/eng/media/newsroom/view.do?seq=587
https://m.hanwhaaerospace.com/kor/media/newsroom/view.do?seq=583</x:v>
      </x:c>
    </x:row>
    <x:row r="224" ht="210" customHeight="1">
      <x:c r="A224" s="37" t="str">
        <x:v>Elbit Systems</x:v>
      </x:c>
      <x:c r="B224" s="32" t="str">
        <x:v>Artillery</x:v>
      </x:c>
      <x:c r="C224" s="32" t="str">
        <x:v>ATMOS 155 mm Self-Propelled Howitzer</x:v>
      </x:c>
      <x:c r="D224" s="32" t="str">
        <x:v>• Calibre: 155 mm / 52 calibre
• Range: &gt;40 km with ERFB-BB; &gt;50 km with rocket-assisted ammunition
• Rate of fire: 6–7 rounds/min
• Traverse: ±25°
• Elevation: up to +70°
• Road speed: &gt;80 km/h
• Off-road speed: up to 30 km/h
• Maximum gross weight: ~29,000 kg
• Width: 2,550 mm
• Maximum length: 9,500 mm
• On-board ammunition: minimum 18 projectiles
• Deployment/disengagement: ~60 sec
• Legacy ATMOS 2000 reference weight: ~22–23 t
• Legacy crew: ~4–6
• Legacy on-board ammunition: ~27 rounds
• Legacy road speed: ~80 km/h
• Legacy cruising range: ~1,000 km
• Fording depth: ~1.4 m
• Vertical obstacle: ~0.6 m
• Trench: ~0.9 m
• Gradient: ~60%; side slope: ~30%
• Range by ammunition: ~24.5 km M107; ~30 km NATO L15; ~41 km ERFB-BB
• Rate of fire reference: ~4–9 rounds/min</x:v>
      </x:c>
      <x:c r="E224" s="32" t="str">
        <x:v>• 6×6 or 8×8 truck integration
• INS/GPS automatic laying
• Muzzle velocity radar
• Hydraulic loading with manual backup
• Digital fire control</x:v>
      </x:c>
      <x:c r="F224" s="38" t="str">
        <x:v>https://www.elbitsystems.com/land/weapons-systems-and-munitions/howitzer-systems/atmos
https://elbitsystems.com/media/Atmos.pdf
https://www.armyrecognition.com/military-products/army/artillery-vehicles-and-weapons/self-propelled-howitzers/atmos-soltam-israel-uk
https://www.armyrecognition.com/focus-analysis-conflicts/army/defence-security-industry-technology/analysis-top-most-modern-6x6-wheeled-self-propelled-howitzers</x:v>
      </x:c>
    </x:row>
    <x:row r="225" ht="210" customHeight="1">
      <x:c r="A225" s="37" t="str">
        <x:v>Elbit Systems</x:v>
      </x:c>
      <x:c r="B225" s="32" t="str">
        <x:v>Artillery</x:v>
      </x:c>
      <x:c r="C225" s="32" t="str">
        <x:v>CARDOM 120/81 mm Mortar System</x:v>
      </x:c>
      <x:c r="D225" s="32" t="str">
        <x:v>• Primary calibre: 120 mm; can accommodate 81 mm barrel
• Maximum rate: up to 16 rounds/min
• System weight: ~1,150 kg
• Maximum range: ~7,000 m
• Maximum rate of fire: 16 rounds/min
• Sustained rate: 4 rounds/min
• Crew: 2–4 depending carrier
• Barrel length: ~1,620 mm
• Recoil length: ~220 mm
• Maximum recoil force: ~36 t with standard ammunition
• Elevation: 45°–85°
• Fire azimuth: 360° / ±210° mechanical reference
• First round: 30–60 sec</x:v>
      </x:c>
      <x:c r="E225" s="32" t="str">
        <x:v>• Recoil mortar system
• Automatic laying
• INS/fire-control integration
• Vehicle integration</x:v>
      </x:c>
      <x:c r="F225" s="38" t="str">
        <x:v>https://www.elbitsystems.com/land/weapons-systems-and-munitions/mortar-systems/cardom
https://elbitsystems.com/media/CARDOM_ENG_Web.pdf</x:v>
      </x:c>
    </x:row>
    <x:row r="226" ht="210" customHeight="1">
      <x:c r="A226" s="37" t="str">
        <x:v>Elbit Systems</x:v>
      </x:c>
      <x:c r="B226" s="32" t="str">
        <x:v>Artillery</x:v>
      </x:c>
      <x:c r="C226" s="32" t="str">
        <x:v>PULS — Precise &amp; Universal Launching System</x:v>
      </x:c>
      <x:c r="D226" s="32" t="str">
        <x:v>• Two rocket/missile pods
• Accular 122: 18 rockets, range 35 km
• Accular 160: 10 rockets, range 40 km
• EXTRA: 4 rockets, range 150 km
• Predator Hawk: 2 missiles, range 300 km
• Firing mission: &lt;1 min</x:v>
      </x:c>
      <x:c r="E226" s="32" t="str">
        <x:v>• Multi-calibre modular rocket/missile launcher
• Can mix different pods / munitions
• High-mobility truck integration</x:v>
      </x:c>
      <x:c r="F226" s="38" t="str">
        <x:v>https://www.elbitsystems.com/land/weapons-systems-and-munitions/launchers/puls</x:v>
      </x:c>
    </x:row>
    <x:row r="227" ht="210" customHeight="1">
      <x:c r="A227" s="37" t="str">
        <x:v>Elbit Systems</x:v>
      </x:c>
      <x:c r="B227" s="32" t="str">
        <x:v>Artillery</x:v>
      </x:c>
      <x:c r="C227" s="32" t="str">
        <x:v>SIGMA 155</x:v>
      </x:c>
      <x:c r="D227" s="32" t="str">
        <x:v>• Calibre: 155 mm / 52 calibre
• Crew: 3
• Firing arc: 360°
• Platform: 10×10 mobile chassis
• Automated magazine capacity: 40 rounds
• Rate of fire: &gt;8 rounds/min
• Chamber: JBMOU-compliant
• Firing arc: true 360°</x:v>
      </x:c>
      <x:c r="E227" s="32" t="str">
        <x:v>• Fully automated loading and laying
• Protected crew cabin
• Automated turret
• Networked digital fire control</x:v>
      </x:c>
      <x:c r="F227" s="38" t="str">
        <x:v>https://www.elbitsystems.com/land/weapons-systems-and-munitions/howitzer-systems/sigma
https://www.elbitamerica.com/sigma</x:v>
      </x:c>
    </x:row>
    <x:row r="228" ht="210" customHeight="1">
      <x:c r="A228" s="37" t="str">
        <x:v>Elbit Systems</x:v>
      </x:c>
      <x:c r="B228" s="32" t="str">
        <x:v>Artillery</x:v>
      </x:c>
      <x:c r="C228" s="32" t="str">
        <x:v>SPEAR 120 mm Mortar System</x:v>
      </x:c>
      <x:c r="D228" s="32" t="str">
        <x:v>• Calibre: 120 mm
• Crew: 2–3
• In/out of action: &lt;60 sec
• Burst rate: 12–16 rounds/min
• Sustained rate: 3–4 rounds/min for 10–20 min</x:v>
      </x:c>
      <x:c r="E228" s="32" t="str">
        <x:v>• Vehicle-mounted recoil mortar
• GPS/INS and integrated fire control
• Compatible with qualified 120 mm smoothbore mortar ammunition</x:v>
      </x:c>
      <x:c r="F228" s="38" t="str">
        <x:v>https://www.elbitsystems.com/land/weapons-systems-and-munitions/mortars-systems/spear</x:v>
      </x:c>
    </x:row>
    <x:row r="229" ht="210" customHeight="1">
      <x:c r="A229" s="37" t="str">
        <x:v>Elbit Systems</x:v>
      </x:c>
      <x:c r="B229" s="32" t="str">
        <x:v>Artillery</x:v>
      </x:c>
      <x:c r="C229" s="32" t="str">
        <x:v>SPEAR LR 120 mm Mortar</x:v>
      </x:c>
      <x:c r="D229" s="32" t="str">
        <x:v>• Calibre: 120 mm
• Range: up to 10 km with extended-range conventional ammunition
• Barrel length: 2 m
• Burst rate of fire: 10–12 rounds/min
• Into/out of action: within ~60 sec</x:v>
      </x:c>
      <x:c r="E229" s="32" t="str">
        <x:v>• Long-range vehicle-mounted mortar system
• Digital fire control / navigation</x:v>
      </x:c>
      <x:c r="F229" s="38" t="str">
        <x:v>https://www.elbitsystems.com/product/spear-lr-long-range/
https://www.elbitsystems.com/land/weapons-systems-and-munitions/mortar-systems/spear-lr-long-range</x:v>
      </x:c>
    </x:row>
    <x:row r="230" ht="210" customHeight="1">
      <x:c r="A230" s="37" t="str">
        <x:v>Elbit Systems</x:v>
      </x:c>
      <x:c r="B230" s="32" t="str">
        <x:v>Ammunition</x:v>
      </x:c>
      <x:c r="C230" s="32" t="str">
        <x:v>155 mm Artillery Ammunition Family</x:v>
      </x:c>
      <x:c r="D230" s="32" t="str">
        <x:v>• Calibre: 155 mm
• Compatible with 39-, 45- and 52-calibre guns
• M482 HE-ER-BB total length: 900 mm
• M482 total weight: 45.5 kg
• M482 explosive fill: 8.5 kg
• M482 39-cal muzzle velocity / max range: 840 m/s / 32 km
• M482 52-cal muzzle velocity / max range: 948 m/s / 40 km
• M454 Super-HE maximum range: ~22–28 km depending barrel
• M150 smoke range: ~22 km; screen duration: ~3 min</x:v>
      </x:c>
      <x:c r="E230" s="32" t="str">
        <x:v>• HE / Super HE and smoke projectile families
• Designed for NATO/JBMOU-class artillery systems</x:v>
      </x:c>
      <x:c r="F230" s="38" t="str">
        <x:v>https://www.elbitsystems.com/land/ammunition/artillery-ammunition
https://www.elbitsystems.com/sites/default/files/2026-06/m482_web.pdf
https://www.elbitsystems.com/media/Catalog_Artillery_Ammunition_13_Web.pdf</x:v>
      </x:c>
    </x:row>
    <x:row r="231" ht="210" customHeight="1">
      <x:c r="A231" s="37" t="str">
        <x:v>Elbit Systems</x:v>
      </x:c>
      <x:c r="B231" s="32" t="str">
        <x:v>Marine/Naval</x:v>
      </x:c>
      <x:c r="C231" s="32" t="str">
        <x:v>Seagull USV</x:v>
      </x:c>
      <x:c r="D231" s="32" t="str">
        <x:v>• Length: 12 m
• Endurance: &gt;4 days at cruising speed
• Armament: 12.7 mm RCWS; torpedo launching system; non-lethal weapon system
• Data-link range: up to ~20 nmi LOS; SATCOM beyond
• Propulsion: twin diesel engines
• Armament options: 12.7 mm RCWS, torpedo launcher, non-lethal weapon system</x:v>
      </x:c>
      <x:c r="E231" s="32" t="str">
        <x:v>• Fully autonomous / optionally manned USV
• ASW, mine countermeasures, EW, maritime security and hydrography missions
• LOS and SATCOM datalinks
• Modular sonar/payload suites
• Transportable in 40 ft container</x:v>
      </x:c>
      <x:c r="F231" s="38" t="str">
        <x:v>https://www.elbitsystems.com/unmanned/maritime/unmanned-surface-vessel/seagull-usv
https://elbitsystems-de.com/en/products-and-solutions/unmanned-systems/unmanned-vessel/
https://www.armyrecognition.com/archives/archives-naval-defense/naval-defense-2021/defea-2021-elbit-systems-showcases-the-seagull-usv</x:v>
      </x:c>
    </x:row>
    <x:row r="232" ht="210" customHeight="1">
      <x:c r="A232" s="37" t="str">
        <x:v>Elbit Systems</x:v>
      </x:c>
      <x:c r="B232" s="32" t="str">
        <x:v>UAVs/Drones</x:v>
      </x:c>
      <x:c r="C232" s="32" t="str">
        <x:v>FAST Capsule</x:v>
      </x:c>
      <x:c r="D232" s="32" t="str">
        <x:v>• Operational range: 100 km
• Flight time: 18 h
• Crew: 3–4</x:v>
      </x:c>
      <x:c r="E232" s="32" t="str">
        <x:v>• Combined Skylark 3 / SkyStriker operating concept
• ISR-to-strike integrated capsule</x:v>
      </x:c>
      <x:c r="F232" s="38" t="str">
        <x:v>https://www.elbitsystems.com/autonomous/aerial/unmanned-operating-systems/fast-capsule</x:v>
      </x:c>
    </x:row>
    <x:row r="233" ht="210" customHeight="1">
      <x:c r="A233" s="37" t="str">
        <x:v>Elbit Systems</x:v>
      </x:c>
      <x:c r="B233" s="32" t="str">
        <x:v>UAVs/Drones</x:v>
      </x:c>
      <x:c r="C233" s="32" t="str">
        <x:v>Hermes 450 Tactical UAS</x:v>
      </x:c>
      <x:c r="D233" s="32" t="str">
        <x:v>• Multi-role tactical UAS
• Payload options include EO/IR/laser, SAR/GMTI, maritime patrol radar, COMINT/COMMJAM, ELINT, hyperspectral and wide-area scanning payloads
• Dual-payload configurations supported
• 300,000+ operational flight hours reported by Elbit</x:v>
      </x:c>
      <x:c r="E233" s="32" t="str">
        <x:v>• Highly autonomous tactical ISR platform
• Land and maritime missions
• Rapidly deployable
• Two concurrent missions can be managed from one ground-control system using two ground data terminals
• Backbone platform of the UK Watchkeeper programme lineage</x:v>
      </x:c>
      <x:c r="F233" s="38" t="str">
        <x:v>https://www.elbitsystems.com/autonomous/aerial/tactical-uas/hermes-450
https://www.elbitsystems.com/sites/default/files/2025-05/hermes_450.pdf</x:v>
      </x:c>
    </x:row>
    <x:row r="234" ht="210" customHeight="1">
      <x:c r="A234" s="37" t="str">
        <x:v>Elbit Systems</x:v>
      </x:c>
      <x:c r="B234" s="32" t="str">
        <x:v>UAVs/Drones</x:v>
      </x:c>
      <x:c r="C234" s="32" t="str">
        <x:v>Hermes 900</x:v>
      </x:c>
      <x:c r="D234" s="32" t="str">
        <x:v>• Maximum takeoff weight: 1,180 kg
• Payload: 350 kg
• Endurance: up to 36 h
• Service ceiling: 30,000 ft
• Modular payload bay: 250 kg
• Length: ~8.3 m
• Wingspan: ~15 m
• Engine: Rotax 914
• Cruise speed: ~60–70 kt
• Maximum range: &gt;300 km in RSAF published specification
• Maximum take-off weight: 1,180 kg
• Maximum payload: 350 kg</x:v>
      </x:c>
      <x:c r="E234" s="32" t="str">
        <x:v>• MALE unmanned aircraft system
• LOS and SATCOM communications
• Multi-sensor ISR / maritime / SIGINT mission capability</x:v>
      </x:c>
      <x:c r="F234" s="38" t="str">
        <x:v>https://www.elbitsystems.com/autonomous/aerial/male-unmanned-aircraft-systems/hermes-900
https://www.rsaf.gov.sg/rsaf-forces/aircraft/
https://odin.t2com.army.mil/WEG/Asset/Hermes_900_Israeli_Unmanned_Aerial_Vehicle_%28UAV%29</x:v>
      </x:c>
    </x:row>
    <x:row r="235" ht="210" customHeight="1">
      <x:c r="A235" s="37" t="str">
        <x:v>Elbit Systems</x:v>
      </x:c>
      <x:c r="B235" s="32" t="str">
        <x:v>UAVs/Drones</x:v>
      </x:c>
      <x:c r="C235" s="32" t="str">
        <x:v>Skylark 3 Hybrid</x:v>
      </x:c>
      <x:c r="D235" s="32" t="str">
        <x:v>• Endurance: up to 18–20 h
• Wingspan: 4.7 m
• Maximum take-off weight: ~50 kg
• Operational range: ~120 km
• Service ceiling: ~12,000 ft
• Crew: 2</x:v>
      </x:c>
      <x:c r="E235" s="32" t="str">
        <x:v>• Tactical electric/hybrid UAS
• Extended endurance ISR
• Man-portable/vehicle-deployable tactical system</x:v>
      </x:c>
      <x:c r="F235" s="38" t="str">
        <x:v>https://www.elbitsystems.com/unmanned/aerial/tactical-uas/skylark-3-hybrid
https://www.elbitsystems.com/news/elbit-systems-showcase-hybrid-propulsion-small-tactical-uas-singapore-airshow-2022</x:v>
      </x:c>
    </x:row>
    <x:row r="236" ht="210" customHeight="1">
      <x:c r="A236" s="37" t="str">
        <x:v>Elbit Systems</x:v>
      </x:c>
      <x:c r="B236" s="32" t="str">
        <x:v>UAVs/Drones</x:v>
      </x:c>
      <x:c r="C236" s="32" t="str">
        <x:v>SkyStriker</x:v>
      </x:c>
      <x:c r="D236" s="32" t="str">
        <x:v>• Warhead: up to 10 kg
• Endurance: up to ~2 h
• Range: ~100 km in Elbit 2023 canister configuration; &gt;200 km cited in 2026 partnered offer
• Warhead options: 5 kg or 10 kg
• Propulsion: electric</x:v>
      </x:c>
      <x:c r="E236" s="32" t="str">
        <x:v>• Electrically powered loitering munition
• Man-in-the-loop precision strike
• Low acoustic signature</x:v>
      </x:c>
      <x:c r="F236" s="38" t="str">
        <x:v>https://www.elbitsystems.com/news/elbit-systems-and-diehl-defence-form-strategic-partnership-offer-skystriker-loitering-munition
https://www.elbitsystems.com/news/elbit-systems-awarded-95-million-contract-supply-canister-configuration-skystriker-loitering
https://www.elbitsystems.com/autonomous/aerial/loitering-munition-systems/skystriker</x:v>
      </x:c>
    </x:row>
    <x:row r="237" ht="210" customHeight="1">
      <x:c r="A237" s="37" t="str">
        <x:v>Elbit Systems</x:v>
      </x:c>
      <x:c r="B237" s="32" t="str">
        <x:v>Missiles</x:v>
      </x:c>
      <x:c r="C237" s="32" t="str">
        <x:v>Accular 122 Guided Rocket</x:v>
      </x:c>
      <x:c r="D237" s="32" t="str">
        <x:v>• Maximum range: 35 km
• PULS load: 18 rockets per PULS load configuration
• Calibre: 122 mm
• Range: up to 35 km
• Warhead: ~20 kg
• Accuracy: &lt;10 m CEP
• Pod capacity: 18 rockets</x:v>
      </x:c>
      <x:c r="E237" s="32" t="str">
        <x:v>• Precision-guided rocket/missile for PULS</x:v>
      </x:c>
      <x:c r="F237" s="38" t="str">
        <x:v>https://www.elbitsystems.com/land/weapons-systems-and-munitions/launchers/puls
https://elbitsystems.com/media/elbit-systems-land-rocket-artillery-catalog.pdf</x:v>
      </x:c>
    </x:row>
    <x:row r="238" ht="210" customHeight="1">
      <x:c r="A238" s="37" t="str">
        <x:v>Elbit Systems</x:v>
      </x:c>
      <x:c r="B238" s="32" t="str">
        <x:v>Missiles</x:v>
      </x:c>
      <x:c r="C238" s="32" t="str">
        <x:v>Accular 160 Guided Rocket</x:v>
      </x:c>
      <x:c r="D238" s="32" t="str">
        <x:v>• Maximum range: 40 km
• PULS load: 10 rockets per PULS load configuration
• Calibre: 160 mm
• Range: up to 40 km
• Warhead: ~35 kg
• Accuracy: &lt;10 m CEP
• Pod capacity: 10 rockets</x:v>
      </x:c>
      <x:c r="E238" s="32" t="str">
        <x:v>• Precision-guided rocket/missile for PULS</x:v>
      </x:c>
      <x:c r="F238" s="38" t="str">
        <x:v>https://www.elbitsystems.com/land/weapons-systems-and-munitions/launchers/puls
https://elbitsystems.com/media/elbit-systems-land-rocket-artillery-catalog.pdf</x:v>
      </x:c>
    </x:row>
    <x:row r="239" ht="210" customHeight="1">
      <x:c r="A239" s="37" t="str">
        <x:v>Elbit Systems</x:v>
      </x:c>
      <x:c r="B239" s="32" t="str">
        <x:v>Missiles</x:v>
      </x:c>
      <x:c r="C239" s="32" t="str">
        <x:v>EXTRA Guided Rocket</x:v>
      </x:c>
      <x:c r="D239" s="32" t="str">
        <x:v>• Maximum range: 150 km
• PULS load: 4 rockets per PULS load configuration
• Operational range: 30–150 km
• CEP: ~10 m
• Warhead: 120 kg unitary
• Flight time to 150 km target: &lt;5 min
• Flight regime: supersonic</x:v>
      </x:c>
      <x:c r="E239" s="32" t="str">
        <x:v>• Precision-guided rocket/missile for PULS</x:v>
      </x:c>
      <x:c r="F239" s="38" t="str">
        <x:v>https://www.elbitsystems.com/land/weapons-systems-and-munitions/launchers/puls
https://www.elbitsystems.com/land/weapons-systems-and-munitions/missiles-rockets/extra</x:v>
      </x:c>
    </x:row>
    <x:row r="240" ht="210" customHeight="1">
      <x:c r="A240" s="37" t="str">
        <x:v>Elbit Systems</x:v>
      </x:c>
      <x:c r="B240" s="32" t="str">
        <x:v>Missiles</x:v>
      </x:c>
      <x:c r="C240" s="32" t="str">
        <x:v>Predator Hawk Tactical Missile</x:v>
      </x:c>
      <x:c r="D240" s="32" t="str">
        <x:v>• Maximum range: 300 km
• PULS load: 2 missiles per PULS load configuration
• Operational range: 50–300 km
• CEP: &lt;10 m
• Warhead: 140 kg unitary
• Flight time to 300 km target: ~8 min
• Flight regime: supersonic</x:v>
      </x:c>
      <x:c r="E240" s="32" t="str">
        <x:v>• Precision-guided rocket/missile for PULS</x:v>
      </x:c>
      <x:c r="F240" s="38" t="str">
        <x:v>https://www.elbitsystems.com/land/weapons-systems-and-munitions/launchers/puls
https://www.elbitsystems.com/land/weapons-systems-and-munitions/missiles-rockets/predator-hawk</x:v>
      </x:c>
    </x:row>
    <x:row r="241" ht="210" customHeight="1">
      <x:c r="A241" s="37" t="str">
        <x:v>General Dynamics</x:v>
      </x:c>
      <x:c r="B241" s="32" t="str">
        <x:v>Ammunition</x:v>
      </x:c>
      <x:c r="C241" s="32" t="str">
        <x:v>25 mm Bushmaster Ammunition Family</x:v>
      </x:c>
      <x:c r="D241" s="32" t="str">
        <x:v>• M791 APDS-T: round length 223 mm; round mass 454 g; projectile 134 g; muzzle velocity 1,345 m/s
• M792 HEI-T: round length 219.1 mm; round mass 502 g; projectile 184 g; muzzle velocity 1,100 m/s
• M910 TPDS-T: round length 223 mm; round mass 426 g; projectile 95 g; muzzle velocity 1,515 m/s
• M791 APDS-T time of flight: ~3 sec to 3 km
• M792 HEI-T time of flight: ~3.3 sec to 2 km
• M793 TP-T round length / mass: 219.1 mm / 502 g; projectile mass 184 g; muzzle velocity 1,100 m/s</x:v>
      </x:c>
      <x:c r="E241" s="32" t="str">
        <x:v>• 25×137 mm ammunition for Bushmaster-class chain guns
• Combat and training variants</x:v>
      </x:c>
      <x:c r="F241" s="38" t="str">
        <x:v>https://www.gdots.com/munitions/medium-caliber-ammunition/25mm-bushmaster/
https://www.gdots.com/munitions/
https://www.gd-ots.com/wp-content/uploads/2025/08/25mm_BushmasterAmmunition_202508.pdf</x:v>
      </x:c>
    </x:row>
    <x:row r="242" ht="210" customHeight="1">
      <x:c r="A242" s="37" t="str">
        <x:v>General Dynamics</x:v>
      </x:c>
      <x:c r="B242" s="32" t="str">
        <x:v>Ammunition</x:v>
      </x:c>
      <x:c r="C242" s="32" t="str">
        <x:v>25 mm PGU-20 API</x:v>
      </x:c>
      <x:c r="D242" s="32" t="str">
        <x:v>• Calibre: 25 mm
• Maximum round length: 223 mm
• Maximum round mass: 532 g
• Projectile mass: 214 g
• Muzzle velocity: ~1,000 m/s</x:v>
      </x:c>
      <x:c r="E242" s="32" t="str">
        <x:v>• Armor-piercing incendiary ammunition</x:v>
      </x:c>
      <x:c r="F242" s="38" t="str">
        <x:v>https://www.gdots.com/munitions/medium-caliber-ammunition/25mm-pgu-20-api/</x:v>
      </x:c>
    </x:row>
    <x:row r="243" ht="210" customHeight="1">
      <x:c r="A243" s="37" t="str">
        <x:v>General Dynamics</x:v>
      </x:c>
      <x:c r="B243" s="32" t="str">
        <x:v>Ammunition</x:v>
      </x:c>
      <x:c r="C243" s="32" t="str">
        <x:v>Large-Caliber Tank Ammunition</x:v>
      </x:c>
      <x:c r="D243" s="32" t="str">
        <x:v>• Published calibre families include 105 mm and 120 mm</x:v>
      </x:c>
      <x:c r="E243" s="32" t="str">
        <x:v>• Tank-gun kinetic-energy and multipurpose ammunition product families</x:v>
      </x:c>
      <x:c r="F243" s="38" t="str">
        <x:v>https://www.gdots.com/munitions/</x:v>
      </x:c>
    </x:row>
    <x:row r="244" ht="210" customHeight="1">
      <x:c r="A244" s="37" t="str">
        <x:v>General Dynamics</x:v>
      </x:c>
      <x:c r="B244" s="32" t="str">
        <x:v>Ammunition</x:v>
      </x:c>
      <x:c r="C244" s="32" t="str">
        <x:v>Medium-Caliber Ammunition Family</x:v>
      </x:c>
      <x:c r="D244" s="32" t="str">
        <x:v>• Published calibre families include 20 mm, 25 mm, 30 mm and 50 mm
• Published product coverage includes 20 mm M50/M940/Mk149/Mk244/PGU families
• 25×137 mm Bushmaster, Mk2 MPT-SD, PGU-20, PGU-23U, PGU-32/U and APFSDS-T
• 30×113 and 30×173 ammunition suites
• 50×228 mm family</x:v>
      </x:c>
      <x:c r="E244" s="32" t="str">
        <x:v>• Air, land and naval cannon ammunition</x:v>
      </x:c>
      <x:c r="F244" s="38" t="str">
        <x:v>https://www.gdots.com/munitions/
https://www.gdots.com/products-services/</x:v>
      </x:c>
    </x:row>
    <x:row r="245" ht="210" customHeight="1">
      <x:c r="A245" s="37" t="str">
        <x:v>General Dynamics</x:v>
      </x:c>
      <x:c r="B245" s="32" t="str">
        <x:v>Ammunition</x:v>
      </x:c>
      <x:c r="C245" s="32" t="str">
        <x:v>Small-Caliber Ammunition Family</x:v>
      </x:c>
      <x:c r="D245" s="32" t="str">
        <x:v>• Published calibre coverage includes 5.56 mm through .50 calibre</x:v>
      </x:c>
      <x:c r="E245" s="32" t="str">
        <x:v>• Military ball, tracer, armour-piercing and special-purpose small-calibre ammunition</x:v>
      </x:c>
      <x:c r="F245" s="38" t="str">
        <x:v>https://www.gdots.com/munitions/</x:v>
      </x:c>
    </x:row>
    <x:row r="246" ht="210" customHeight="1">
      <x:c r="A246" s="37" t="str">
        <x:v>General Dynamics</x:v>
      </x:c>
      <x:c r="B246" s="32" t="str">
        <x:v>Small Arms</x:v>
      </x:c>
      <x:c r="C246" s="32" t="str">
        <x:v>M2HB .50 Caliber Heavy Machine Gun</x:v>
      </x:c>
      <x:c r="D246" s="32" t="str">
        <x:v>• Calibre: .50 / 12.7 mm NATO
• Weight: 38.2 kg
• Overall length: 1,654 mm
• Width: 230 mm
• Rate of fire: 450–600 rounds/min
• Effective range: 1,830 m
• Maximum range: 6,766 m
• Muzzle velocity: ~930 m/s</x:v>
      </x:c>
      <x:c r="E246" s="32" t="str">
        <x:v>• Crew-served heavy machine gun
• Vehicle, ground and naval mount compatibility</x:v>
      </x:c>
      <x:c r="F246" s="38" t="str">
        <x:v>https://www.gdots.com/wp-content/uploads/2017/11/M2HB-50-Caliber-Heavy-Machine-Gun.pdf</x:v>
      </x:c>
    </x:row>
    <x:row r="247" ht="210" customHeight="1">
      <x:c r="A247" s="37" t="str">
        <x:v>General Dynamics</x:v>
      </x:c>
      <x:c r="B247" s="32" t="str">
        <x:v>Protected Vehicles</x:v>
      </x:c>
      <x:c r="C247" s="32" t="str">
        <x:v>ASCOD Tracked Vehicle Family</x:v>
      </x:c>
      <x:c r="D247" s="32" t="str">
        <x:v>• Tracked modular armoured vehicle platform
• Maximum vehicle weight: up to ~42 t
• Dimensions reference: ~6.98 m L × 3.15 m W × 2.09 m H
• Maximum road speed: ~65 km/h
• Operational range: ~500 km
• APC capacity: typically 3 crew + 6–8 dismounts
• IFV armament options: 30 mm or 40 mm cannon
• Protection: modular, up to STANAG 4569 Level 4/5 depending configuration</x:v>
      </x:c>
      <x:c r="E247" s="32" t="str">
        <x:v>• Basis for PIZARRO / AJAX-class variants
• Mission-configurable turret, protection and payload architecture</x:v>
      </x:c>
      <x:c r="F247" s="38" t="str">
        <x:v>https://gdels.com/ascod.php
https://www.armyrecognition.com/military-products/army/infantry-fighting-vehicles/tracked-vehicles/ascod-apc-general-dynamics-light-tracked-armoured-personnel-carrier-technical-data-sheet-specifications-pictures-video-11006155</x:v>
      </x:c>
    </x:row>
    <x:row r="248" ht="210" customHeight="1">
      <x:c r="A248" s="37" t="str">
        <x:v>General Dynamics</x:v>
      </x:c>
      <x:c r="B248" s="32" t="str">
        <x:v>Protected Vehicles</x:v>
      </x:c>
      <x:c r="C248" s="32" t="str">
        <x:v>M1A2 Abrams SEPv3</x:v>
      </x:c>
      <x:c r="D248" s="32" t="str">
        <x:v>• Main armament: 120 mm cannon
• Engine: 1,500 hp gas-turbine powerpack
• Base curb mass: ~66.8 metric tonnes / 73.6 short tons; gross combat-loaded mass can reach ~73.6 metric tonnes / 81.2 short tons with Trophy APS and ARAT, configuration dependent
• Length: ~9.7–9.77 m
• Width: ~3.7 m
• Height: ~2.4–3.09 m depending reference point/configuration
• Crew: 4
• Engine: 1,500 shp AGT1500 gas turbine
• Maximum road speed: ~68 km/h
• Operational range: ~400–425 km
• Main armament: 120 mm M256 smoothbore
• Secondary armament: 7.62 mm M240 coaxial / loader MG and 12.7 mm CROWS II</x:v>
      </x:c>
      <x:c r="E248" s="32" t="str">
        <x:v>• Under-armour auxiliary power unit
• Modern digital architecture and improved survivability
• Advanced ammunition/data-link capability</x:v>
      </x:c>
      <x:c r="F248" s="38" t="str">
        <x:v>https://www.gdls.com/abrams/
https://www.armyrecognition.com/military-products/army/main-battle-tanks/main-battle-tanks/m1a2-sep-v3-main-battle-tank-technical-data-sheet-specifications-pictures-video-11710154
https://www.army.gov.au/equipment/vehicles-and-surveillance/m1a2-abrams-tank</x:v>
      </x:c>
    </x:row>
    <x:row r="249" ht="210" customHeight="1">
      <x:c r="A249" s="37" t="str">
        <x:v>General Dynamics</x:v>
      </x:c>
      <x:c r="B249" s="32" t="str">
        <x:v>Protected Vehicles</x:v>
      </x:c>
      <x:c r="C249" s="32" t="str">
        <x:v>Stryker A1</x:v>
      </x:c>
      <x:c r="D249" s="32" t="str">
        <x:v>• Engine: 450 hp
• Suspension/GVW class: 60,000 lb
• Alternator: 910 A
• Engine: 450 hp Caterpillar C9
• Gross vehicle weight: 60,000 lb / ~27.2 t
• Maximum road speed: ~92 km/h
• Maximum cruising range: ~550 km</x:v>
      </x:c>
      <x:c r="E249" s="32" t="str">
        <x:v>• 8×8 wheeled armoured vehicle
• Digital backbone
• Multiple mission variants including infantry, command, reconnaissance and 30 mm weapon configurations</x:v>
      </x:c>
      <x:c r="F249" s="38" t="str">
        <x:v>https://www.gdls.com/stryker/
https://www.armyrecognition.com/military-products/army/air-defense-systems/air-defense-vehicles/de-m-shorad-guardian-stryker-50-kw-class-laser-weapon-data-fact-sheet</x:v>
      </x:c>
    </x:row>
    <x:row r="250" ht="210" customHeight="1">
      <x:c r="A250" s="37" t="str">
        <x:v>General Dynamics</x:v>
      </x:c>
      <x:c r="B250" s="32" t="str">
        <x:v>Marine/Naval</x:v>
      </x:c>
      <x:c r="C250" s="32" t="str">
        <x:v>Bluefin HAUV</x:v>
      </x:c>
      <x:c r="D250" s="32" t="str">
        <x:v>• Dimensions: 133 × 93 × 38 cm
• Weight: 72.6 kg
• Depth: 30 m standard / 60 m optional
• Endurance: up to 3.5 h
• Speed: 0.5 kt standard / 1.5 kt optional
• Dry weight: 72.6 kg
• Depth rating: 30 m standard / 60 m optional</x:v>
      </x:c>
      <x:c r="E250" s="32" t="str">
        <x:v>• Hovering autonomous underwater vehicle
• Hull inspection / mine-countermeasure / close-proximity sensing applications</x:v>
      </x:c>
      <x:c r="F250" s="38" t="str">
        <x:v>https://gdmissionsystems.com/products/underwater-vehicles/bluefin-hauv</x:v>
      </x:c>
    </x:row>
    <x:row r="251" ht="210" customHeight="1">
      <x:c r="A251" s="37" t="str">
        <x:v>General Dynamics</x:v>
      </x:c>
      <x:c r="B251" s="32" t="str">
        <x:v>Marine/Naval</x:v>
      </x:c>
      <x:c r="C251" s="32" t="str">
        <x:v>Bluefin-12 UUV</x:v>
      </x:c>
      <x:c r="D251" s="32" t="str">
        <x:v>• Dimensions: 32 cm diameter; length 4.83 m
• Weight: 250 kg with integrated survey package
• Depth rating: 200 m
• Endurance: 24 h at 3 kt / 36 h at 2 kt
• Maximum speed: up to 6 kt
• Diameter: 32 cm
• Length: 4.83 m
• Payload volume: ~4,150 cm³
• Energy: four × 1.9 kWh rechargeable Li-ion batteries
• Speed: up to 6 kt sustained transit
• Navigation accuracy: ≤0.1% distance travelled CEP50</x:v>
      </x:c>
      <x:c r="E251" s="32" t="str">
        <x:v>• Autonomous/unmanned underwater vehicle
• Modular payload architecture</x:v>
      </x:c>
      <x:c r="F251" s="38" t="str">
        <x:v>https://gdmissionsystems.com/products/underwater-vehicles/bluefin-12-unmanned-underwater-vehicle
https://www.janes.com/defence-intelligence-insights/defence-news/dsei-2019-general-dynamics-launches-new-bluefin-12-uuv</x:v>
      </x:c>
    </x:row>
    <x:row r="252" ht="210" customHeight="1">
      <x:c r="A252" s="37" t="str">
        <x:v>General Dynamics</x:v>
      </x:c>
      <x:c r="B252" s="32" t="str">
        <x:v>Marine/Naval</x:v>
      </x:c>
      <x:c r="C252" s="32" t="str">
        <x:v>Bluefin-21 AUV</x:v>
      </x:c>
      <x:c r="D252" s="32" t="str">
        <x:v>• Dimensions: 53 cm diameter; length 4.93 m
• Weight: 750 kg
• Depth rating: 4,500 m
• Endurance: 25 h at 3 kt
• Maximum speed: up to 4.5 kt
• Diameter: 53 cm
• Length: 4.93 m
• Dry weight: 750 kg
• Energy: 13.5 kWh total
• Navigation accuracy: ≤0.1% distance travelled CEP50</x:v>
      </x:c>
      <x:c r="E252" s="32" t="str">
        <x:v>• Autonomous/unmanned underwater vehicle
• Modular payload architecture</x:v>
      </x:c>
      <x:c r="F252" s="38" t="str">
        <x:v>https://gdmissionsystems.com/products/underwater-vehicles/bluefin-21-autonomous-underwater-vehicle</x:v>
      </x:c>
    </x:row>
    <x:row r="253" ht="210" customHeight="1">
      <x:c r="A253" s="37" t="str">
        <x:v>General Dynamics</x:v>
      </x:c>
      <x:c r="B253" s="32" t="str">
        <x:v>Marine/Naval</x:v>
      </x:c>
      <x:c r="C253" s="32" t="str">
        <x:v>Bluefin-9 AUV</x:v>
      </x:c>
      <x:c r="D253" s="32" t="str">
        <x:v>• Dimensions: 23.8 cm W × 26.4 cm H; length 241.8 cm
• Weight: 70 kg
• Depth rating: 200 m
• Endurance: 8 h at 3 kt
• Maximum speed: up to 6 kt
• Payload/sensors: Sonardyne Solstice 3000 multi-aperture sonar, removable data-storage module with camera, turbidity/fluorometer, sound-velocity/temperature/pressure sensors
• Energy: 1.9 kWh rechargeable Li-ion battery
• Navigation accuracy: ≤0.3% distance travelled CEP50
• Communications: GPS, Wi-Fi, Iridium</x:v>
      </x:c>
      <x:c r="E253" s="32" t="str">
        <x:v>• Autonomous/unmanned underwater vehicle
• Modular payload architecture</x:v>
      </x:c>
      <x:c r="F253" s="38" t="str">
        <x:v>https://gdmissionsystems.com/en/products/underwater-vehicles/bluefin-9-autonomous-underwater-vehicle</x:v>
      </x:c>
    </x:row>
    <x:row r="254" ht="210" customHeight="1">
      <x:c r="A254" s="37" t="str">
        <x:v>General Dynamics</x:v>
      </x:c>
      <x:c r="B254" s="32" t="str">
        <x:v>Marine/Naval</x:v>
      </x:c>
      <x:c r="C254" s="32" t="str">
        <x:v>Columbia-class Ballistic-Missile Submarine</x:v>
      </x:c>
      <x:c r="D254" s="32" t="str">
        <x:v>• Submerged displacement: 20,810 long tons
• Length: 560 ft / 170.7 m
• Hull diameter: 43 ft
• Speed: 20+ knots
• Test depth: &gt;800 ft
• Missile tubes: 16
• Missile: Trident II D5 Life Extension
• Beam: 43 ft / 13.1 m
• Displacement: ~20,800 long tons
• Crew: 15 officers + 140 enlisted
• Strategic missile: Trident II D5 Life Extension
• Torpedo armament: Mk 48
• Propulsion: electric-drive propulsion system</x:v>
      </x:c>
      <x:c r="E254" s="32" t="str">
        <x:v>• Nuclear-powered ballistic-missile submarine
• Electric-drive propulsion
• Designed as Ohio-class replacement</x:v>
      </x:c>
      <x:c r="F254" s="38" t="str">
        <x:v>https://www.gdeb.com/about/oursubmarines/columbia/
https://www.navy.mil/Resources/Fact-Files/Display-FactFiles/Article/2169580/fleet-ballistic-missile-submarines-ssbn/</x:v>
      </x:c>
    </x:row>
    <x:row r="255" ht="210" customHeight="1">
      <x:c r="A255" s="37" t="str">
        <x:v>General Dynamics</x:v>
      </x:c>
      <x:c r="B255" s="32" t="str">
        <x:v>Marine/Naval</x:v>
      </x:c>
      <x:c r="C255" s="32" t="str">
        <x:v>Expeditionary Sea Base (ESB)</x:v>
      </x:c>
      <x:c r="D255" s="32" t="str">
        <x:v>• Displacement: ~90,000 t
• Length: 239.3 m
• Beam: 50 m
• Draft: 10.5 m
• Sustained speed: &gt;15 knots
• Endurance: &gt;9,500 nmi at 15 knots
• Power plant: ~24 MW
• Flight deck: 4 operating spots
• Full-load displacement: ~90,000 tons
• Draft: 10.5 m full load / 12 m load line
• Speed: ~15 kt
• Range: ~9,500 nmi
• Civilian crew: ~44 MSC personnel
• Military crew: ~101; accommodations for ~250–350</x:v>
      </x:c>
      <x:c r="E255" s="32" t="str">
        <x:v>• Diesel-electric propulsion
• Afloat staging / aviation / special-operations support
• Large mission deck and accommodation</x:v>
      </x:c>
      <x:c r="F255" s="38" t="str">
        <x:v>https://nassco.com/products/construction/government-construction/ship-portfolio/
https://nassco.com/wp-content/uploads/ESB_FactSheet-2020_02.pdf
https://www.navy.mil/Resources/Fact-Files/Fact-Sheets/Display-FactSheets/Article/2169994/expeditionary-sea-base-esb/</x:v>
      </x:c>
    </x:row>
    <x:row r="256" ht="210" customHeight="1">
      <x:c r="A256" s="37" t="str">
        <x:v>General Dynamics</x:v>
      </x:c>
      <x:c r="B256" s="32" t="str">
        <x:v>Marine/Naval</x:v>
      </x:c>
      <x:c r="C256" s="32" t="str">
        <x:v>John Lewis-class Fleet Replenishment Oiler (T-AO)</x:v>
      </x:c>
      <x:c r="D256" s="32" t="str">
        <x:v>• Displacement: ~49,850 metric t
• Length: 227.4 m
• Beam: 32.4 m
• Draft: 10.2 m
• Speed: ~20 knots
• Liquid cargo capacity: ~162,164 barrels
• Beam: 32.2 m
• Full-load displacement: ~49,620–49,793 t depending hull
• Crew: ~125–129 civilian mariners
• Fuel-oil cargo: ~25,782 m³
• Fresh-water cargo: ~213 m³
• Dry-stores capacity: ~1,589–1,590 m³
• Freeze/chill capacity: ~885–1,017 m³</x:v>
      </x:c>
      <x:c r="E256" s="32" t="str">
        <x:v>• Fleet underway replenishment ship
• Dry cargo and fuel transfer capability</x:v>
      </x:c>
      <x:c r="F256" s="38" t="str">
        <x:v>https://nassco.com/products/construction/government-construction/ship-portfolio/
https://www.navy.mil/Resources/Fact-Files/Display-FactFiles/Article/2222909/fleet-replenishment-oilers-t-ao/</x:v>
      </x:c>
    </x:row>
    <x:row r="257" ht="210" customHeight="1">
      <x:c r="A257" s="37" t="str">
        <x:v>General Dynamics</x:v>
      </x:c>
      <x:c r="B257" s="32" t="str">
        <x:v>Missiles</x:v>
      </x:c>
      <x:c r="C257" s="32" t="str">
        <x:v>Hydra-70 Rocket System</x:v>
      </x:c>
      <x:c r="D257" s="32" t="str">
        <x:v>• Calibre: 2.75 in / 70 mm
• Mk66 Mod 4 rocket motor length: ~106 cm
• Motor mass: ~6.2 kg
• Average thrust: ~629 daN
• Total impulse: ~674 daN·s
• Burn time: ~1.07 s
• Operating temperature: -46°C to +66°C
• Rocket diameter: 2.75 in / 70 mm
• All-up rocket weight: ~23–27 lb depending warhead
• All-up rocket length: ~55–70 in depending warhead
• Range: ~300–8,000 m in U.S. Army handbook
• Velocity: &gt;700 m/s
• Mk66 Mod 4 motor length: 41.7 in / 106 cm
• Mk66 Mod 4 motor weight: 13.6 lb / 6.2 kg</x:v>
      </x:c>
      <x:c r="E257" s="32" t="str">
        <x:v>• Family supports multiple warheads
• 7-tube and 19-tube launchers
• Used from helicopters, fixed-wing aircraft and other launch platforms</x:v>
      </x:c>
      <x:c r="F257" s="38" t="str">
        <x:v>https://www.gdots.com/missiles-and-rockets/hydra-70-rocket-systems/hydra-70/
https://www.gdots.com/wp-content/uploads/2021/02/HYDRA-70_202010.pdf
https://www.army.mil/e2/downloads/rv7/2020-2021_Weapon_Systems_Handbook.pdf
https://www.army.mil/article/294415/army_expands_hydra_70_rocket_supply_chain_through_innovative_ota_agreements</x:v>
      </x:c>
    </x:row>
    <x:row r="258" ht="210" customHeight="1">
      <x:c r="A258" s="37" t="str">
        <x:v>NORINCO</x:v>
      </x:c>
      <x:c r="B258" s="32" t="str">
        <x:v>Artillery</x:v>
      </x:c>
      <x:c r="C258" s="32" t="str">
        <x:v>AH4 155 mm Lightweight Howitzer</x:v>
      </x:c>
      <x:c r="D258" s="32" t="str">
        <x:v>• Calibre: 155 mm / 39 calibre
• Weight: ~4,500 kg
• Elevation: -3° to +72°
• Traverse: ±22°
• Crew: 7; reduced crew operation reported at 5
• Maximum rate: ~5 rounds/min
• Range: ~25 km ERFB-HB/HE; ~30 km base-bleed; up to ~40 km rocket-assisted
• Into action: &lt;3 min; out of action: ~2 min
• Combat weight: 4,500 kg
• Maximum rate of fire: ~5 rounds/min
• Into action: &lt;3 min
• Out of action: ~2 min</x:v>
      </x:c>
      <x:c r="E258" s="32" t="str">
        <x:v>• Lightweight towed howitzer
• CH-47 sling-load compatible
• High-altitude / expeditionary artillery</x:v>
      </x:c>
      <x:c r="F258" s="38" t="str">
        <x:v>https://www.armyrecognition.com/archives/archives-land-defense/land-defense-2019/norinco-ah4-155-mm-howitzers-for-united-arab-emirates-army
https://odin.t2com.army.mil/WEG/Asset/fed0b32b6f13e8a5bd11956163fbb7d5</x:v>
      </x:c>
    </x:row>
    <x:row r="259" ht="210" customHeight="1">
      <x:c r="A259" s="37" t="str">
        <x:v>NORINCO</x:v>
      </x:c>
      <x:c r="B259" s="32" t="str">
        <x:v>Artillery</x:v>
      </x:c>
      <x:c r="C259" s="32" t="str">
        <x:v>AR3 Multiple Rocket Launcher</x:v>
      </x:c>
      <x:c r="D259" s="32" t="str">
        <x:v>• Rocket calibres: 300 mm / 370 mm
• 370 mm range: &gt;220 km
• 300 mm range: &gt;130 km
• Load: 4+4 × 370 mm or 5+5 × 300 mm rockets
• Crew: 4
• Combat weight: ~45 t
• Maximum speed: ~60 km/h
• Road range: ~650 km</x:v>
      </x:c>
      <x:c r="E259" s="32" t="str">
        <x:v>• 8×8 heavy MLRS
• Modular rocket pods</x:v>
      </x:c>
      <x:c r="F259" s="38" t="str">
        <x:v>https://www.armyrecognition.com/military-products/army/artillery-vehicles-and-weapons/multiple-launch-rocket-systems/ar3-china-uk</x:v>
      </x:c>
    </x:row>
    <x:row r="260" ht="210" customHeight="1">
      <x:c r="A260" s="37" t="str">
        <x:v>NORINCO</x:v>
      </x:c>
      <x:c r="B260" s="32" t="str">
        <x:v>Artillery</x:v>
      </x:c>
      <x:c r="C260" s="32" t="str">
        <x:v>PCL-09 / CS-SH1 122 mm SPH</x:v>
      </x:c>
      <x:c r="D260" s="32" t="str">
        <x:v>• Calibre: 122 mm
• Combat weight: ~16.5 t
• Crew: 5
• Maximum speed: ~85 km/h
• Cruising range: ~600 km</x:v>
      </x:c>
      <x:c r="E260" s="32" t="str">
        <x:v>• 6×6 truck-mounted 122 mm howitzer
• 12.7 mm self-defence machine gun</x:v>
      </x:c>
      <x:c r="F260" s="38" t="str">
        <x:v>https://www.armyrecognition.com/military-products/army/artillery-vehicles-and-weapons/self-propelled-howitzers/pcl-09-cs-sh1-china-uk</x:v>
      </x:c>
    </x:row>
    <x:row r="261" ht="210" customHeight="1">
      <x:c r="A261" s="37" t="str">
        <x:v>NORINCO</x:v>
      </x:c>
      <x:c r="B261" s="32" t="str">
        <x:v>Artillery</x:v>
      </x:c>
      <x:c r="C261" s="32" t="str">
        <x:v>PLZ-52 155 mm Tracked SPH</x:v>
      </x:c>
      <x:c r="D261" s="32" t="str">
        <x:v>• Calibre: 155 mm / 52 calibre
• Maximum range: up to ~53 km with ERFB-BB-RA
• Maximum rate: ~8 rounds/min
• Burst: 3 rounds / 15 sec
• MRSI: up to 4 rounds
• Engine: ~1,000 hp
• Maximum speed: ~65 km/h</x:v>
      </x:c>
      <x:c r="E261" s="32" t="str">
        <x:v>• Tracked self-propelled howitzer
• Digital fire-control system
• Automatic loading and navigation</x:v>
      </x:c>
      <x:c r="F261" s="38" t="str">
        <x:v>https://www.armyrecognition.com/archives/archives-land-defense/land-defense-2012/norinco-aad-2012-22-september-2012-uk</x:v>
      </x:c>
    </x:row>
    <x:row r="262" ht="210" customHeight="1">
      <x:c r="A262" s="37" t="str">
        <x:v>NORINCO</x:v>
      </x:c>
      <x:c r="B262" s="32" t="str">
        <x:v>Artillery</x:v>
      </x:c>
      <x:c r="C262" s="32" t="str">
        <x:v>SH1 155 mm Wheeled Self-Propelled Howitzer</x:v>
      </x:c>
      <x:c r="D262" s="32" t="str">
        <x:v>• Calibre: 155 mm / 52 calibre
• Combat weight: ~22,500 kg
• Crew: 5
• Maximum range: ~53 km with ERFB-BB/rocket-assisted ammunition
• Maximum road speed: ~90 km/h
• Range: ~600 km
• Dimensions: ~9.68 m L × 2.58 m W × 3.50 m H
• Elevation: 0° to +70°
• Traverse: ~20°</x:v>
      </x:c>
      <x:c r="E262" s="32" t="str">
        <x:v>• 6×6 truck-mounted artillery
• 12.7 mm self-defence weapon</x:v>
      </x:c>
      <x:c r="F262" s="38" t="str">
        <x:v>https://www.armyrecognition.com/military-products/army/artillery-vehicles-and-weapons/self-propelled-howitzers/sh1-china-uk</x:v>
      </x:c>
    </x:row>
    <x:row r="263" ht="210" customHeight="1">
      <x:c r="A263" s="37" t="str">
        <x:v>NORINCO</x:v>
      </x:c>
      <x:c r="B263" s="32" t="str">
        <x:v>Artillery</x:v>
      </x:c>
      <x:c r="C263" s="32" t="str">
        <x:v>SH15 / PCL-181 155 mm Wheeled Howitzer</x:v>
      </x:c>
      <x:c r="D263" s="32" t="str">
        <x:v>• Calibre: 155 mm / 52 calibre
• Configuration: 6×6 truck-mounted
• Crew: ~5–6
• Combat weight: ~22 t class
• Rate of fire: ~4–6 rounds/min
• Range: ~20 km standard projectile; up to ~53 km with rocket-assisted/extended-range ammunition
• Configuration: 6×6</x:v>
      </x:c>
      <x:c r="E263" s="32" t="str">
        <x:v>• Truck-mounted self-propelled howitzer
• Semi-automatic loading
• Export SH15 / domestic PCL-181 family</x:v>
      </x:c>
      <x:c r="F263" s="38" t="str">
        <x:v>https://www.armyrecognition.com/archives/archives-land-defense/land-defense-2018/airshow-china-2018-new-sh15-155mm-8x8-self-propelled-howitzer
https://odin.t2com.army.mil/WEG/Asset/PCL-181_</x:v>
      </x:c>
    </x:row>
    <x:row r="264" ht="210" customHeight="1">
      <x:c r="A264" s="37" t="str">
        <x:v>NORINCO</x:v>
      </x:c>
      <x:c r="B264" s="32" t="str">
        <x:v>Artillery</x:v>
      </x:c>
      <x:c r="C264" s="32" t="str">
        <x:v>SR5 Universal Multiple Rocket Launcher</x:v>
      </x:c>
      <x:c r="D264" s="32" t="str">
        <x:v>• Rocket calibres: 122 mm / 220 mm</x:v>
      </x:c>
      <x:c r="E264" s="32" t="str">
        <x:v>• Guided and unguided rocket compatibility
• Automated pod loading
• Universal modular launcher</x:v>
      </x:c>
      <x:c r="F264" s="38" t="str">
        <x:v>https://www.armyrecognition.com/military-products/army/artillery-vehicles-and-weapons/multiple-launch-rocket-systems/sr5-gmlrs-mlrs</x:v>
      </x:c>
    </x:row>
    <x:row r="265" ht="210" customHeight="1">
      <x:c r="A265" s="37" t="str">
        <x:v>NORINCO</x:v>
      </x:c>
      <x:c r="B265" s="32" t="str">
        <x:v>Artillery</x:v>
      </x:c>
      <x:c r="C265" s="32" t="str">
        <x:v>Type 90B 122 mm MLRS</x:v>
      </x:c>
      <x:c r="D265" s="32" t="str">
        <x:v>• Calibre: 122 mm
• Ready rockets: 40; reload pack: additional 40
• Range: ~20–40 km
• Full 40-round salvo: ~18–20 sec
• Road range: ~800 km
• Dimensions: ~9.31 m L × 2.49 m W × 3.02 m H
• Crew: 5
• Ready rockets: 40
• Reload rockets: additional 40
• Reload time: ~10–12 min
• Standard rocket range: ~20 km
• Extended-range rocket range: up to ~40 km</x:v>
      </x:c>
      <x:c r="E265" s="32" t="str">
        <x:v>• Truck-mounted multiple rocket launcher
• Integrated reload system</x:v>
      </x:c>
      <x:c r="F265" s="38" t="str">
        <x:v>https://www.armyrecognition.com/military-products/army/artillery-vehicles-and-weapons/multiple-launch-rocket-systems/type-90b-122mm-mlrs-china-uk
https://date.army.gov.au/equipment/type-90b</x:v>
      </x:c>
    </x:row>
    <x:row r="266" ht="210" customHeight="1">
      <x:c r="A266" s="37" t="str">
        <x:v>NORINCO</x:v>
      </x:c>
      <x:c r="B266" s="32" t="str">
        <x:v>Ammunition</x:v>
      </x:c>
      <x:c r="C266" s="32" t="str">
        <x:v>155 mm GP6 Laser-Guided Projectile</x:v>
      </x:c>
      <x:c r="D266" s="32" t="str">
        <x:v>• Calibre: 155 mm
• Published range: ~6–25 km
• First-round hit probability: ≥90% in referenced export description
• Minimum range: ~6 km
• Maximum range: ~25 km
• Manufacturer-claimed first-round hit probability: ≥90%
• Laser coding: multi-code cooperative multi-target engagement capability reported</x:v>
      </x:c>
      <x:c r="E266" s="32" t="str">
        <x:v>• Laser-guided precision artillery projectile
• Compatible with 155 mm artillery systems including AH4-class howitzers</x:v>
      </x:c>
      <x:c r="F266" s="38" t="str">
        <x:v>https://www.armyrecognition.com/archives/archives-land-defense/land-defense-2019/norinco-ah4-155-mm-howitzers-for-united-arab-emirates-army</x:v>
      </x:c>
    </x:row>
    <x:row r="267" ht="210" customHeight="1">
      <x:c r="A267" s="37" t="str">
        <x:v>NORINCO</x:v>
      </x:c>
      <x:c r="B267" s="32" t="str">
        <x:v>Small Arms</x:v>
      </x:c>
      <x:c r="C267" s="32" t="str">
        <x:v>CS/LR4 7.62 mm Sniper Rifle</x:v>
      </x:c>
      <x:c r="D267" s="32" t="str">
        <x:v>• Calibre: 7.62×51 mm
• Weight: ~6 kg
• Overall length: ~1,100 mm
• Barrel: ~600 mm
• Magazine: 5 rounds
• Muzzle velocity: ~850 m/s
• Effective range: ~600 m
• Calibre: 7.62×51 mm NATO
• Empty weight: ~6.0 kg
• Loaded weight: ~6.2 kg
• Barrel length: ~600 mm
• Maximum range: ~2,500 m
• Accuracy claim: ~1 MOA within 300 m</x:v>
      </x:c>
      <x:c r="E267" s="32" t="str">
        <x:v>• Bolt-action precision rifle
• Free-floating barrel
• Adjustable stock</x:v>
      </x:c>
      <x:c r="F267" s="38" t="str">
        <x:v>https://gunspec.io/en/firearms/norinco-cs-lr4</x:v>
      </x:c>
    </x:row>
    <x:row r="268" ht="210" customHeight="1">
      <x:c r="A268" s="37" t="str">
        <x:v>NORINCO</x:v>
      </x:c>
      <x:c r="B268" s="32" t="str">
        <x:v>Small Arms</x:v>
      </x:c>
      <x:c r="C268" s="32" t="str">
        <x:v>QBU-10 12.7 mm Anti-Materiel Rifle</x:v>
      </x:c>
      <x:c r="D268" s="32" t="str">
        <x:v>• Calibre: 12.7×108 mm
• Weight: ~13.3 kg
• Overall length: 1,380 mm
• Barrel: ~780 mm
• Magazine: 5 rounds
• Muzzle velocity: ~820 m/s
• Effective range: ~1,500 m
• Maximum range: up to ~4,000 m
• Empty weight: ~13.3 kg
• Loaded weight: ~14.0 kg
• Barrel length: 780 mm
• Muzzle energy: ~16.2 kJ
• Rate of fire: ~10 rounds/min</x:v>
      </x:c>
      <x:c r="E268" s="32" t="str">
        <x:v>• Semi-automatic / precision anti-materiel weapon</x:v>
      </x:c>
      <x:c r="F268" s="38" t="str">
        <x:v>https://gunspec.io/en/firearms/qbu-10</x:v>
      </x:c>
    </x:row>
    <x:row r="269" ht="210" customHeight="1">
      <x:c r="A269" s="37" t="str">
        <x:v>NORINCO</x:v>
      </x:c>
      <x:c r="B269" s="32" t="str">
        <x:v>Small Arms</x:v>
      </x:c>
      <x:c r="C269" s="32" t="str">
        <x:v>QJY-88 5.8 mm Machine Gun</x:v>
      </x:c>
      <x:c r="D269" s="32" t="str">
        <x:v>• Calibre: 5.8 mm
• Overall length: 1,151 mm
• Barrel length: 600 mm
• Weight: ~7.6 kg bipod / 11.8 kg tripod configuration
• Rate of fire: 650–700 rounds/min
• Muzzle velocity: ~895 m/s
• Effective range: ~800–1,000 m
• Feed: 100/200-round belt
• Calibre: 5.8×42 mm
• Length: 1,151 mm bipod / 1,321 mm tripod
• Feed: 100- or 200-round belt</x:v>
      </x:c>
      <x:c r="E269" s="32" t="str">
        <x:v>• Gas-operated light/general-purpose machine gun</x:v>
      </x:c>
      <x:c r="F269" s="38" t="str">
        <x:v>https://odin.t2com.army.mil/WEG/Asset/QJY-88_Chinese_5.8mm_Light_Machine_Gun
https://development.weaponsystems.net/system/1059-QJY88
https://gunspec.io/en/firearms/qjy-88</x:v>
      </x:c>
    </x:row>
    <x:row r="270" ht="210" customHeight="1">
      <x:c r="A270" s="37" t="str">
        <x:v>NORINCO</x:v>
      </x:c>
      <x:c r="B270" s="32" t="str">
        <x:v>Protected Vehicles</x:v>
      </x:c>
      <x:c r="C270" s="32" t="str">
        <x:v>VN1 8×8 IFV</x:v>
      </x:c>
      <x:c r="D270" s="32" t="str">
        <x:v>• Combat weight: ~20 t
• Maximum road speed: ~100 km/h
• Water speed: ~8 km/h
• Road range: ~800 km
• Crew: 2 + 11
• Dimensions: ~8.0 m L × 3.02 m W × 3.3 m H
• Main gun: 30 mm; secondary 7.62 mm; 40 mm AGL / ATGM options</x:v>
      </x:c>
      <x:c r="E270" s="32" t="str">
        <x:v>• Amphibious 8×8 infantry fighting vehicle
• Ballistic protection against 12.7 mm frontal / 7.62 mm side threats as reported</x:v>
      </x:c>
      <x:c r="F270" s="38" t="str">
        <x:v>https://www.armyrecognition.com/defense-industry/asia/china?id=16413&amp;option=com_content&amp;view=article</x:v>
      </x:c>
    </x:row>
    <x:row r="271" ht="210" customHeight="1">
      <x:c r="A271" s="37" t="str">
        <x:v>NORINCO</x:v>
      </x:c>
      <x:c r="B271" s="32" t="str">
        <x:v>Protected Vehicles</x:v>
      </x:c>
      <x:c r="C271" s="32" t="str">
        <x:v>VN22 6×6</x:v>
      </x:c>
      <x:c r="D271" s="32" t="str">
        <x:v>• Configuration: 6×6
• Crew/capacity: 3 + 8
• Main armament: 30 mm cannon on IFV version
• Maximum speed: &gt;110 km/h
• Payload: ~7.5 t
• Crew: 3 + up to 8 dismounts
• Maximum road speed: &gt;110 km/h
• IFV armament: 30 mm autocannon
• VN22B assault-gun armament: 105 mm cannon
• ATGM option: 2 × HJ-12</x:v>
      </x:c>
      <x:c r="E271" s="32" t="str">
        <x:v>• Mission variants include VN22B 105 mm gun configuration
• HJ-12 ATGM integration reported</x:v>
      </x:c>
      <x:c r="F271" s="38" t="str">
        <x:v>https://www.armyrecognition.com/news/army-news/2026/chinas-vn22-6x6-armored-vehicle-appears-at-uzbekistans-military-technical-institute</x:v>
      </x:c>
    </x:row>
    <x:row r="272" ht="210" customHeight="1">
      <x:c r="A272" s="37" t="str">
        <x:v>NORINCO</x:v>
      </x:c>
      <x:c r="B272" s="32" t="str">
        <x:v>Protected Vehicles</x:v>
      </x:c>
      <x:c r="C272" s="32" t="str">
        <x:v>VT4 / MBT-3000</x:v>
      </x:c>
      <x:c r="D272" s="32" t="str">
        <x:v>• Combat weight: ~52 t
• Crew: 3
• Main armament: 125 mm smoothbore cannon
• Secondary: 7.62 mm coaxial MG; 12.7 mm RWS
• Maximum speed: ~70 km/h
• Operational range: ~500 km
• Dimensions: ~10.1 m L × 3.5 m W × 2.4 m H
• Dimensions: ~10.10 m L × 3.50 m W × 2.40 m H
• Engine: ~1,300 hp turbocharged diesel
• Range: ~500 km
• Main-gun ammunition: 38 rounds total; 22 in autoloader
• Autoloader rate: ~8 rounds/min
• Fording with preparation: ~4–5 m
• Trench: ~2.7 m
• Vertical obstacle: ~1.2 m
• Gradient: ~60%</x:v>
      </x:c>
      <x:c r="E272" s="32" t="str">
        <x:v>• Composite/ERA protection
• Optional GL5 active protection system
• Autoloader and modern fire-control suite</x:v>
      </x:c>
      <x:c r="F272" s="38" t="str">
        <x:v>https://www.armyrecognition.com/military-products/army/main-battle-tanks/main-battle-tanks/vt4-mbt-3000-china-uk
https://www.armyrecognition.com/archives/archives-land-defense/land-defense-2021/chinese-made-vt4-main-battle-tank-mbt-is-now-officially-in-service-with-pakistan</x:v>
      </x:c>
    </x:row>
    <x:row r="273" ht="210" customHeight="1">
      <x:c r="A273" s="37" t="str">
        <x:v>NORINCO</x:v>
      </x:c>
      <x:c r="B273" s="32" t="str">
        <x:v>Missiles</x:v>
      </x:c>
      <x:c r="C273" s="32" t="str">
        <x:v>HJ-10 / Red Arrow 10</x:v>
      </x:c>
      <x:c r="D273" s="32" t="str">
        <x:v>• Missile mass: ~43 kg
• Range: ~3–10 km
• Missile length: ~1,850 mm
• Diameter: ~165–170 mm
• Missile mass: ~43 kg in public AFT-10 reference
• Minimum range: ~3 km
• Maximum range: ~10 km
• Cruise/search speed: ~150 m/s
• Terminal attack speed: ~230–250 m/s
• Guidance: fibre-optic datalink + TV/thermal imaging seeker / inertial
• Warhead: tandem HEAT / mission-dependent</x:v>
      </x:c>
      <x:c r="E273" s="32" t="str">
        <x:v>• Long-range anti-tank guided missile
• Fibre-optic / laser-guided variants reported
• Vehicle-mounted launcher configurations</x:v>
      </x:c>
      <x:c r="F273" s="38" t="str">
        <x:v>https://www.armyrecognition.com/archives/archives-land-defense/2019/idex-2019-norinco-displayed-red-arrow-10-antitank-guided-missiles-on-vn1-8x8-apc
https://www.drdo.gov.in/drdo/sites/default/files/drdo-news-documents/NPC_05-07_June_2021.pdf</x:v>
      </x:c>
    </x:row>
    <x:row r="274" ht="210" customHeight="1">
      <x:c r="A274" s="37" t="str">
        <x:v>NORINCO</x:v>
      </x:c>
      <x:c r="B274" s="32" t="str">
        <x:v>Missiles</x:v>
      </x:c>
      <x:c r="C274" s="32" t="str">
        <x:v>HJ-12 / Red Arrow 12 ATGM</x:v>
      </x:c>
      <x:c r="D274" s="32" t="str">
        <x:v>• Missile mass: ~17 kg
• System (missile + CLU) mass: ~22 kg
• Launch tube: ~1,250 × 170 mm
• Missile: ~1,050 mm length × 127 mm diameter
• TV-seeker range: up to ~4 km
• IR-seeker range: up to ~2 km
• Penetration: up to ~1,100 mm RHA after ERA</x:v>
      </x:c>
      <x:c r="E274" s="32" t="str">
        <x:v>• Fire-and-forget anti-tank guided missile
• Tandem HEAT warhead
• Single-soldier portable system</x:v>
      </x:c>
      <x:c r="F274" s="38" t="str">
        <x:v>https://www.armyrecognition.com/military-products/army/anti-tank-systems-and-vehicles/anti-tank-guided-missiles/hj-12-red-arrow-12-anti-tank-multirole-fire-and-forget-missile-technical-data-sheet-video-pictures-11111153</x:v>
      </x:c>
    </x:row>
    <x:row r="275" ht="210" customHeight="1">
      <x:c r="A275" s="37" t="str">
        <x:v>NORINCO</x:v>
      </x:c>
      <x:c r="B275" s="32" t="str">
        <x:v>Missiles</x:v>
      </x:c>
      <x:c r="C275" s="32" t="str">
        <x:v>Sky Dragon 50</x:v>
      </x:c>
      <x:c r="D275" s="32" t="str">
        <x:v>• Missile: DK-10A
• Engagement range: ~3–50 km
• Engagement altitude: ~30 m to 20 km
• Missile speed: &gt;1,000 m/s
• Warhead: ~20 kg HE-fragmentation
• Launcher: 4 missiles
• Radar detection range: ~130 km
• Simultaneous engagements: up to 4 targets
• Launcher load: 4 ready missiles
• Missile engagement range: 3–50 km
• Missile velocity: &gt;1,000 m/s
• Maximum manoeuvre load: ~38 g
• Launcher crew: ~3
• Battery can engage up to ~12 targets with multiple launchers; launcher-level reference 4 targets</x:v>
      </x:c>
      <x:c r="E275" s="32" t="str">
        <x:v>• Medium-range surface-to-air missile system
• Truck-mounted launcher/radar architecture</x:v>
      </x:c>
      <x:c r="F275" s="38" t="str">
        <x:v>https://www.armyrecognition.com/military-products/army/air-defense-systems/air-defense-vehicles/sky-dragon-50-gas2-medium-range-surface-to-air-defense-missile-technical-data-sheet-specifications-pictures-video-12401163</x:v>
      </x:c>
    </x:row>
    <x:row r="276" ht="210" customHeight="1">
      <x:c r="A276" s="37" t="str">
        <x:v>Tata Advanced Systems</x:v>
      </x:c>
      <x:c r="B276" s="32" t="str">
        <x:v>Artillery</x:v>
      </x:c>
      <x:c r="C276" s="32" t="str">
        <x:v>105 mm Mounted Gun System</x:v>
      </x:c>
      <x:c r="D276" s="32" t="str">
        <x:v>• Calibre: 105 mm
• Base gun: 105 mm Light Field Gun
• Carrier: 6×6, 25-ton wheeled vehicle</x:v>
      </x:c>
      <x:c r="E276" s="32" t="str">
        <x:v>• Hydraulic outriggers
• Electronic positioning and control
• Shoot-and-scoot capability
• Autonomous operation</x:v>
      </x:c>
      <x:c r="F276" s="38" t="str">
        <x:v>https://www.tataadvancedsystems.com/mounted-gun-system105</x:v>
      </x:c>
    </x:row>
    <x:row r="277" ht="210" customHeight="1">
      <x:c r="A277" s="37" t="str">
        <x:v>Tata Advanced Systems</x:v>
      </x:c>
      <x:c r="B277" s="32" t="str">
        <x:v>Artillery</x:v>
      </x:c>
      <x:c r="C277" s="32" t="str">
        <x:v>155/52 mm Mounted Gun System</x:v>
      </x:c>
      <x:c r="D277" s="32" t="str">
        <x:v>• Calibre: 155 mm / 52 calibre
• Platform: 8×8 all-terrain vehicle
• Maximum road speed: up to 85 km/h
• Road range: ~600 km without refuelling
• Ammunition: NATO and other compatible 155 mm ammunition</x:v>
      </x:c>
      <x:c r="E277" s="32" t="str">
        <x:v>• Truck-mounted gun-howitzer
• High tactical and road mobility
• Extended-range projectile compatibility
• Traditional gun/howitzer indirect-fire roles</x:v>
      </x:c>
      <x:c r="F277" s="38" t="str">
        <x:v>https://www.tataadvancedsystems.com/mounted-gun-system155</x:v>
      </x:c>
    </x:row>
    <x:row r="278" ht="210" customHeight="1">
      <x:c r="A278" s="37" t="str">
        <x:v>Tata Advanced Systems</x:v>
      </x:c>
      <x:c r="B278" s="32" t="str">
        <x:v>Artillery</x:v>
      </x:c>
      <x:c r="C278" s="32" t="str">
        <x:v>40 mm L70 Air-Defence Gun Upgrade</x:v>
      </x:c>
      <x:c r="D278" s="32" t="str">
        <x:v>• Calibre: 40 mm
• Battery backup: 10 hours</x:v>
      </x:c>
      <x:c r="E278" s="32" t="str">
        <x:v>• Microprocessor-based all-electric drives replace electro-hydraulic servo control
• Muzzle Velocity Radar
• Commercial mains / generator charging
• Manual backup</x:v>
      </x:c>
      <x:c r="F278" s="38" t="str">
        <x:v>https://www.tataadvancedsystems.com/air-defence-gun40mm</x:v>
      </x:c>
    </x:row>
    <x:row r="279" ht="210" customHeight="1">
      <x:c r="A279" s="37" t="str">
        <x:v>Tata Advanced Systems</x:v>
      </x:c>
      <x:c r="B279" s="32" t="str">
        <x:v>Artillery</x:v>
      </x:c>
      <x:c r="C279" s="32" t="str">
        <x:v>ATAGS — Advanced Towed Artillery Gun System</x:v>
      </x:c>
      <x:c r="D279" s="32" t="str">
        <x:v>• Calibre: 155 mm
• Barrel: 52 calibre
• Towed artillery gun
• Published maximum range: up to ~48 km with suitable ammunition
• Digital fire control / automatic laying architecture
• Designed for NATO-compatible 155 mm ammunition ecosystem
• Technical values vary by production/configuration; not all parameters are publicly disclosed
• Public cross-source ATAGS range: up to ~48 km with ERFB-BB-class ammunition
• Burst rate: 3 rounds / ~30 sec
• Intense rate: up to ~12 rounds / 3 min
• Sustained rate: ~60 rounds/hour in public ATAGS reporting
• Elevation: approximately -5° to +75°
• Traverse: approximately ±30°
• Self-propelled movement: up to ~18 km/h
• Maximum towing speed: ~80 km/h</x:v>
      </x:c>
      <x:c r="E279" s="32" t="str">
        <x:v>• High mobility
• Shoot-and-scoot
• Automatic laying
• Integrated electronics
• Day/night operations
• Automatic Ammunition Handling System including crane
• All-electric gun drives
• Digital fire control / INS / muzzle-velocity radar integration
• Shoot-and-scoot capability
• Tata Advanced Systems was one of the DRDO-nominated development agencies</x:v>
      </x:c>
      <x:c r="F279" s="38" t="str">
        <x:v>https://www.tataadvancedsystems.com/weapon-systems
https://www.tataadvancedsystems.com/
https://www.tataadvancedsystems.com/advanced-towed-ags
https://drdo.gov.in/drdo/en/offerings/products/advanced-towed-artillery-gun-system-atags
https://www.ajaishukla.com/2016/12/indian-artillery-gun-shines-in-trials.html
https://timesofindia.indiatimes.com/india/army-to-test-indigenous-artillery-system-with-48-km-strike-range/articleshow/79831376.cms</x:v>
      </x:c>
    </x:row>
    <x:row r="280" ht="210" customHeight="1">
      <x:c r="A280" s="37" t="str">
        <x:v>Tata Advanced Systems</x:v>
      </x:c>
      <x:c r="B280" s="32" t="str">
        <x:v>Artillery</x:v>
      </x:c>
      <x:c r="C280" s="32" t="str">
        <x:v>Pinaka Multi Barrel Rocket Launcher</x:v>
      </x:c>
      <x:c r="D280" s="32" t="str">
        <x:v>• Launcher family: multi-barrel rocket launcher
• Standard launcher configuration: 12 rockets per launcher
• Rocket calibre: 214 mm class
• Variant range depends on rocket: Mk-I/Mk-II/guided/extended-range families
• L&amp;T and TASL have participated in manufacture/upgrade programs
• Launcher class: 214 mm Pinaka family
• Launcher tubes: 12 rockets
• Typical Mk-I range: ~37.5 km; enhanced/extended variants publicly exceed this, ammunition dependent
• Full salvo time: ~44 sec in DRDO/Indian Army public references</x:v>
      </x:c>
      <x:c r="E280" s="32" t="str">
        <x:v>• Rapid salvo fire
• Area/precision fire depending on rocket
• Automated launcher/fire-control integration
• All-weather indirect area-fire system
• Precision digital launcher
• Hydraulic outriggers
• Indigenous servo and fire-control subsystems
• High-volume rapid fire</x:v>
      </x:c>
      <x:c r="F280" s="38" t="str">
        <x:v>https://www.tataadvancedsystems.com/weapon-systems
https://www.tataadvancedsystems.com/
https://www.tataadvancedsystems.com/pinaka-multi-barrel-rocket-launcher
https://drdo.gov.in/drdo/en/offerings/products/pinaka-multi-barrel-rocket-launcher-system</x:v>
      </x:c>
    </x:row>
    <x:row r="281" ht="210" customHeight="1">
      <x:c r="A281" s="37" t="str">
        <x:v>Tata Advanced Systems</x:v>
      </x:c>
      <x:c r="B281" s="32" t="str">
        <x:v>Protected Vehicles</x:v>
      </x:c>
      <x:c r="C281" s="32" t="str">
        <x:v>Advanced Armoured Tracked Platform (AATP)</x:v>
      </x:c>
      <x:c r="D281" s="32" t="str">
        <x:v>• Configuration: tracked amphibious platform
• Detailed dimensions/weight/power data not publicly disclosed in authoritative accessible sources during this pass</x:v>
      </x:c>
      <x:c r="E281" s="32" t="str">
        <x:v>• Modular amphibious tracked platform
• Configurable for command &amp; control, air-defence guns/missiles, weapon systems and electronic warfare
• Jointly developed with DRDO/VRDE</x:v>
      </x:c>
      <x:c r="F281" s="38" t="str">
        <x:v>https://www.tataadvancedsystems.com/
https://www.linkedin.com/posts/tataadvanced_tataadvancedsystems-drdo-vrde-activity-7482396008606343169-6iMd</x:v>
      </x:c>
    </x:row>
    <x:row r="282" ht="210" customHeight="1">
      <x:c r="A282" s="37" t="str">
        <x:v>Tata Advanced Systems</x:v>
      </x:c>
      <x:c r="B282" s="32" t="str">
        <x:v>Protected Vehicles</x:v>
      </x:c>
      <x:c r="C282" s="32" t="str">
        <x:v>Light Armoured Multi-Role Vehicle (LAMV) 4×4</x:v>
      </x:c>
      <x:c r="D282" s="32" t="str">
        <x:v>• Configuration: 4×4 light armoured multi-role vehicle
• NATO-compliant design emphasis
• Exact GVW, payload, engine and protection depend on configuration and are not fully public
• Configuration: 4×4
• Detailed dimensions/weight not publicly disclosed in authoritative accessible sources during this pass
• Merlin variant — Configuration: light armoured multi-role vehicle; engine: 3.3-litre diesel; power: ~185 bhp; torque: ~450 Nm; protection: STANAG 4569 Level 1 reported; weapon provision reported for 7.62 mm medium machine gun turret and 40 mm automatic grenade launcher; anti-tank missile integration reported.</x:v>
      </x:c>
      <x:c r="E282" s="32" t="str">
        <x:v>• Tactical mobility
• Survivability
• Mission modularity
• Patrol/reconnaissance and specialist roles
• NATO-compliant design
• Reconnaissance and combat roles
• Mission-adaptable protection and payload architecture
• Indigenously designed and manufactured
• Merlin variant — Light armoured multi-role platform; modular weapon/protection configuration.</x:v>
      </x:c>
      <x:c r="F282" s="38" t="str">
        <x:v>https://www.tataadvancedsystems.com/public/index
https://tasl.catpl.co.in/
https://www.tataadvancedsystems.com/public/
https://www.drdo.gov.in/drdo/sites/default/files/drdo-news-documents/NPC%2014-16%20Aug%202021.pdf</x:v>
      </x:c>
    </x:row>
    <x:row r="283" ht="210" customHeight="1">
      <x:c r="A283" s="37" t="str">
        <x:v>Tata Advanced Systems</x:v>
      </x:c>
      <x:c r="B283" s="32" t="str">
        <x:v>Protected Vehicles</x:v>
      </x:c>
      <x:c r="C283" s="32" t="str">
        <x:v>QRFV Medium</x:v>
      </x:c>
      <x:c r="D283" s="32" t="str">
        <x:v>• Quick Reaction Fighting Vehicle, medium class
• Delivered to Indian Army
• 4×4 tactical protected vehicle family
• Detailed current technical sheet not publicly comprehensive</x:v>
      </x:c>
      <x:c r="E283" s="32" t="str">
        <x:v>• Rapid reaction
• Protected mobility
• Weapon/mission-system integration</x:v>
      </x:c>
      <x:c r="F283" s="38" t="str">
        <x:v>https://www.tataadvancedsystems.com/</x:v>
      </x:c>
    </x:row>
    <x:row r="284" ht="210" customHeight="1">
      <x:c r="A284" s="37" t="str">
        <x:v>Tata Advanced Systems</x:v>
      </x:c>
      <x:c r="B284" s="32" t="str">
        <x:v>Protected Vehicles</x:v>
      </x:c>
      <x:c r="C284" s="32" t="str">
        <x:v>Tata Armoured Personnel Carrier 4x4 / Mine Protected Vehicle</x:v>
      </x:c>
      <x:c r="D284" s="32" t="str">
        <x:v>• Configuration: 4x4; engine: Cummins ISBe diesel, 242 hp @ 2500 rpm; torque: 925 Nm @ 1200–1700 rpm; GVW: 14,300 kg; payload: 1,400 kg; max speed: 80 km/h; gradeability: 30°; minimum turning circle: 16 m; power-to-weight: ~16 hp/t; crew: driver + 13; ballistic protection: NIJ Level III; blast protection reported as 14 kg TNT under hull and 21 kg TNT under wheel; protected/armoured glazing; 10 firing ports; V-shaped hull; run-flat inserts.</x:v>
      </x:c>
      <x:c r="E284" s="32" t="str">
        <x:v>• Mine/IED protection, troop transport, escort/protection and counter-insurgency roles; side-facing suspended troop seats; four-point harnesses; roof hatch/weapon provision depending configuration.</x:v>
      </x:c>
      <x:c r="F284" s="38" t="str">
        <x:v>https://www.defenceexim.gov.in/WriteReadData/modN.pdf
https://www.team-bhp.com/forum/commercial-vehicles/118353-details-tata-range-defence-vehicles.html</x:v>
      </x:c>
    </x:row>
    <x:row r="285" ht="210" customHeight="1">
      <x:c r="A285" s="37" t="str">
        <x:v>Tata Advanced Systems</x:v>
      </x:c>
      <x:c r="B285" s="32" t="str">
        <x:v>Protected Vehicles</x:v>
      </x:c>
      <x:c r="C285" s="32" t="str">
        <x:v>Tata High Mobility Vehicles</x:v>
      </x:c>
      <x:c r="D285" s="32" t="str">
        <x:v>• Military truck family: 4×4, 6×6, 8×8 and 12×12 axle configurations
• Customised for troop, ammunition and combat-support carriage
• Exact payload/power vary by chassis/configuration</x:v>
      </x:c>
      <x:c r="E285" s="32" t="str">
        <x:v>• High mobility logistics
• Troop/ammunition transport
• Tactical support</x:v>
      </x:c>
      <x:c r="F285" s="38" t="str">
        <x:v>https://www.tataadvancedsystems.com/public/</x:v>
      </x:c>
    </x:row>
    <x:row r="286" ht="210" customHeight="1">
      <x:c r="A286" s="37" t="str">
        <x:v>Tata Advanced Systems</x:v>
      </x:c>
      <x:c r="B286" s="32" t="str">
        <x:v>Protected Vehicles</x:v>
      </x:c>
      <x:c r="C286" s="32" t="str">
        <x:v>Tata HMV 3138 8x8</x:v>
      </x:c>
      <x:c r="D286" s="32" t="str">
        <x:v>• Configuration: 8x8; platform power class: 380–450 hp for HMV 8x8 family; used as launcher/carrier and C4ISR platform; Tata identifies HMV 8x8 as a DRDO-inducted platform.</x:v>
      </x:c>
      <x:c r="E286" s="32" t="str">
        <x:v>• High mobility; launcher/carrier; C4ISR; combat-support applications.</x:v>
      </x:c>
      <x:c r="F286" s="38" t="str">
        <x:v>https://www.tataadvancedsystems.com/tactical-and-combat-support-vehicles
https://www.tataadvancedsystems.com/index</x:v>
      </x:c>
    </x:row>
    <x:row r="287" ht="210" customHeight="1">
      <x:c r="A287" s="37" t="str">
        <x:v>Tata Advanced Systems</x:v>
      </x:c>
      <x:c r="B287" s="32" t="str">
        <x:v>Protected Vehicles</x:v>
      </x:c>
      <x:c r="C287" s="32" t="str">
        <x:v>Tata Mine Protected Vehicle family</x:v>
      </x:c>
      <x:c r="D287" s="32" t="str">
        <x:v>• Mine-protected 4×4/other armoured vehicle family
• Designed for troop transport/security
• Published examples include 4×4 APC configurations
• One public technical catalogue cites 242 hp and 925 Nm for a Tata 4×4 MPV configuration
• Protection is configuration dependent; published catalogue cites NIJ Level III ballistic and &gt;STANAG IV blast for one configuration</x:v>
      </x:c>
      <x:c r="E287" s="32" t="str">
        <x:v>• Mine/IED protection
• Run-flat inserts
• Troop transport
• Security/escort roles</x:v>
      </x:c>
      <x:c r="F287" s="38" t="str">
        <x:v>https://www.tataadvancedsystems.com/public/
https://www.defenceexim.gov.in/WriteReadData/modN-pdf</x:v>
      </x:c>
    </x:row>
    <x:row r="288" ht="210" customHeight="1">
      <x:c r="A288" s="37" t="str">
        <x:v>Tata Advanced Systems</x:v>
      </x:c>
      <x:c r="B288" s="32" t="str">
        <x:v>Protected Vehicles</x:v>
      </x:c>
      <x:c r="C288" s="32" t="str">
        <x:v>WhAP / Kestrel 8×8</x:v>
      </x:c>
      <x:c r="D288" s="32" t="str">
        <x:v>• Configuration: 8×8 wheeled armoured platform
• Co-developed with DRDO
• Amphibious-capable architecture in published configurations
• Mission/weapon configurations vary
• First lot handed to Royal Moroccan Army in 2025
• Detailed power, weight and protection vary by variant/customer
• Combat weight: ~22.5–26 t
• Dimensions: ~7.8 m L × 2.95 m W × 2.28 m H
• Crew/capacity: 2 + 10
• Engine: ~600 hp
• Maximum road speed: ~100 km/h
• Amphibious speed: ~10 km/h
• Road range: ~500 km
• Trench crossing: ~2 m
• Vertical obstacle: ~0.7 m
• Turning-circle radius: ~19 m
• Main armament options: 30 mm cannon; 12.7 mm RWS; 7.62 mm coaxial MG
• ICV variant — Configuration: 8x8 wheeled armoured amphibious platform; seating: 10+2; protection: blast, ballistic and NBC; variants reported: IFV/AFV, CBRN, reconnaissance/support, MEV, engineer squad, mortar carrier, command, ATGM; amphibious infantry combat vehicle architecture.</x:v>
      </x:c>
      <x:c r="E288" s="32" t="str">
        <x:v>• Infantry protected mobility
• Modular mission systems
• Amphibious capability
• Weapon/turret integration
• Exportable platform
• Fully amphibious with rear waterjets
• Independent hydropneumatic suspension
• CTIS and run-flats
• Ballistic protection scalable to STANAG Level IV; bottom blast protection around Level III in public data
• DRDO/Tata indigenous 8×8 platform
• ICV variant — Modular/scalable mission configuration; all-terrain mobility; amphibious capability; multiple mission variants.</x:v>
      </x:c>
      <x:c r="F288" s="38" t="str">
        <x:v>https://www.tataadvancedsystems.com/
https://www.tataadvancedsystems.com/public/
https://www.armyrecognition.com/military-products/army/armoured-personnel-carriers/wheeled-vehicles/kestrel-8x8-india-uk
https://www.armyrecognition.com/archives/archives-land-defense/land-defense-2022/indian-police-first-to-receive-tata-kestrel-whap-8x8-armoured-vehicles
https://www.tataadvancedsystems.com/index.php
https://www.tatamotors.com/press-releases/tata-motors-to-showcase-its-indigenously-build-combat-vehicles-at-the-bimstec-nations-summit-2018/</x:v>
      </x:c>
    </x:row>
    <x:row r="289" ht="210" customHeight="1">
      <x:c r="A289" s="37" t="str">
        <x:v>Tata Advanced Systems</x:v>
      </x:c>
      <x:c r="B289" s="32" t="str">
        <x:v>UAVs/Drones</x:v>
      </x:c>
      <x:c r="C289" s="32" t="str">
        <x:v>ALS-50 Loitering Munition</x:v>
      </x:c>
      <x:c r="D289" s="32" t="str">
        <x:v>• Type: VTOL unmanned aerial vehicle
• Designed/developed/manufactured by TASL
• Exact MTOW, endurance, payload and datalink parameters are configuration/customer dependent and not comprehensively disclosed publicly
• Length: ~2.4 m
• Wingspan: ~3.8 m
• Maximum take-off weight: 50 kg
• Cruise speed: ~100 km/h
• Endurance: &gt;1 h
• Range: &gt;50 km for original ALS-50; ALS family/Mk II tactical engagement advertised up to 150 km
• Warhead: up to 6 kg
• Operating temperature: -30°C to +50°C
• Launch/recovery altitude: up to ~3,000 m AMSL
• Service ceiling: ~4,000 m AMSL</x:v>
      </x:c>
      <x:c r="E289" s="32" t="str">
        <x:v>• VTOL operation
• Tactical ISR / payload carriage
• No runway required
• VTOL transition to fixed-wing flight
• EO/IR sensor
• Anti-personnel and anti-armour warhead options including EFP
• Autonomous precision-strike capability</x:v>
      </x:c>
      <x:c r="F289" s="38" t="str">
        <x:v>https://www.tataadvancedsystems.com/index
https://www.janes.com/defence-intelligence-insights/defence-news/air/aero-india-2023-iaf-to-receive-100-loitering-munitions-from-tasl
https://www.ddpmod.gov.in/en/resources/products/loitering-munition-system-als-50-and-als-50-mk-ii
https://www.tata.com/newsroom/business/tata-advanced-systems-serve-defend</x:v>
      </x:c>
    </x:row>
    <x:row r="290" ht="210" customHeight="1">
      <x:c r="A290" s="37" t="str">
        <x:v>Tata Advanced Systems</x:v>
      </x:c>
      <x:c r="B290" s="32" t="str">
        <x:v>UAVs/Drones</x:v>
      </x:c>
      <x:c r="C290" s="32" t="str">
        <x:v>ALS-50M / larger ALS UAV family</x:v>
      </x:c>
      <x:c r="D290" s="32" t="str">
        <x:v>• VTOL UAS family / development lineage
• Payload/endurance figures vary by variant and public disclosure
• Intended for tactical surveillance and mission payload integration</x:v>
      </x:c>
      <x:c r="E290" s="32" t="str">
        <x:v>• Vertical take-off/landing
• ISR
• Modular payloads</x:v>
      </x:c>
      <x:c r="F290" s="38" t="str">
        <x:v>https://www.tataadvancedsystems.com/</x:v>
      </x:c>
    </x:row>
    <x:row r="291" ht="210" customHeight="1">
      <x:c r="A291" s="37" t="str">
        <x:v>Tata Advanced Systems</x:v>
      </x:c>
      <x:c r="B291" s="32" t="str">
        <x:v>UAVs/Drones</x:v>
      </x:c>
      <x:c r="C291" s="32" t="str">
        <x:v>Rakshak VTOL / IVTOL UAV</x:v>
      </x:c>
      <x:c r="D291" s="32" t="str">
        <x:v>• All-up weight: ~18 kg
• Range: 15+ km; extended-range configuration up to ~25 km
• Endurance: up to 2 h
• Launch altitude: up to 3,000 m AMSL</x:v>
      </x:c>
      <x:c r="E291" s="32" t="str">
        <x:v>• Autonomous VTOL take-off/landing with fixed-wing cruise
• Day/night payload support
• Suitable for restricted terrain, hilltops, jungle clearings and ship decks
• Can be configured for load carrying</x:v>
      </x:c>
      <x:c r="F291" s="38" t="str">
        <x:v>https://tasl.catpl.co.in/vtol
https://www.tataadvancedsystems.com/uav</x:v>
      </x:c>
    </x:row>
    <x:row r="292" ht="210" customHeight="1">
      <x:c r="A292" s="37" t="str">
        <x:v>Tata Advanced Systems</x:v>
      </x:c>
      <x:c r="B292" s="32" t="str">
        <x:v>UAVs/Drones</x:v>
      </x:c>
      <x:c r="C292" s="32" t="str">
        <x:v>SKY-I Small UAV</x:v>
      </x:c>
      <x:c r="D292" s="32" t="str">
        <x:v>• Fixed-wing small UAV; detailed weight/range/endurance not publicly disclosed on current product page</x:v>
      </x:c>
      <x:c r="E292" s="32" t="str">
        <x:v>• Fully autonomous
• Hand launch
• Belly landing
• Long-range/endurance small-UAV role
• Payload integration via indigenous autopilot / mission-control software</x:v>
      </x:c>
      <x:c r="F292" s="38" t="str">
        <x:v>https://www.tataadvancedsystems.com/uav</x:v>
      </x:c>
    </x:row>
    <x:row r="293" ht="210" customHeight="1">
      <x:c r="A293" s="37" t="str">
        <x:v>Tata Advanced Systems</x:v>
      </x:c>
      <x:c r="B293" s="32" t="str">
        <x:v>UAVs/Drones</x:v>
      </x:c>
      <x:c r="C293" s="32" t="str">
        <x:v>Small tactical UAV family</x:v>
      </x:c>
      <x:c r="D293" s="32" t="str">
        <x:v>• TASL states it has developed globally competitive small UAVs and is developing large unmanned systems
• Exact individual product specifications are not consistently published</x:v>
      </x:c>
      <x:c r="E293" s="32" t="str">
        <x:v>• ISR
• Mapping/surveillance
• Tactical deployment</x:v>
      </x:c>
      <x:c r="F293" s="38" t="str">
        <x:v>https://www.tata.com/business/tata-advanced-systems-ltd-tasl</x:v>
      </x:c>
    </x:row>
    <x:row r="294" ht="210" customHeight="1">
      <x:c r="A294" s="37" t="str">
        <x:v>Tata Advanced Systems</x:v>
      </x:c>
      <x:c r="B294" s="32" t="str">
        <x:v>Missiles</x:v>
      </x:c>
      <x:c r="C294" s="32" t="str">
        <x:v>Advanced Air Defence (AAD) Mobile Launcher System</x:v>
      </x:c>
      <x:c r="D294" s="32" t="str">
        <x:v>• Carrier: 12×12 HMV
• Missile load: 6 canisterised missiles
• Launch: single or salvo from stationary inclined position</x:v>
      </x:c>
      <x:c r="E294" s="32" t="str">
        <x:v>• All-electric launcher
• Dual-redundant RF and physical link
• Permanent-magnet alternator
• Brushless DC servo motors
• Electro-mechanical outriggers
• VPX-based controller
• Jet deflector protection</x:v>
      </x:c>
      <x:c r="F294" s="38" t="str">
        <x:v>https://www.tataadvancedsystems.com/aad-mls</x:v>
      </x:c>
    </x:row>
    <x:row r="295" ht="210" customHeight="1">
      <x:c r="A295" s="37" t="str">
        <x:v>Tata Advanced Systems</x:v>
      </x:c>
      <x:c r="B295" s="32" t="str">
        <x:v>Missiles</x:v>
      </x:c>
      <x:c r="C295" s="32" t="str">
        <x:v>Akash Air Force Launcher</x:v>
      </x:c>
      <x:c r="D295" s="32" t="str">
        <x:v>• Missile load: up to 3 Akash missiles
• Trailer-mounted launcher towed by prime mover
• Launch mode: single or salvo</x:v>
      </x:c>
      <x:c r="E295" s="32" t="str">
        <x:v>• Fully automated electro-mechanical launching system
• All-weather day/night operation
• Dual-redundant communications
• Fast into/out-of-action
• Automatic checkout and remote launch</x:v>
      </x:c>
      <x:c r="F295" s="38" t="str">
        <x:v>https://www.tataadvancedsystems.com/akash-air-force-launcher</x:v>
      </x:c>
    </x:row>
    <x:row r="296" ht="210" customHeight="1">
      <x:c r="A296" s="37" t="str">
        <x:v>Tata Advanced Systems</x:v>
      </x:c>
      <x:c r="B296" s="32" t="str">
        <x:v>Missiles</x:v>
      </x:c>
      <x:c r="C296" s="32" t="str">
        <x:v>Akash Army Launcher</x:v>
      </x:c>
      <x:c r="D296" s="32" t="str">
        <x:v>• Missile load: up to 3 Akash missiles
• Carrier: 8×8 HMV
• Launch mode: single or salvo</x:v>
      </x:c>
      <x:c r="E296" s="32" t="str">
        <x:v>• Self-powered fully automated electro-mechanical launcher
• All-weather day/night operation
• Dual-redundant RF and physical communications
• Automatic checkout and auto-launch
• Auto-levelling outriggers</x:v>
      </x:c>
      <x:c r="F296" s="38" t="str">
        <x:v>https://www.tataadvancedsystems.com/akash-army-launcher</x:v>
      </x:c>
    </x:row>
    <x:row r="297" ht="210" customHeight="1">
      <x:c r="A297" s="37" t="str">
        <x:v>Tata Advanced Systems</x:v>
      </x:c>
      <x:c r="B297" s="32" t="str">
        <x:v>Missiles</x:v>
      </x:c>
      <x:c r="C297" s="32" t="str">
        <x:v>Akash Launcher / Weapon-System Hardware (Family)</x:v>
      </x:c>
      <x:c r="D297" s="32" t="str">
        <x:v>• Mobile surface-to-air missile launcher/system hardware
• TASL has delivered 100+ Air Force Akash launchers
• Exact missile performance belongs to Akash missile family, not TASL launcher</x:v>
      </x:c>
      <x:c r="E297" s="32" t="str">
        <x:v>• Mobile SAM launch
• Automated/electromechanical launcher
• All-weather/day-night operation</x:v>
      </x:c>
      <x:c r="F297" s="38" t="str">
        <x:v>https://www.tataadvancedsystems.com/weapon-systems</x:v>
      </x:c>
    </x:row>
    <x:row r="298" ht="210" customHeight="1">
      <x:c r="A298" s="37" t="str">
        <x:v>Tata Advanced Systems</x:v>
      </x:c>
      <x:c r="B298" s="32" t="str">
        <x:v>Missiles</x:v>
      </x:c>
      <x:c r="C298" s="32" t="str">
        <x:v>MRSAM Mobile Launcher System</x:v>
      </x:c>
      <x:c r="D298" s="32" t="str">
        <x:v>• Mobile missile launcher hardware
• Part of MRSAM weapon system
• Missile is jointly developed by DRDO and IAI; launcher/ground system roles are distributed among Indian partners
• Missile load: up to 8 canisterised MRSAM missiles
• Communication mast height: 13.5 m
• Missile-interface backup power: 10 min at NTP</x:v>
      </x:c>
      <x:c r="E298" s="32" t="str">
        <x:v>• Vertical/ground missile launching
• Networked air-defence integration
• All-electric drives
• Dual-redundant synchronized onboard power
• Brushless erection motor/drive
• Trailer contains full launch and power system
• Can be deployed without carrier vehicle for long duration</x:v>
      </x:c>
      <x:c r="F298" s="38" t="str">
        <x:v>https://www.tataadvancedsystems.com/weapon-systems
https://www.tataadvancedsystems.com/mrsam-mls</x:v>
      </x:c>
    </x:row>
    <x:row r="299" ht="210" customHeight="1">
      <x:c r="A299" s="37" t="str">
        <x:v>Mahindra Defence</x:v>
      </x:c>
      <x:c r="B299" s="32" t="str">
        <x:v>Ammunition</x:v>
      </x:c>
      <x:c r="C299" s="32" t="str">
        <x:v>Anti-Submarine Bombs</x:v>
      </x:c>
      <x:c r="D299" s="32" t="str">
        <x:v>• Detailed explosive mass / dimensions not publicly disclosed in accessible Mahindra material during this pass</x:v>
      </x:c>
      <x:c r="E299" s="32" t="str">
        <x:v>• Naval anti-submarine ammunition product capability</x:v>
      </x:c>
      <x:c r="F299" s="38" t="str">
        <x:v>https://www.ddpmod.gov.in/sites/default/files/bf61221eee3553c03edd105e1dd467671bab7375e0629701ab5da8253410cab6/a83ee5c715c65dd2eee569675fa4423f1d74f8be474e06fb950ab406169edee1.pdf</x:v>
      </x:c>
    </x:row>
    <x:row r="300" ht="210" customHeight="1">
      <x:c r="A300" s="37" t="str">
        <x:v>Mahindra Defence</x:v>
      </x:c>
      <x:c r="B300" s="32" t="str">
        <x:v>Ammunition</x:v>
      </x:c>
      <x:c r="C300" s="32" t="str">
        <x:v>Sea Mines</x:v>
      </x:c>
      <x:c r="D300" s="32" t="str">
        <x:v>• Detailed dimensions/charge specifications not publicly disclosed in accessible Mahindra material during this pass</x:v>
      </x:c>
      <x:c r="E300" s="32" t="str">
        <x:v>• Naval mine product capability</x:v>
      </x:c>
      <x:c r="F300" s="38" t="str">
        <x:v>https://www.ddpmod.gov.in/sites/default/files/bf61221eee3553c03edd105e1dd467671bab7375e0629701ab5da8253410cab6/a83ee5c715c65dd2eee569675fa4423f1d74f8be474e06fb950ab406169edee1.pdf</x:v>
      </x:c>
    </x:row>
    <x:row r="301" ht="210" customHeight="1">
      <x:c r="A301" s="37" t="str">
        <x:v>Mahindra Defence</x:v>
      </x:c>
      <x:c r="B301" s="32" t="str">
        <x:v>Protected Vehicles</x:v>
      </x:c>
      <x:c r="C301" s="32" t="str">
        <x:v>Armado / Armoured Light Specialist Vehicle (ALSV)</x:v>
      </x:c>
      <x:c r="D301" s="32" t="str">
        <x:v>• Configuration: 4×4
• Engine: 3.2 L inline-6 turbo-diesel
• Power: ~212–215 hp
• Payload: public sources vary; DRDO clipping cites 400 kg additional cargo, while other public specifications cite ~1,000 kg depending configuration
• Protection: STANAG Level I standard; upgrade to Level II; B7 cited in DRDO material
• Run-flat tyres
• CTIS/tyre inflation
• Air transportable
• Curb weight: ~2,500 kg
• Payload: up to ~1,000 kg
• Length: ~4.4 m
• Width: ~1.96 m
• Height: ~1.98 m
• Transmission: 4-speed automatic
• Maximum speed: ~120 km/h
• Protection: upgradeable from Level I to B7 / STANAG Level II in public reporting</x:v>
      </x:c>
      <x:c r="E301" s="32" t="str">
        <x:v>• Modular specialist vehicle
• Patrol/reconnaissance
• Special forces
• Weapons/ammunition carriage
• AGL/MMG mount options
• 4×4 air-transportable light specialist vehicle
• Run-flat / high-mobility configuration
• Protected against 7.62×51 mm fire and hand-grenade blast in public test reporting
• Mission modules / weapon mounts</x:v>
      </x:c>
      <x:c r="F301" s="38" t="str">
        <x:v>https://www.drdo.gov.in/drdo/sites/default/files/drdo-news-documents/NPC%2014-16%20Aug%202021.pdf
https://www.scribd.com/document/632408518/modN-pdf
https://armyrecognition.com/news/army-news/army-news-2021/indian-defence-orders-1300-mahindra-lsv-light-specialist-vehicles</x:v>
      </x:c>
    </x:row>
    <x:row r="302" ht="210" customHeight="1">
      <x:c r="A302" s="37" t="str">
        <x:v>Mahindra Defence</x:v>
      </x:c>
      <x:c r="B302" s="32" t="str">
        <x:v>Protected Vehicles</x:v>
      </x:c>
      <x:c r="C302" s="32" t="str">
        <x:v>Mahindra Axe</x:v>
      </x:c>
      <x:c r="D302" s="32" t="str">
        <x:v>• Lightweight fast-attack vehicle; high-mobility/high-payload design; offered with diesel or petrol engines; automatic transmission; independent suspension. Public sources located did not provide a sufficiently reliable complete numeric datasheet.</x:v>
      </x:c>
      <x:c r="E302" s="32" t="str">
        <x:v>• Special-forces/general combat mobility; high mobility and payload; configurable mission use.</x:v>
      </x:c>
      <x:c r="F302" s="38" t="str">
        <x:v>https://www.mahindra.com/print/pdf/node/3766</x:v>
      </x:c>
    </x:row>
    <x:row r="303" ht="210" customHeight="1">
      <x:c r="A303" s="37" t="str">
        <x:v>Mahindra Defence</x:v>
      </x:c>
      <x:c r="B303" s="32" t="str">
        <x:v>Protected Vehicles</x:v>
      </x:c>
      <x:c r="C303" s="32" t="str">
        <x:v>Mahindra High Mobility Reconnaissance Vehicle</x:v>
      </x:c>
      <x:c r="D303" s="32" t="str">
        <x:v>• Identified by a 2025–26 government procurement report as a Mahindra Defence High Mobility Reconnaissance Vehicle; public report does not disclose a complete technical datasheet.</x:v>
      </x:c>
      <x:c r="E303" s="32" t="str">
        <x:v>• Reconnaissance/high-mobility mission role.</x:v>
      </x:c>
      <x:c r="F303" s="38" t="str">
        <x:v>https://assembly.mn.gov.in/user/pages/files/administrative-reports/Police%20and%20Others.pdf</x:v>
      </x:c>
    </x:row>
    <x:row r="304" ht="210" customHeight="1">
      <x:c r="A304" s="37" t="str">
        <x:v>Mahindra Defence</x:v>
      </x:c>
      <x:c r="B304" s="32" t="str">
        <x:v>Protected Vehicles</x:v>
      </x:c>
      <x:c r="C304" s="32" t="str">
        <x:v>Mahindra Striker</x:v>
      </x:c>
      <x:c r="D304" s="32" t="str">
        <x:v>• Light general-purpose military vehicle
• Exact technical values not consistently published in current public material</x:v>
      </x:c>
      <x:c r="E304" s="32" t="str">
        <x:v>• General-purpose tactical mobility
• Reconnaissance
• Logistics/support</x:v>
      </x:c>
      <x:c r="F304" s="38" t="str">
        <x:v>https://www.mahindra.com/news-room/press-release/en/mahindra-defence-systems-generates-excitement-at-the-close-of-defexpo-08</x:v>
      </x:c>
    </x:row>
    <x:row r="305" ht="210" customHeight="1">
      <x:c r="A305" s="37" t="str">
        <x:v>Mahindra Defence</x:v>
      </x:c>
      <x:c r="B305" s="32" t="str">
        <x:v>Protected Vehicles</x:v>
      </x:c>
      <x:c r="C305" s="32" t="str">
        <x:v>Marksman</x:v>
      </x:c>
      <x:c r="D305" s="32" t="str">
        <x:v>• Configuration: 4×4
• Length: ~4.39 m
• Width: ~1.8–1.86 m
• Height: ~2.03 m
• Ground clearance: ~0.24 m
• Weight: ~2.6 t
• Maximum speed: 120 km/h
• Crew/passengers: 2 + 4
• Range: ~531 km in Shephard handbook
• Armoured capsule construction
• Machine-gun mount / firing ports
• Seating: 2 + 4
• Dimensions: 4.6 m L × 1.83 m W × 2.2 m H
• Payload: 600 kg
• Ballistic protection: STANAG 1
• Blast protection: STANAG 1
• Drive: 4×4 RHD/LHD</x:v>
      </x:c>
      <x:c r="E305" s="32" t="str">
        <x:v>• Small-arms protection
• Grenade protection
• Urban counter-terrorism
• Convoy/security operations
• Armoured capsule light bulletproof vehicle
• Counter-terror / urban policing role
• Optional run-flats, recovery winch and driver-assist camera</x:v>
      </x:c>
      <x:c r="F305" s="38" t="str">
        <x:v>https://mags.shephardmedia.com/legacy-handbooks/AVH2022.pdf
https://www.mahindra.com/news-room/press-release/en/mahindra-defence-systems-generates-excitement-at-the-close-of-defexpo-08
https://www.defenceexim.gov.in/WriteReadData/modN.pdf</x:v>
      </x:c>
    </x:row>
    <x:row r="306" ht="210" customHeight="1">
      <x:c r="A306" s="37" t="str">
        <x:v>Mahindra Defence</x:v>
      </x:c>
      <x:c r="B306" s="32" t="str">
        <x:v>Protected Vehicles</x:v>
      </x:c>
      <x:c r="C306" s="32" t="str">
        <x:v>Mine Protected Armoured Personnel Carrier 4×4</x:v>
      </x:c>
      <x:c r="D306" s="32" t="str">
        <x:v>• Configuration: 4×4
• GVW: 17,000 kg
• Payload: 1,500 kg
• Ballistic protection: STANAG 2
• Blast protection: STANAG 4
• Ground clearance: 400 mm
• Maximum speed: 90 km/h
• Seating: up to 12
• Brakes: fully pneumatic, ABS
• Run-flat insert options</x:v>
      </x:c>
      <x:c r="E306" s="32" t="str">
        <x:v>• MRAP/anti-mine
• Anti-Naxal/anti-terror operations
• 7.62/12.7 mm weapon mounting options</x:v>
      </x:c>
      <x:c r="F306" s="38" t="str">
        <x:v>https://www.scribd.com/document/632408518/modN-pdf</x:v>
      </x:c>
    </x:row>
    <x:row r="307" ht="210" customHeight="1">
      <x:c r="A307" s="37" t="str">
        <x:v>Mahindra Defence</x:v>
      </x:c>
      <x:c r="B307" s="32" t="str">
        <x:v>Protected Vehicles</x:v>
      </x:c>
      <x:c r="C307" s="32" t="str">
        <x:v>Mine Protected Vehicle-I (MPV-I)</x:v>
      </x:c>
      <x:c r="D307" s="32" t="str">
        <x:v>• Configuration: 6×6 MRAP
• Public DDP material identifies it as an indigenous Mahindra mine-resistant vehicle
• A 6×6 mine-protected ambulance variant is also documented
• Detailed current numerical specifications are not consistently public
• Configuration: 6×6
• Engine: ~230 hp diesel
• Capacity: up to ~18 personnel including crew
• Blast protection public references: ~21 kg TNT under wheel; ~14 kg under crew compartment
• Ballistic protection: 7.62×51, 7.62×39 and 5.56×45 mm threats in public reporting</x:v>
      </x:c>
      <x:c r="E307" s="32" t="str">
        <x:v>• Mine/IED protection
• High mobility
• Troop transport
• Ambulance variant
• V-shaped monocoque steel hull
• MRAP / counter-insurgency role
• Remote weapon station integration possible</x:v>
      </x:c>
      <x:c r="F307" s="38" t="str">
        <x:v>https://www.ddpmod.gov.in/sites/default/files/2023-11/second_book.pdf
https://www.ddpmod.gov.in/sites/default/files/bf61221eee3553c03edd105e1dd467671bab7375e0629701ab5da8253410cab6/a83ee5c715c65dd2eee569675fa4423f1d74f8be474e06fb950ab406169edee1.pdf
https://www.armyrecognition.com/archives/archives-land-defense/land-defense-2012/mahindra-mpv-mine-protected-vehicle-india-uk</x:v>
      </x:c>
    </x:row>
    <x:row r="308" ht="210" customHeight="1">
      <x:c r="A308" s="37" t="str">
        <x:v>Mahindra Defence</x:v>
      </x:c>
      <x:c r="B308" s="32" t="str">
        <x:v>Protected Vehicles</x:v>
      </x:c>
      <x:c r="C308" s="32" t="str">
        <x:v>Rakshak / Rakshak Plus</x:v>
      </x:c>
      <x:c r="D308" s="32" t="str">
        <x:v>• Seating: 2 + 4
• Dimensions: 4.5 × 1.83 × 2.0 m
• Payload: 600 kg
• Protection: STANAG Level 1 ballistic + blast
• Ground clearance: 200 mm
• Maximum speed: 120 km/h
• Drive: 4×4 RHD/LHD
• Optional run-flat system, drive assist/PTZ camera, wire mesh
• Crew/capacity: typically 2 + 4
• Base configuration: 4×4
• Public Rakshak Plus engine reference: 2.2 L turbo-diesel</x:v>
      </x:c>
      <x:c r="E308" s="32" t="str">
        <x:v>• Light bulletproof vehicle
• Counter-insurgency
• Police/paramilitary
• Conventional security roles
• Light armoured vehicle for military/police users
• Roof weapon mount and firing ports
• Ballistic / blast protection packages depending variant</x:v>
      </x:c>
      <x:c r="F308" s="38" t="str">
        <x:v>https://www.defenceexim.gov.in/WriteReadData/modN.pdf
https://www.ddpmod.gov.in/sites/default/files/bf61221eee3553c03edd105e1dd467671bab7375e0629701ab5da8253410cab6/a83ee5c715c65dd2eee569675fa4423f1d74f8be474e06fb950ab406169edee1.pdf</x:v>
      </x:c>
    </x:row>
    <x:row r="309" ht="210" customHeight="1">
      <x:c r="A309" s="37" t="str">
        <x:v>Mahindra Defence</x:v>
      </x:c>
      <x:c r="B309" s="32" t="str">
        <x:v>Protected Vehicles</x:v>
      </x:c>
      <x:c r="C309" s="32" t="str">
        <x:v>Up-Armoured Scorpio</x:v>
      </x:c>
      <x:c r="D309" s="32" t="str">
        <x:v>• 4×4 SUV-based protected vehicle
• Discreet armour configuration
• Exact armour level, payload and power vary by build</x:v>
      </x:c>
      <x:c r="E309" s="32" t="str">
        <x:v>• VIP protection
• Security forces
• Patrol/escort</x:v>
      </x:c>
      <x:c r="F309" s="38" t="str">
        <x:v>https://www.mahindra.com/news-room/press-release/en/mahindra-defence-systems-generates-excitement-at-the-close-of-defexpo-08</x:v>
      </x:c>
    </x:row>
    <x:row r="310" ht="210" customHeight="1">
      <x:c r="A310" s="37" t="str">
        <x:v>Mahindra Defence</x:v>
      </x:c>
      <x:c r="B310" s="32" t="str">
        <x:v>Protected Vehicles</x:v>
      </x:c>
      <x:c r="C310" s="32" t="str">
        <x:v>VMIMS on ALSV + Alakran-L</x:v>
      </x:c>
      <x:c r="D310" s="32" t="str">
        <x:v>• Carrier: Mahindra ALSV 4×4
• Mortar: 81 mm
• Crew: 2
• Mortar ammunition: 72 rounds
• Range: 7.2 km
• Maximum rate: 20 rds/min
• Deployable automated mortar system</x:v>
      </x:c>
      <x:c r="E310" s="32" t="str">
        <x:v>• Vehicle-mounted infantry mortar
• Shoot-and-scoot
• Automated deployment
• High-altitude/LAC employment</x:v>
      </x:c>
      <x:c r="F310" s="38" t="str">
        <x:v>https://www.janes.com/defence-intelligence-insights/defence-news/land/indian-army-deploys-vehicle-mounted-infantry-mortar-system-near-lac</x:v>
      </x:c>
    </x:row>
    <x:row r="311" ht="210" customHeight="1">
      <x:c r="A311" s="37" t="str">
        <x:v>Mahindra Defence</x:v>
      </x:c>
      <x:c r="B311" s="32" t="str">
        <x:v>Marine/Naval</x:v>
      </x:c>
      <x:c r="C311" s="32" t="str">
        <x:v>Decoy Launchers</x:v>
      </x:c>
      <x:c r="D311" s="32" t="str">
        <x:v>• Naval anti-torpedo/decoy launcher
• Expendable decoy deployment
• Exact number of rounds, calibre and launcher dimensions depend on ship/system integration
• Detailed launcher dimensions/capacity not publicly disclosed in accessible Mahindra material during this pass</x:v>
      </x:c>
      <x:c r="E311" s="32" t="str">
        <x:v>• Torpedo defence
• Soft-kill countermeasure deployment
• Naval countermeasure / decoy-launch system product capability</x:v>
      </x:c>
      <x:c r="F311" s="38" t="str">
        <x:v>https://www.defenceexim.gov.in/WriteReadData/modsdd.pdf
https://www.ddpmod.gov.in/sites/default/files/bf61221eee3553c03edd105e1dd467671bab7375e0629701ab5da8253410cab6/a83ee5c715c65dd2eee569675fa4423f1d74f8be474e06fb950ab406169edee1.pdf</x:v>
      </x:c>
    </x:row>
    <x:row r="312" ht="210" customHeight="1">
      <x:c r="A312" s="37" t="str">
        <x:v>Mahindra Defence</x:v>
      </x:c>
      <x:c r="B312" s="32" t="str">
        <x:v>Marine/Naval</x:v>
      </x:c>
      <x:c r="C312" s="32" t="str">
        <x:v>Integrated Anti-Submarine Warfare Defence Suite (IADS)</x:v>
      </x:c>
      <x:c r="D312" s="32" t="str">
        <x:v>• Anti-submarine warfare defence suite
• Naval sensor/effectors integration
• Exact sensor frequencies, detection range and weapon set are platform-specific
• Ship integration: suitable for small, medium and large warships
• Contracted quantity in 2021: 14 systems for Indian Navy</x:v>
      </x:c>
      <x:c r="E312" s="32" t="str">
        <x:v>• ASW
• Underwater situational awareness
• System integration
• Underwater surveillance and self-defence suite
• Sensor array provides detection, signal processing and threat analysis
• Designed to protect warships against underwater threats</x:v>
      </x:c>
      <x:c r="F312" s="38" t="str">
        <x:v>https://www.mahindra.com/sites/default/files/newsroom/corporatedoc/mahindra-group-ppt-2022%20%281%29_0.pdf
https://www.mahindra.com/news-room/press-release/en/mahindra-defence-to-manufacture-integrated-asw-defence-suite-for-indian-navy</x:v>
      </x:c>
    </x:row>
    <x:row r="313" ht="210" customHeight="1">
      <x:c r="A313" s="37" t="str">
        <x:v>Mahindra Defence</x:v>
      </x:c>
      <x:c r="B313" s="32" t="str">
        <x:v>Marine/Naval</x:v>
      </x:c>
      <x:c r="C313" s="32" t="str">
        <x:v>Mahindra Underwater Systems — Torpedo Launchers / Sonar Dome / Naval Loaders</x:v>
      </x:c>
      <x:c r="D313" s="32" t="str">
        <x:v>• Public defence catalogues identify lightweight triple-tube torpedo launchers, torpedo/munition loaders, sonar domes, winches and related underwater/naval equipment; complete model-specific dimensions/weights/ranges are not consistently public.</x:v>
      </x:c>
      <x:c r="E313" s="32" t="str">
        <x:v>• Underwater weapon handling; naval launch and support equipment; sonar dome integration; decoy/ASW support.</x:v>
      </x:c>
      <x:c r="F313" s="38" t="str">
        <x:v>https://www.defenceexim.gov.in/WriteReadData/modsdd.pdf
https://www.ddpmod.gov.in/sites/default/files/2023-11/second_book.pdf
https://www.mahindra.com/news-room/press-release/en/mahindra-defence-system-in-advanced-talks-with-wass-for-underwater-defence-jv</x:v>
      </x:c>
    </x:row>
    <x:row r="314" ht="210" customHeight="1">
      <x:c r="A314" s="37" t="str">
        <x:v>Mahindra Defence</x:v>
      </x:c>
      <x:c r="B314" s="32" t="str">
        <x:v>Marine/Naval</x:v>
      </x:c>
      <x:c r="C314" s="32" t="str">
        <x:v>Torpedo Launchers</x:v>
      </x:c>
      <x:c r="D314" s="32" t="str">
        <x:v>• Naval launcher for lightweight torpedoes
• Triple-tube configuration
• Mahindra defence catalogue describes &gt;100% indigenous-content claim in source text; treat as source wording, not independently verified
• Exact tube diameter, train/elevation and reload data are not publicly universal
• Detailed launcher calibre/capacity not publicly disclosed in accessible Mahindra material during this pass</x:v>
      </x:c>
      <x:c r="E314" s="32" t="str">
        <x:v>• Shipborne lightweight torpedo launch
• Modular naval integration
• Naval torpedo-launch equipment developed/produced by Mahindra Naval Systems</x:v>
      </x:c>
      <x:c r="F314" s="38" t="str">
        <x:v>https://www.defenceexim.gov.in/WriteReadData/modsdd.pdf
https://www.ddpmod.gov.in/sites/default/files/bf61221eee3553c03edd105e1dd467671bab7375e0629701ab5da8253410cab6/a83ee5c715c65dd2eee569675fa4423f1d74f8be474e06fb950ab406169edee1.pdf</x:v>
      </x:c>
    </x:row>
    <x:row r="315" ht="210" customHeight="1">
      <x:c r="A315" s="37" t="str">
        <x:v>Larsen &amp; Toubro (L&amp;T)</x:v>
      </x:c>
      <x:c r="B315" s="32" t="str">
        <x:v>Artillery</x:v>
      </x:c>
      <x:c r="C315" s="32" t="str">
        <x:v>K9 Vajra-T</x:v>
      </x:c>
      <x:c r="D315" s="32" t="str">
        <x:v>• Calibre: 155 mm/L52
• Tracked self-propelled howitzer
• Indian configuration based on K9 Thunder
• First batch: 100 systems delivered
• Second 100-system order placed 2024
• Indigenous content: &gt;50% by value and &gt;80% work packages reported by L&amp;T
• Local supply chain: &gt;13,000 components/system reported
• Exact vehicle performance follows K9 family/configuration
• Combat weight: ~47 t class
• Engine: ~1,000 hp
• Maximum speed: ~67 km/h
• Operational range: ~360 km
• On-board ammunition: ~48 rounds
• Burst: 3 rounds in &lt;15 sec
• Maximum rate: 6–8 rounds/min
• Range: &gt;40 km with long-range ammunition; ammunition dependent</x:v>
      </x:c>
      <x:c r="E315" s="32" t="str">
        <x:v>• High-mobility SP artillery
• Fire-control integration
• High-altitude winterisation
• Localized production/support
• Tracked self-propelled howitzer adapted from K9 Thunder
• Indian high-temperature/high-altitude customisation
• Automatic fire control / navigation
• Shoot-and-scoot capability
• Manufactured at L&amp;T Armoured Systems Complex, Hazira</x:v>
      </x:c>
      <x:c r="F315" s="38" t="str">
        <x:v>https://investors.larsentoubro.com/upload/AnnualRep/FY2025AnnualRepL%26T-ANNUAL%20REPORT%202024-25%20-%20LOW%202.pdf
https://fliphtml5.com/nqrhl/pwfm/Defexpo_2022_ShowDaily03/
https://www.larsentoubro.com/pressreleases/2024-12-23-lt-precision-engineering-systems-wins-major-order-for-k9-vajra-t-artillery-platforms
https://www.pib.gov.in/PressReleasePage.aspx?PRID=2086514&amp;lang=2&amp;reg=3
https://www.armyrecognition.com/military-products/army/artillery-vehicles-and-weapons/self-propelled-howitzers/k9-thunder-south-korea-uk</x:v>
      </x:c>
    </x:row>
    <x:row r="316" ht="210" customHeight="1">
      <x:c r="A316" s="37" t="str">
        <x:v>Larsen &amp; Toubro (L&amp;T)</x:v>
      </x:c>
      <x:c r="B316" s="32" t="str">
        <x:v>Artillery</x:v>
      </x:c>
      <x:c r="C316" s="32" t="str">
        <x:v>Pinaka Launcher / Launcher System</x:v>
      </x:c>
      <x:c r="D316" s="32" t="str">
        <x:v>• Multi-barrel rocket launcher
• Standard launcher: 12 rocket tubes
• 214 mm-class rockets
• L&amp;T has supplied launcher systems and has 2026 upgrade work with TASL
• Rocket range depends on Mk/munition variant
• Launcher tubes: 12 × 214 mm rockets
• Full salvo: ~44 sec
• Mk-I range: ~37.5 km; enhanced/extended rocket families have longer ranges</x:v>
      </x:c>
      <x:c r="E316" s="32" t="str">
        <x:v>• Rapid salvo
• Area fire
• Automated launcher and fire-control integration
• All-weather multi-barrel rocket launcher
• Truck-mounted, high-mobility area-fire system
• L&amp;T is a production partner for Pinaka launcher systems</x:v>
      </x:c>
      <x:c r="F316" s="38" t="str">
        <x:v>https://www.larsentoubro.com/pressreleases/2020/2020-09-04-lt-defence-awarded-starsignificant-contract-by-ministry-of-defence
https://m.economictimes.com/news/defence/army-upgrading-pinaka-rocket-systems-lt-and-tata-bag-contracts/articleshow/126421652.cms
https://drdo.gov.in/drdo/en/offerings/products/pinaka-multi-barrel-rocket-launcher-system
https://www.lntpes.com/our-offerings/land-platforms-equipment-and-systems/weapon-launch-systems</x:v>
      </x:c>
    </x:row>
    <x:row r="317" ht="210" customHeight="1">
      <x:c r="A317" s="37" t="str">
        <x:v>Larsen &amp; Toubro (L&amp;T)</x:v>
      </x:c>
      <x:c r="B317" s="32" t="str">
        <x:v>Protected Vehicles</x:v>
      </x:c>
      <x:c r="C317" s="32" t="str">
        <x:v>Zorawar Light Tank</x:v>
      </x:c>
      <x:c r="D317" s="32" t="str">
        <x:v>• Light tank
• Target mass: ~25 t class
• Designed for high-altitude operations
• Prototype realised at L&amp;T Armoured Systems Complex
• Detailed armour, engine, ammunition stowage and final armament configuration are not fully public
• Combat weight target: ~25 t
• Crew: 3
• Main armament: 105 mm high-pressure rifled gun
• Engine: ~760 hp public prototype reference
• Power-to-weight: ~30 hp/t class
• Maximum road speed: ~70 km/h public prototype reference</x:v>
      </x:c>
      <x:c r="E317" s="32" t="str">
        <x:v>• High-altitude mobility
• Rapid deployability
• Modern fire-control and protected mobility architecture
• Light tank for high-altitude / expeditionary use
• Hydropneumatic suspension
• Modular protection and weapon integration
• Developed by DRDO/CVRDE with L&amp;T as development-cum-production partner</x:v>
      </x:c>
      <x:c r="F317" s="38" t="str">
        <x:v>https://investors.larsentoubro.com/upload/AnnualRep/FY2025AnnualRepL%26T-ANNUAL%20REPORT%202024-25%20-%20LOW%202.pdf
https://deepmentor.co/revision/prelims-2026/govt-compilation-2026/04-science-tech-defence-polity
https://www.drdo.gov.in/drdo/sites/default/files/drdo-news-documents/NPC15Jul2024.pdf
https://www.armyrecognition.com/news/army-news/army-news-2024/india-unveils-new-zorawar-light-tank-developed-by-drdo-and-larsen-toubro</x:v>
      </x:c>
    </x:row>
    <x:row r="318" ht="210" customHeight="1">
      <x:c r="A318" s="37" t="str">
        <x:v>Larsen &amp; Toubro (L&amp;T)</x:v>
      </x:c>
      <x:c r="B318" s="32" t="str">
        <x:v>Marine/Naval</x:v>
      </x:c>
      <x:c r="C318" s="32" t="str">
        <x:v>Autonomous Underwater Vehicle / UUV Systems</x:v>
      </x:c>
      <x:c r="D318" s="32" t="str">
        <x:v>• Product-family technical details are configuration dependent and not fully published in current accessible L&amp;T material</x:v>
      </x:c>
      <x:c r="E318" s="32" t="str">
        <x:v>• Autonomous underwater / mine-countermeasure and surveillance technology capability
• Marine systems engineering and integration</x:v>
      </x:c>
      <x:c r="F318" s="38" t="str">
        <x:v>https://www.lntpes.com/our-offerings/marine-platforms-equipment-and-systems</x:v>
      </x:c>
    </x:row>
    <x:row r="319" ht="210" customHeight="1">
      <x:c r="A319" s="37" t="str">
        <x:v>Larsen &amp; Toubro (L&amp;T)</x:v>
      </x:c>
      <x:c r="B319" s="32" t="str">
        <x:v>Marine/Naval</x:v>
      </x:c>
      <x:c r="C319" s="32" t="str">
        <x:v>Cadet Training Ship</x:v>
      </x:c>
      <x:c r="D319" s="32" t="str">
        <x:v>• Three-vessel programme for Indian Navy; detailed final dimensions not published on L&amp;T project summary page</x:v>
      </x:c>
      <x:c r="E319" s="32" t="str">
        <x:v>• Training ship with in-house design / shipbuilding capability</x:v>
      </x:c>
      <x:c r="F319" s="38" t="str">
        <x:v>https://www.lntshipbuilding.com/products-services/new-construction-defence-shipbuilding</x:v>
      </x:c>
    </x:row>
    <x:row r="320" ht="210" customHeight="1">
      <x:c r="A320" s="37" t="str">
        <x:v>Larsen &amp; Toubro (L&amp;T)</x:v>
      </x:c>
      <x:c r="B320" s="32" t="str">
        <x:v>Marine/Naval</x:v>
      </x:c>
      <x:c r="C320" s="32" t="str">
        <x:v>High-Speed Interceptor Boat</x:v>
      </x:c>
      <x:c r="D320" s="32" t="str">
        <x:v>• L&amp;T-built interceptor-boat family; detailed current dimensions vary by class and were not consistently published in one authoritative page during this pass</x:v>
      </x:c>
      <x:c r="E320" s="32" t="str">
        <x:v>• High-speed coastal interception / patrol
• In-house L&amp;T design; 54 boats delivered for Indian Coast Guard</x:v>
      </x:c>
      <x:c r="F320" s="38" t="str">
        <x:v>https://www.lntshipbuilding.com/products-services/new-construction-defence-shipbuilding</x:v>
      </x:c>
    </x:row>
    <x:row r="321" ht="210" customHeight="1">
      <x:c r="A321" s="37" t="str">
        <x:v>Larsen &amp; Toubro (L&amp;T)</x:v>
      </x:c>
      <x:c r="B321" s="32" t="str">
        <x:v>Marine/Naval</x:v>
      </x:c>
      <x:c r="C321" s="32" t="str">
        <x:v>Multi-Purpose Vessel (MPV)</x:v>
      </x:c>
      <x:c r="D321" s="32" t="str">
        <x:v>• Length overall: 107 m
• Breadth: 18.6 m
• Displacement: 3,750 t
• Maximum speed: 15 kt
• Endurance: 4,500 nmi
• Crew: 8 officers + 108 sailors</x:v>
      </x:c>
      <x:c r="E321" s="32" t="str">
        <x:v>• Dynamic Positioning DP-2
• 30 mm and 12.7 mm guns
• Chaff launcher and ASW rocket launcher
• Heavy/light torpedo launch capability
• Surface and aerial target launch/recovery
• HADR, SAR and logistics roles</x:v>
      </x:c>
      <x:c r="F321" s="38" t="str">
        <x:v>https://www.ddpmod.gov.in/en/resources/products/multi-purpose-vessels-mpv</x:v>
      </x:c>
    </x:row>
    <x:row r="322" ht="210" customHeight="1">
      <x:c r="A322" s="37" t="str">
        <x:v>Larsen &amp; Toubro (L&amp;T)</x:v>
      </x:c>
      <x:c r="B322" s="32" t="str">
        <x:v>Marine/Naval</x:v>
      </x:c>
      <x:c r="C322" s="32" t="str">
        <x:v>Naval Floating Dock</x:v>
      </x:c>
      <x:c r="D322" s="32" t="str">
        <x:v>• Detailed dimensions/displacement vary by delivered dock and are not consolidated on current L&amp;T public product page</x:v>
      </x:c>
      <x:c r="E322" s="32" t="str">
        <x:v>• In-house designed naval floating dock
• Ship support / maintenance / docking role</x:v>
      </x:c>
      <x:c r="F322" s="38" t="str">
        <x:v>https://www.lntshipbuilding.com/products-services/new-construction-defence-shipbuilding</x:v>
      </x:c>
    </x:row>
    <x:row r="323" ht="210" customHeight="1">
      <x:c r="A323" s="37" t="str">
        <x:v>Larsen &amp; Toubro (L&amp;T)</x:v>
      </x:c>
      <x:c r="B323" s="32" t="str">
        <x:v>Marine/Naval</x:v>
      </x:c>
      <x:c r="C323" s="32" t="str">
        <x:v>Offshore Patrol Vessel (OPV)</x:v>
      </x:c>
      <x:c r="D323" s="32" t="str">
        <x:v>• Length overall: 98.2 m
• Breadth: 14.7 m
• Deep displacement: 2,140 t
• Maximum speed: 26 kt
• Range: 5,000 nmi
• Crew capacity: 102</x:v>
      </x:c>
      <x:c r="E323" s="32" t="str">
        <x:v>• Two RHIBs
• Hangar for one helicopter
• One 30 mm gun + two 12.7 mm guns with FCS
• Integrated bridge; X/S-band navigation radars
• Designed for sea state 7 and helicopter operations</x:v>
      </x:c>
      <x:c r="F323" s="38" t="str">
        <x:v>https://www.ddpmod.gov.in/en/resources/products/offshore-patrol-vessel-opv</x:v>
      </x:c>
    </x:row>
    <x:row r="324" ht="210" customHeight="1">
      <x:c r="A324" s="37" t="str">
        <x:v>Larsen &amp; Toubro (L&amp;T)</x:v>
      </x:c>
      <x:c r="B324" s="32" t="str">
        <x:v>Marine/Naval</x:v>
      </x:c>
      <x:c r="C324" s="32" t="str">
        <x:v>P7 Heavy Drop Platform System</x:v>
      </x:c>
      <x:c r="D324" s="32" t="str">
        <x:v>• Air-drop platform
• Payload: up to 7 metric tonnes
• Aircraft: IL-76
• Drop altitude: 500–4,000 m
• Material: high-strength aluminium alloy
• Contract: 146 systems cited in L&amp;T publication</x:v>
      </x:c>
      <x:c r="E324" s="32" t="str">
        <x:v>• Air delivery of vehicles, weapons and supplies
• Rapid logistics to remote areas</x:v>
      </x:c>
      <x:c r="F324" s="38" t="str">
        <x:v>https://newsnviews.larsentoubro.com/Lists/Posts/Post.aspx?ID=446</x:v>
      </x:c>
    </x:row>
    <x:row r="325" ht="210" customHeight="1">
      <x:c r="A325" s="37" t="str">
        <x:v>Larsen &amp; Toubro (L&amp;T)</x:v>
      </x:c>
      <x:c r="B325" s="32" t="str">
        <x:v>Marine/Naval</x:v>
      </x:c>
      <x:c r="C325" s="32" t="str">
        <x:v>P75 submarine industrial capability</x:v>
      </x:c>
      <x:c r="D325" s="32" t="str">
        <x:v>• Submarine construction/integration capability
• L&amp;T selected as Strategic Partner for P75(I) in program context
• Exact submarine design depends on selected OEM/program</x:v>
      </x:c>
      <x:c r="E325" s="32" t="str">
        <x:v>• Submarine hull construction
• Integration
• Indigenous manufacturing</x:v>
      </x:c>
      <x:c r="F325" s="38" t="str">
        <x:v>https://fliphtml5.com/nqrhl/pwfm/Defexpo_2022_ShowDaily03/</x:v>
      </x:c>
    </x:row>
    <x:row r="326" ht="210" customHeight="1">
      <x:c r="A326" s="37" t="str">
        <x:v>Larsen &amp; Toubro (L&amp;T)</x:v>
      </x:c>
      <x:c r="B326" s="32" t="str">
        <x:v>Marine/Naval</x:v>
      </x:c>
      <x:c r="C326" s="32" t="str">
        <x:v>Rail-less Helicopter Traversing System (RHTS)</x:v>
      </x:c>
      <x:c r="D326" s="32" t="str">
        <x:v>• Naval helicopter movement system
• Used to move helicopters between landing area and hangar on ships
• Delivered to Indian Navy/Coast Guard
• Exact load rating and deck-interface data are ship-specific</x:v>
      </x:c>
      <x:c r="E326" s="32" t="str">
        <x:v>• Safe helicopter handling
• Shipboard mobility
• Integration with naval flight decks</x:v>
      </x:c>
      <x:c r="F326" s="38" t="str">
        <x:v>https://newsnviews.larsentoubro.com/Lists/Posts/Post.aspx?ID=446</x:v>
      </x:c>
    </x:row>
    <x:row r="327" ht="210" customHeight="1">
      <x:c r="A327" s="37" t="str">
        <x:v>Larsen &amp; Toubro (L&amp;T)</x:v>
      </x:c>
      <x:c r="B327" s="32" t="str">
        <x:v>UAVs/Drones</x:v>
      </x:c>
      <x:c r="C327" s="32" t="str">
        <x:v>L&amp;T Abhyas Aerial Target</x:v>
      </x:c>
      <x:c r="D327" s="32" t="str">
        <x:v>• High-speed expendable aerial target; DRDO-developed platform offered by L&amp;T under a Development cum Production Partner model.</x:v>
      </x:c>
      <x:c r="E327" s="32" t="str">
        <x:v>• Expendable target for air-defence training/testing.</x:v>
      </x:c>
      <x:c r="F327" s="38" t="str">
        <x:v>https://www.lntpes.com/our-offerings/aerospace-systems/unmanned-aerial-vehicles-uavs/lt-teer-aerial-target</x:v>
      </x:c>
    </x:row>
    <x:row r="328" ht="210" customHeight="1">
      <x:c r="A328" s="37" t="str">
        <x:v>Larsen &amp; Toubro (L&amp;T)</x:v>
      </x:c>
      <x:c r="B328" s="32" t="str">
        <x:v>UAVs/Drones</x:v>
      </x:c>
      <x:c r="C328" s="32" t="str">
        <x:v>L&amp;T Tactical UAV</x:v>
      </x:c>
      <x:c r="D328" s="32" t="str">
        <x:v>• Fixed-wing and VTOL tactical UAV solutions; stated design focus includes high-altitude operations; future naval configuration is contemplated.</x:v>
      </x:c>
      <x:c r="E328" s="32" t="str">
        <x:v>• Tactical ISR; fixed-wing and VTOL architectures; high-altitude operation; future naval adaptation.</x:v>
      </x:c>
      <x:c r="F328" s="38" t="str">
        <x:v>https://www.lntpes.com/our-offerings/aerospace-systems/unmanned-aerial-vehicles-uavs</x:v>
      </x:c>
    </x:row>
    <x:row r="329" ht="210" customHeight="1">
      <x:c r="A329" s="37" t="str">
        <x:v>Larsen &amp; Toubro (L&amp;T)</x:v>
      </x:c>
      <x:c r="B329" s="32" t="str">
        <x:v>UAVs/Drones</x:v>
      </x:c>
      <x:c r="C329" s="32" t="str">
        <x:v>L&amp;T TEER Aerial Target</x:v>
      </x:c>
      <x:c r="D329" s="32" t="str">
        <x:v>• Type: manoeuvrable recoverable aerial target (MRAT); launch: modular catapult launcher; onboard payloads: radar augmentation system, infrared and smoke flares, acoustic miss-distance indicator; designed for high speed and manoeuvrability to emulate aerial threats.</x:v>
      </x:c>
      <x:c r="E329" s="32" t="str">
        <x:v>• Recoverable air-defence target; modular launcher; threat-emulation payloads; TEER NG under development as a high-speed low-flying aerial target.</x:v>
      </x:c>
      <x:c r="F329" s="38" t="str">
        <x:v>https://www.lntpes.com/our-offerings/aerospace-systems/unmanned-aerial-vehicles-uavs/lt-teer-aerial-target
https://www.reuters.com/world/india/lt-says-unit-that-houses-drones-see-threefold-revenue-growth-over-five-years-2026-08-07/</x:v>
      </x:c>
    </x:row>
    <x:row r="330" ht="210" customHeight="1">
      <x:c r="A330" s="37" t="str">
        <x:v>Larsen &amp; Toubro (L&amp;T)</x:v>
      </x:c>
      <x:c r="B330" s="32" t="str">
        <x:v>UAVs/Drones</x:v>
      </x:c>
      <x:c r="C330" s="32" t="str">
        <x:v>L&amp;T TEER production programme</x:v>
      </x:c>
      <x:c r="D330" s="32" t="str">
        <x:v>• L&amp;T reported plans to deliver 100 Teer drones to the Indian Air Force, with production underway in 2026.</x:v>
      </x:c>
      <x:c r="E330" s="32" t="str">
        <x:v>• Aerial-target production and delivery at scale.</x:v>
      </x:c>
      <x:c r="F330" s="38" t="str">
        <x:v>https://www.reuters.com/world/india/lt-says-unit-that-houses-drones-see-threefold-revenue-growth-over-five-years-2026-08-07/</x:v>
      </x:c>
    </x:row>
    <x:row r="331" ht="210" customHeight="1">
      <x:c r="A331" s="37" t="str">
        <x:v>Larsen &amp; Toubro (L&amp;T)</x:v>
      </x:c>
      <x:c r="B331" s="32" t="str">
        <x:v>UAVs/Drones</x:v>
      </x:c>
      <x:c r="C331" s="32" t="str">
        <x:v>L&amp;T Vedh Mk-1 / Chanakya</x:v>
      </x:c>
      <x:c r="D331" s="32" t="str">
        <x:v>• L&amp;T publicly showcased the domestically developed Vedh Mk-1 and Chanakya UAVs in 2026; product-specific public technical figures remain limited.</x:v>
      </x:c>
      <x:c r="E331" s="32" t="str">
        <x:v>• Indigenous UAV development; part of L&amp;T's expanding unmanned systems portfolio.</x:v>
      </x:c>
      <x:c r="F331" s="38" t="str">
        <x:v>https://www.reuters.com/world/india/lt-says-unit-that-houses-drones-see-threefold-revenue-growth-over-five-years-2026-08-07/</x:v>
      </x:c>
    </x:row>
    <x:row r="332" ht="210" customHeight="1">
      <x:c r="A332" s="37" t="str">
        <x:v>Larsen &amp; Toubro (L&amp;T)</x:v>
      </x:c>
      <x:c r="B332" s="32" t="str">
        <x:v>Missiles</x:v>
      </x:c>
      <x:c r="C332" s="32" t="str">
        <x:v>Akash / Surface-to-Air Missile Launcher Systems</x:v>
      </x:c>
      <x:c r="D332" s="32" t="str">
        <x:v>• Launcher configuration depends on service variant; Akash family launchers typically carry 3 missiles</x:v>
      </x:c>
      <x:c r="E332" s="32" t="str">
        <x:v>• Integrated launcher / ground-system manufacturing capability
• Electro-mechanical launcher and system-integration expertise</x:v>
      </x:c>
      <x:c r="F332" s="38" t="str">
        <x:v>https://www.lntpes.com/our-offerings/land-platforms-equipment-and-systems/weapon-launch-systems</x:v>
      </x:c>
    </x:row>
    <x:row r="333" ht="210" customHeight="1">
      <x:c r="A333" s="37" t="str">
        <x:v>Larsen &amp; Toubro (L&amp;T)</x:v>
      </x:c>
      <x:c r="B333" s="32" t="str">
        <x:v>Missiles</x:v>
      </x:c>
      <x:c r="C333" s="32" t="str">
        <x:v>BrahMos ground launcher / ground support equipment</x:v>
      </x:c>
      <x:c r="D333" s="32" t="str">
        <x:v>• Mobile Autonomous Launcher (MAL)
• Mobile Command Post (MCP)
• Ancillary vehicles and communications systems
• Missile itself is a BrahMos Aerospace product, not an L&amp;T-owned missile</x:v>
      </x:c>
      <x:c r="E333" s="32" t="str">
        <x:v>• Mobile supersonic-cruise-missile deployment support
• Command/control
• Transport and launch integration</x:v>
      </x:c>
      <x:c r="F333" s="38" t="str">
        <x:v>https://fliphtml5.com/nqrhl/smwl/Defexpo_2022_ShowDaily01/</x:v>
      </x:c>
    </x:row>
    <x:row r="334" ht="210" customHeight="1">
      <x:c r="A334" s="37" t="str">
        <x:v>Larsen &amp; Toubro (L&amp;T)</x:v>
      </x:c>
      <x:c r="B334" s="32" t="str">
        <x:v>Missiles</x:v>
      </x:c>
      <x:c r="C334" s="32" t="str">
        <x:v>Nag missile carrier</x:v>
      </x:c>
      <x:c r="D334" s="32" t="str">
        <x:v>• Carrier/platform for Nag anti-tank missile system
• L&amp;T won an early IGMDP contract for Nag missile carrier
• Missile performance belongs to DRDO/Nag program</x:v>
      </x:c>
      <x:c r="E334" s="32" t="str">
        <x:v>• Mobile ATGM deployment
• Armoured carrier integration</x:v>
      </x:c>
      <x:c r="F334" s="38" t="str">
        <x:v>https://newsnviews.larsentoubro.com/Lists/Article/DispForm.aspx?ContentTypeId=0x0100EF455C4C063A584F87C6890804F21B42&amp;ID=807</x:v>
      </x:c>
    </x:row>
    <x:row r="335" ht="210" customHeight="1">
      <x:c r="A335" s="37" t="str">
        <x:v>Larsen &amp; Toubro (L&amp;T)</x:v>
      </x:c>
      <x:c r="B335" s="32" t="str">
        <x:v>Missiles</x:v>
      </x:c>
      <x:c r="C335" s="32" t="str">
        <x:v>Trishul launcher</x:v>
      </x:c>
      <x:c r="D335" s="32" t="str">
        <x:v>• Ground launcher hardware for Trishul SAM program
• Historical IGMDP industrial role
• Missile performance belongs to DRDO program</x:v>
      </x:c>
      <x:c r="E335" s="32" t="str">
        <x:v>• Surface-to-air missile launch integration</x:v>
      </x:c>
      <x:c r="F335" s="38" t="str">
        <x:v>https://newsnviews.larsentoubro.com/Lists/Article/DispForm.aspx?ContentTypeId=0x0100EF455C4C063A584F87C6890804F21B42&amp;ID=807</x:v>
      </x:c>
    </x:row>
    <x:row r="336" ht="210" customHeight="1">
      <x:c r="A336" s="37" t="str">
        <x:v>Patria</x:v>
      </x:c>
      <x:c r="B336" s="32" t="str">
        <x:v>Artillery</x:v>
      </x:c>
      <x:c r="C336" s="32" t="str">
        <x:v>Patria AMOS</x:v>
      </x:c>
      <x:c r="D336" s="32" t="str">
        <x:v>• 120 mm automatic mortar system; twin-barrel turreted mortar architecture; designed for mobile armoured platforms; associated with Patria AMV heavy weapon platform and earlier AMOS integrations.</x:v>
      </x:c>
      <x:c r="E336" s="32" t="str">
        <x:v>• High-rate automated indirect fire; armoured vehicle integration; direct/indirect fire capability.</x:v>
      </x:c>
      <x:c r="F336" s="38" t="str">
        <x:v>https://www.armyrecognition.com/archives/archives-land-defense/land-defense-2021/idex-2021-patria-showcases-amvxp-8x8-armored-vehicle
https://www.patriagroup.com/about-us/business-units/land</x:v>
      </x:c>
    </x:row>
    <x:row r="337" ht="210" customHeight="1">
      <x:c r="A337" s="37" t="str">
        <x:v>Patria</x:v>
      </x:c>
      <x:c r="B337" s="32" t="str">
        <x:v>Artillery</x:v>
      </x:c>
      <x:c r="C337" s="32" t="str">
        <x:v>Patria NEMO 120 mm Mortar System</x:v>
      </x:c>
      <x:c r="D337" s="32" t="str">
        <x:v>• Calibre: 120 mm smoothbore mortar
• Turreted, remote-controlled
• Full 360° traverse
• MRSI and MTSI
• Up to 5 rounds can hit separate targets simultaneously in MTSI
• Compatible with standard 120 mm smoothbore mortar ammunition and smart guided ammunition
• Can fire direct and indirect
• Fire-on-the-move
• Exact mass/rate/range vary by carrier/configuration
• Turret weight: ~1,900 kg
• Barrel length: 3,000 mm
• Elevation: -3° to +85°
• Traverse: 360°
• Time to open fire: &lt;25–30 sec
• First 3 rounds: 15 sec
• Maximum rate: 10 rounds/min
• Sustained rate: 6 rounds/min
• Range: 10+ km ammunition dependent
• MRSI: up to 5 rounds over ~1–6.5 km</x:v>
      </x:c>
      <x:c r="E337" s="32" t="str">
        <x:v>• Sensor-to-shooter
• Tactical data network
• C2 integration
• NBC/muzzle-blast protection
• Modular ballistic protection
• Shoot-and-scoot
• Remote-controlled turret
• Hydropneumatic recoil
• Automatic loading with manual backup
• Direct and indirect fire
• Fire-on-the-move
• Land and naval integration</x:v>
      </x:c>
      <x:c r="F337" s="38" t="str">
        <x:v>https://www.patriagroup.com/products-and-services/defence-and-weapon-systems/armament/patria-nemo
https://www.janes.com/defence-intelligence-insights/defence-news/weapons/iav-2026-ajax-nemo-mortar-carrier-unveiled
https://www.weaponspecs.com/systems/patria/patria-nemo/</x:v>
      </x:c>
    </x:row>
    <x:row r="338" ht="210" customHeight="1">
      <x:c r="A338" s="37" t="str">
        <x:v>Patria</x:v>
      </x:c>
      <x:c r="B338" s="32" t="str">
        <x:v>Artillery</x:v>
      </x:c>
      <x:c r="C338" s="32" t="str">
        <x:v>Patria NEMO Container</x:v>
      </x:c>
      <x:c r="D338" s="32" t="str">
        <x:v>• Standard 20-foot container integration
• 120 mm turreted mortar
• Standalone power unit
• NBC/air conditioning
• Integrated ammunition storage
• Transportable and fireable from land, sea and rail platforms
• Ballistic protection tailored to customer
• Container: standard 20 ft ISO
• Container curb weight without weapon: ~6,600 kg
• Gross weight with weapon/crew/ammunition: ~11,400 kg
• Dimensions: 6,058 mm L × 2,438 mm W × 2,591 mm H
• Typical ammunition: 50–100 rounds depending integration
• Mortar: 120 mm smoothbore
• Rate of fire: 10 rounds/min max; 6 sustained
• Range: 10+ km
• Crew: 2–3</x:v>
      </x:c>
      <x:c r="E338" s="32" t="str">
        <x:v>• Plug-and-play
• Standalone firing unit
• Land/naval/base protection
• MRSI/direct fire
• Containerized land/naval fire-support system
• Independent operation with APU
• Direct and indirect fire
• MRSI
• Can be carried by trucks or suitable vessels</x:v>
      </x:c>
      <x:c r="F338" s="38" t="str">
        <x:v>https://www.patriagroup.com/products-and-services/defence-and-weapon-systems/armament/patria-nemo-container</x:v>
      </x:c>
    </x:row>
    <x:row r="339" ht="210" customHeight="1">
      <x:c r="A339" s="37" t="str">
        <x:v>Patria</x:v>
      </x:c>
      <x:c r="B339" s="32" t="str">
        <x:v>Artillery</x:v>
      </x:c>
      <x:c r="C339" s="32" t="str">
        <x:v>Patria TREMOS</x:v>
      </x:c>
      <x:c r="D339" s="32" t="str">
        <x:v>• Mortar: 120/81 mm smoothbore
• Muzzle-loaded/manual
• Hydro-pneumatic recoil system
• Traverse: ±185°
• Active elevation: +40° to +80°; maintenance −3°
• Integration module/weapon example weight: 2,800 kg in one brochure; later brochure gives 1,600–3,500 kg configuration range
• Crew: 3–4 in brochure; current page says can be operated by 3
• Max rate: 12–15 rds/min
• First 3 rounds: 15 sec
• Range: 7+ km ammunition-dependent
• Open fire: &lt;60 sec from firing position; &lt;30 sec from known position in current description
• Calibre: 120/81 mm smoothbore
• System integration-module + weapon example weight: ~2,800 kg
• Time to open fire: &lt;60 sec
• Maximum rate of fire: 12–15 rounds/min</x:v>
      </x:c>
      <x:c r="E339" s="32" t="str">
        <x:v>• Shoot-and-scoot
• No ground support required
• INU/BMS connection
• Vehicle integration: 4×4, 6×6, 8×8, light tracked
• Existing tube/breech/ammunition compatibility
• Muzzle-loaded manual mortar with hydropneumatic recoil
• Integrates on 4×4, 6×6, 8×8 and light tracked platforms
• INU and BMS options
• Can reuse existing mortar tubes/ammunition/ballistic tables</x:v>
      </x:c>
      <x:c r="F339" s="38" t="str">
        <x:v>https://www.patriagroup.com/download/patria-tremos-brochure
https://www.patriagroup.com/products-and-services/defence-and-weapon-systems/armament/patria-tremos</x:v>
      </x:c>
    </x:row>
    <x:row r="340" ht="210" customHeight="1">
      <x:c r="A340" s="37" t="str">
        <x:v>Patria</x:v>
      </x:c>
      <x:c r="B340" s="32" t="str">
        <x:v>Protected Vehicles</x:v>
      </x:c>
      <x:c r="C340" s="32" t="str">
        <x:v>Patria 6×6</x:v>
      </x:c>
      <x:c r="D340" s="32" t="str">
        <x:v>• Configuration: 6×6
• Crew: 2 front
• Troop capacity: up to 10 soldiers
• Designed around 72-hour mission equipment requirement
• Continuous all-wheel drive
• Steering on front two axles
• Optional amphibious capability
• Mission variants include APC, command, medical evacuation, heavy APC and NEMO carrier
• Detailed weight/power/speed figures vary by customer configuration
• Maximum combat weight: up to ~24 t
• Maximum payload: up to ~8.5 t
• Length: ~7.5 m
• Width: ~2.9 m
• Height over hull: ~2.5 m
• Crew/capacity: 2 + up to 10 troops
• Engine: ~294 kW public technical reference
• Maximum road speed: &gt;100 km/h
• Road range: ~700 km
• Amphibious speed: up to ~8 km/h in public technical references</x:v>
      </x:c>
      <x:c r="E340" s="32" t="str">
        <x:v>• Modular protected mobility
• High internal volume
• CAVS program
• NEMO integration
• Optional RWS/C-UAS integration
• Independent suspension
• Optional amphibious capability
• Baseline STANAG Level 2 protection; upgradeable to Level 4
• Modular APC, command, medevac, heavy APC and NEMO variants</x:v>
      </x:c>
      <x:c r="F340" s="38" t="str">
        <x:v>https://www.patriagroup.com/products-and-services/protected-mobility/wheeled-mobility/patria-6x6
https://www.patriagroup.com/newsroom/news/2026/patrias-full-offering-presented-at-eurosatory-2026
https://defence.nridigital.com/global_defence_technology_nov19/patria</x:v>
      </x:c>
    </x:row>
    <x:row r="341" ht="210" customHeight="1">
      <x:c r="A341" s="37" t="str">
        <x:v>Patria</x:v>
      </x:c>
      <x:c r="B341" s="32" t="str">
        <x:v>Protected Vehicles</x:v>
      </x:c>
      <x:c r="C341" s="32" t="str">
        <x:v>Patria AMV 8x8</x:v>
      </x:c>
      <x:c r="D341" s="32" t="str">
        <x:v>• 8x8 modular armoured vehicle; three main platform models: Basic, High Roof and Heavy Weapon Platform; roles include APC, IFV, command/C3, ambulance, reconnaissance, ATGM, ARRV, mortar carrier and MGS; can integrate weapon systems from 7.62 mm through 105 mm and 120 mm mortar systems; modular ballistic/mine/IED protection.</x:v>
      </x:c>
      <x:c r="E341" s="32" t="str">
        <x:v>• High modularity; role conversion; heavy weapon integration; large internal volume.</x:v>
      </x:c>
      <x:c r="F341" s="38" t="str">
        <x:v>https://www.armyrecognition.com/military-products/army/armoured-personnel-carriers/wheeled-vehicles/amv-patria-finland-uk
https://www.armyrecognition.com/archives/archives-land-defense/land-defense-2021/idex-2021-patria-showcases-amvxp-8x8-armored-vehicle</x:v>
      </x:c>
    </x:row>
    <x:row r="342" ht="210" customHeight="1">
      <x:c r="A342" s="37" t="str">
        <x:v>Patria</x:v>
      </x:c>
      <x:c r="B342" s="32" t="str">
        <x:v>Protected Vehicles</x:v>
      </x:c>
      <x:c r="C342" s="32" t="str">
        <x:v>Patria AMV XP 8×8</x:v>
      </x:c>
      <x:c r="D342" s="32" t="str">
        <x:v>• Configuration: 8×8
• Length: 8.1 m; optional 8.5 m
• Height over hull: 2.4 m; optional 2.7 m
• Width: 2.8 m
• Maximum payload: 15,000 kg
• Maximum combat weight: 32,000 kg
• Maximum speed: &gt;100 km/h
• Grade: 60%
• Side slope: 30%
• Obstacle: 0.7 m
• Trench: 2.1 m
• Fording: 1.8 m
• Operating range: 800–1,000 km
• Optional swimming: 6–9 km/h
• Engine: 450 kW, 6-cylinder diesel, 2,140 Nm
• Transmission: automatic 7+2
• Continuous AWD
• Independent suspension; hydro-pneumatic spring elements
• 350 A generator, 560 A optional
• Maximum combat weight: up to 32,000 kg
• Maximum payload: up to ~15,000 kg
• Trench crossing: ~2.1 m
• Vertical obstacle: ~0.7 m</x:v>
      </x:c>
      <x:c r="E342" s="32" t="str">
        <x:v>• Modular ballistic/mine/IED protection
• Weapon/turret integration
• C4I/BMS integration
• Amphibious option
• Technology-transfer/local-production options
• Independent hydropneumatic suspension
• Optional amphibious capability
• Modular ballistic protection up to K5+ and mine protection above STANAG 4a/4b
• Weapon integration up to 120 mm direct-fire cannon, NEMO and missiles
• Digital vehicle architecture</x:v>
      </x:c>
      <x:c r="F342" s="38" t="str">
        <x:v>https://www.patriagroup.com/download/patria-amv-xp-a4210x297mm-05-2023-webpdf
https://www.patriagroup.com/newsroom/patria-magazine/tech/patria-amv-xp-performance-evolved
https://www.patriagroup.com/products-and-services/protected-mobility/wheeled-mobility/patria-amv-xp-number-1-in-the-battlefield
https://defence.nridigital.com/global_defence_technology_nov19/patria</x:v>
      </x:c>
    </x:row>
    <x:row r="343" ht="210" customHeight="1">
      <x:c r="A343" s="37" t="str">
        <x:v>Patria</x:v>
      </x:c>
      <x:c r="B343" s="32" t="str">
        <x:v>Protected Vehicles</x:v>
      </x:c>
      <x:c r="C343" s="32" t="str">
        <x:v>Patria TRACKX</x:v>
      </x:c>
      <x:c r="D343" s="32" t="str">
        <x:v>• Tracked armoured vehicle
• Newly developed platform
• 2026 showcased with NEMO configuration
• Detailed mass, power, speed and protection figures not yet comprehensively public
• Tracked armoured vehicle; combat weight: 15,000 kg; payload: ~3.5 t; troop capacity: 10 dismounts + driver/commander; operational range: ~500 km; road speed: 80 km/h; amphibious swim speed: ~4 km/h; ground clearance: 0.55 m; engine: 360 hp, 1,423 Nm @ 1,400 rpm; gradient: 60%; trench: 2 m; operating temperature: -46°C to +44°C; low ground pressure reported at 32 kPa.</x:v>
      </x:c>
      <x:c r="E343" s="32" t="str">
        <x:v>• Tracked mobility
• NEMO integration
• Future modular combat/support platform
• Low-ground-pressure tracked mobility; amphibious operation; NEMO integration; Nordic/low-bearing-terrain focus.</x:v>
      </x:c>
      <x:c r="F343" s="38" t="str">
        <x:v>https://www.patriagroup.com/newsroom/news/2026/patrias-full-offering-presented-at-eurosatory-2026
https://www.armyrecognition.com/news/army-news/2026/patria-eurosatory-2026-land-warfare-portfolio</x:v>
      </x:c>
    </x:row>
    <x:row r="344" ht="210" customHeight="1">
      <x:c r="A344" s="37" t="str">
        <x:v>Patria</x:v>
      </x:c>
      <x:c r="B344" s="32" t="str">
        <x:v>Marine/Naval</x:v>
      </x:c>
      <x:c r="C344" s="32" t="str">
        <x:v>Patria NEMO Navy</x:v>
      </x:c>
      <x:c r="D344" s="32" t="str">
        <x:v>• 120 mm turreted naval mortar
• Remote-controlled
• Naval vessel integration
• Same core NEMO weapon architecture
• Exact ship integration and ammunition capacity are platform-specific
• Calibre: 120 mm smoothbore
• Rate of fire / range follow NEMO turret: up to 10 rounds/min; 10+ km ammunition dependent</x:v>
      </x:c>
      <x:c r="E344" s="32" t="str">
        <x:v>• Naval indirect fire
• Direct fire/self-defence
• MRSI
• Stabilised fire-control integration
• Naval integration for fast patrol/coastal vessels
• Remote-controlled turret
• Direct and indirect fire
• MRSI capability</x:v>
      </x:c>
      <x:c r="F344" s="38" t="str">
        <x:v>https://www.patriagroup.com/products-and-services/defence-and-weapon-systems/armament/patria-nemo
https://www.patriagroup.com/products-and-services/defence-and-weapon-systems/armament</x:v>
      </x:c>
    </x:row>
    <x:row r="345" ht="210" customHeight="1">
      <x:c r="A345" s="37" t="str">
        <x:v>Patria</x:v>
      </x:c>
      <x:c r="B345" s="32" t="str">
        <x:v>UAVs/Drones</x:v>
      </x:c>
      <x:c r="C345" s="32" t="str">
        <x:v>Patria GEO</x:v>
      </x:c>
      <x:c r="D345" s="32" t="str">
        <x:v>• Patria drone solution
• Exact airframe/performance parameters not comprehensively disclosed in current portfolio page</x:v>
      </x:c>
      <x:c r="E345" s="32" t="str">
        <x:v>• Aerial mapping/measurement
• Surveillance and inspection</x:v>
      </x:c>
      <x:c r="F345" s="38" t="str">
        <x:v>https://www.patriagroup.com/products-and-services/defence-and-weapon-systems</x:v>
      </x:c>
    </x:row>
    <x:row r="346" ht="210" customHeight="1">
      <x:c r="A346" s="37" t="str">
        <x:v>Patria</x:v>
      </x:c>
      <x:c r="B346" s="32" t="str">
        <x:v>UAVs/Drones</x:v>
      </x:c>
      <x:c r="C346" s="32" t="str">
        <x:v>Patria ONE</x:v>
      </x:c>
      <x:c r="D346" s="32" t="str">
        <x:v>• Patria drone solution
• Exact airframe and performance parameters depend on mission configuration</x:v>
      </x:c>
      <x:c r="E346" s="32" t="str">
        <x:v>• Aerial data collection
• Surveillance/mapping</x:v>
      </x:c>
      <x:c r="F346" s="38" t="str">
        <x:v>https://www.patriagroup.com/products-and-services/defence-and-weapon-systems</x:v>
      </x:c>
    </x:row>
    <x:row r="347" ht="210" customHeight="1">
      <x:c r="A347" s="37" t="str">
        <x:v>Patria</x:v>
      </x:c>
      <x:c r="B347" s="32" t="str">
        <x:v>UAVs/Drones</x:v>
      </x:c>
      <x:c r="C347" s="32" t="str">
        <x:v>Patria SKY</x:v>
      </x:c>
      <x:c r="D347" s="32" t="str">
        <x:v>• Long-range drone in Patria drone portfolio
• Intended for multipurpose use
• Exact MTOW/endurance/payload not comprehensively public on current portfolio page</x:v>
      </x:c>
      <x:c r="E347" s="32" t="str">
        <x:v>• Long-range aerial sensing
• Multipurpose ISR</x:v>
      </x:c>
      <x:c r="F347" s="38" t="str">
        <x:v>https://www.patriagroup.com/products-and-services/defence-and-weapon-systems</x:v>
      </x:c>
    </x:row>
    <x:row r="348" ht="210" customHeight="1">
      <x:c r="A348" s="37" t="str">
        <x:v>Supacat</x:v>
      </x:c>
      <x:c r="B348" s="32" t="str">
        <x:v>Artillery</x:v>
      </x:c>
      <x:c r="C348" s="32" t="str">
        <x:v>HMT Common Base Platform — 105 Light Gun Carrier</x:v>
      </x:c>
      <x:c r="D348" s="32" t="str">
        <x:v>• Carrier: HMT Common Base Platform
• Weapon: 105 mm Light Gun integration</x:v>
      </x:c>
      <x:c r="E348" s="32" t="str">
        <x:v>• Mobile artillery / gun-tractor mission module using HMT common platform
• Designed for high strategic and tactical mobility</x:v>
      </x:c>
      <x:c r="F348" s="38" t="str">
        <x:v>https://supacat.com/brochures/</x:v>
      </x:c>
    </x:row>
    <x:row r="349" ht="210" customHeight="1">
      <x:c r="A349" s="37" t="str">
        <x:v>Supacat</x:v>
      </x:c>
      <x:c r="B349" s="32" t="str">
        <x:v>Protected Vehicles</x:v>
      </x:c>
      <x:c r="C349" s="32" t="str">
        <x:v>HMT Armoured Closed Cab</x:v>
      </x:c>
      <x:c r="D349" s="32" t="str">
        <x:v>• Crew: 4; length: 7.136 m; width: 2.05 m; height: 2.74 m; ground clearance: 0.18–0.485 m; track: 1.7 m; wheelbase: 4.25 m; GVW: 12,000 kg; laden kerb: ~8,000 kg; payload: ~4,000 kg; configuration: 6x6; max speed: 120 km/h; range: ~800 km; fuel: 195 L; fording: 1 m; approach: 40°; departure: 38°; grade: 60%.
• Configuration: 6×6
• Length: 7.136 m
• Width: 2.05 m
• Height: 2.74 m
• Track: 1.7 m
• Wheelbase: 4.25 m
• GVW: 12,000 kg
• Kerb weight laden: 8,000 kg
• Payload: 4,000 kg; ~3,500 kg with integrated blast/ballistic armour in one statement
• Max speed: 120 km/h
• Range: 800 km
• Fuel: 195 L
• Fording: 1 m unprepared
• Approach/departure: 40°/38°
• Grade: 60°
• Kerb weight: ~8,000 kg including protection/crew/comms
• Maximum speed: 120 km/h
• Approach angle: 40°
• Departure angle: 38°
• Gradient: 60%</x:v>
      </x:c>
      <x:c r="E349" s="32" t="str">
        <x:v>• Integral blast/ballistic protection option; commander/driver/two mission crew; complex mission-system carrier; GBAD, anti-armour, ambulance, recovery and troop-carrier roles.
• Integral blast/ballistic protection capability
• GVA compliant
• Complex mission-system integration
• Integral blast and ballistic protection
• GVA-compliant mission-system integration
• Roles include GBAD, anti-armour, ambulance, recovery and troop carrier</x:v>
      </x:c>
      <x:c r="F349" s="38" t="str">
        <x:v>https://supacat.com/wp-content/uploads/2024/08/HMT_Armoured_Close-Cab_4_People-2.pdf
https://www.scribd.com/document/981484408/HMT-Armoured-Closed-Cab-Platform
https://supacat.com/products/hmt-armoured-closed-cab
https://supacat.com/wp-content/uploads/2024/08/HMT-Armoured-Closed-Cab-Platform.pdf
https://supacat.com/products/hmt-armoured-closed-cab/</x:v>
      </x:c>
    </x:row>
    <x:row r="350" ht="210" customHeight="1">
      <x:c r="A350" s="37" t="str">
        <x:v>Supacat</x:v>
      </x:c>
      <x:c r="B350" s="32" t="str">
        <x:v>Protected Vehicles</x:v>
      </x:c>
      <x:c r="C350" s="32" t="str">
        <x:v>HMT Common Base Platform (CBP)</x:v>
      </x:c>
      <x:c r="D350" s="32" t="str">
        <x:v>• HMT 4×4 / 6×6 family platform; detailed configuration depends on selected mission module</x:v>
      </x:c>
      <x:c r="E350" s="32" t="str">
        <x:v>• Mission modules include SHORAD, 120 mm mortar, ambulance, logistics, troop carrying, C2 and recovery
• Armoured or unarmoured; open or closed architecture</x:v>
      </x:c>
      <x:c r="F350" s="38" t="str">
        <x:v>https://supacat.com/products/hmt/hmt-cbp/
https://supacat.com/media/news/2023/09/common-base-platform-integral-to-the-british-army/</x:v>
      </x:c>
    </x:row>
    <x:row r="351" ht="210" customHeight="1">
      <x:c r="A351" s="37" t="str">
        <x:v>Supacat</x:v>
      </x:c>
      <x:c r="B351" s="32" t="str">
        <x:v>Protected Vehicles</x:v>
      </x:c>
      <x:c r="C351" s="32" t="str">
        <x:v>HMT Extenda Mk3</x:v>
      </x:c>
      <x:c r="D351" s="32" t="str">
        <x:v>• Configurations: 4×4 and 6×6
• GVW: 9,000 kg (4×4) / 12,000 kg (6×6)
• Kerb weight with fuel/armour example: 6,600 / 7,800 kg
• Payload: 2,400 / 4,200 kg
• Length: 5.8 / 7.05 m
• Width: 2.05 m
• Height: min 1.885 / max 2.445 m
• Turning circle: 13.5 / 17.5 m
• Max speed: 120 km/h
• Fuel: 230 L
• Road range: 1,000 km
• Fording: 1,000 mm unprepared
• Grade: 60%
• Side slope: 32°
• Engine: Cummins 6.7 L 6-cylinder diesel, 182 hp, 700 Nm
• Transmission: 5-speed automatic
• Drive: 2WD/4WD high-low
• 24 V DC electrical system
• Independent air suspension with adjustable ride height
• Ground clearance: 180–485 mm
• Approach/departure: 40°/40°
• Air transport: C-130, A400M, C-17, CH-47 underslung configuration-dependent
• Configurations: 4×4 / 6×6
• Kerb with fuel &amp; armour: ~6,600 / 7,800 kg
• Maximum speed: 120 km/h
• Fuel capacity: 230 L
• Gradient: 60%</x:v>
      </x:c>
      <x:c r="E351" s="32" t="str">
        <x:v>• Modular 4×4-to-6×6 conversion
• Variable ride height
• Weapon/RWS integration
• CTIS/run-flat options
• Mine/ballistic protection
• Logistics crane and mission modules
• Convertible 4×4/6×6 platform
• Independent air suspension with adjustable ride height
• Mine/blast and ballistic protection
• C-130/A400M/C-17 / CH-47 underslung transportability depending configuration
• CTIS, RWS, winch and modular protection options</x:v>
      </x:c>
      <x:c r="F351" s="38" t="str">
        <x:v>https://supacat.com/wp-content/uploads/2024/08/HMT-Extenda-Mk3.pdf
https://supacat.com/products/hmt/</x:v>
      </x:c>
    </x:row>
    <x:row r="352" ht="210" customHeight="1">
      <x:c r="A352" s="37" t="str">
        <x:v>Supacat</x:v>
      </x:c>
      <x:c r="B352" s="32" t="str">
        <x:v>Protected Vehicles</x:v>
      </x:c>
      <x:c r="C352" s="32" t="str">
        <x:v>HMT LWR</x:v>
      </x:c>
      <x:c r="D352" s="32" t="str">
        <x:v>• 6x6; weight/GVW: 10,500 kg; kerb weight: 6,600 kg; turning circle: 17.5 m; max speed: 120 km/h; fuel: 200 L; road range: ~700 km; fording: 750 mm unprepared, 1,500 mm prepared + 500 mm splash; gradient: 60%; engine: Cummins 5.9 L (6.7 L compatible), 185 hp, 700 Nm; 5-speed automatic; 4WD/6WD high-low; 335/80 R20 tyres; 24 V; independent air suspension with adjustable ride height; main winch: 10 t; self-recovery winch: 6.2 t; recovery axle mass: 3.8 t conventional / ~6 t Supalift.
• High Mobility Transporter Light Weight Recovery configuration
• Based on HMT family
• Closed-cab recovery role
• Exact recovery load, winch capacity and mass depend on configuration</x:v>
      </x:c>
      <x:c r="E352" s="32" t="str">
        <x:v>• Protected recovery vehicle; Supalift recovery architecture; modular hamper; RHD/LHD; run-flat, locking differential, RWS and smoke options.
• Recovery of casualty vehicles
• Crew protection
• Off-road recovery</x:v>
      </x:c>
      <x:c r="F352" s="38" t="str">
        <x:v>https://supacat.com.au/wp-content/uploads/2024/05/HMT-LWR-Closed-Cab.pdf
https://supacat.com/products/hmt-lwr/
https://supacat.com/media/news/2018/09/supacats-hmt-light-weight-recovery-lwr-progresses-through-development-trials/
https://supacat.com/products/</x:v>
      </x:c>
    </x:row>
    <x:row r="353" ht="210" customHeight="1">
      <x:c r="A353" s="37" t="str">
        <x:v>Supacat</x:v>
      </x:c>
      <x:c r="B353" s="32" t="str">
        <x:v>Protected Vehicles</x:v>
      </x:c>
      <x:c r="C353" s="32" t="str">
        <x:v>HMT Mk3 / Jackal 3</x:v>
      </x:c>
      <x:c r="D353" s="32" t="str">
        <x:v>• Configuration: 4×4 base; Extenda module enables 6×6
• HMT 400 series known as Jackal in British Army
• 2024 UK MoD order for 70 HMT Mk3 and subsequent Extenda order
• Improved suspension and increased gross vehicle mass over prior versions
• Exact Mk3 values are configuration dependent; Extenda technical sheet gives 9–12 t GVW depending 4×4/6×6
• Current Mk3 procured in 4×4 form; convertible to 6×6 via Extenda module
• Detailed current datasheet values are closely related to HMT Common Base / Extenda architecture; exact customer configuration varies</x:v>
      </x:c>
      <x:c r="E353" s="32" t="str">
        <x:v>• Very high off-road mobility
• Special forces/light forces
• Rapid role reconfiguration
• Air transportability
• Improved crew protection and higher gross vehicle mass than Mk2
• New suspension for improved off-road performance
• Modular platform for mission re-role</x:v>
      </x:c>
      <x:c r="F353" s="38" t="str">
        <x:v>https://supacat.com/projects/hmtmk3/
https://supacat.com/media/news/2023/02/super-win-supacat/
https://supacat.com/products/hmt/</x:v>
      </x:c>
    </x:row>
    <x:row r="354" ht="210" customHeight="1">
      <x:c r="A354" s="37" t="str">
        <x:v>Supacat</x:v>
      </x:c>
      <x:c r="B354" s="32" t="str">
        <x:v>Protected Vehicles</x:v>
      </x:c>
      <x:c r="C354" s="32" t="str">
        <x:v>Light Mobility Vehicle (LMV)</x:v>
      </x:c>
      <x:c r="D354" s="32" t="str">
        <x:v>• Configuration: 6×6
• Crew: 2+8
• Length: 6.427 m
• Width: 1.895 m
• Height: 1.844 m
• Ground clearance: 0.310 m under chassis / 0.21 m differential
• GVW: 6,500 kg
• Laden kerb: 3,200 kg
• Payload: 3,300 kg
• Max speed: 175 km/h
• Road range: 800 km
• Fuel: 80 L
• Fording: 0.725 m
• Approach: 37.5°
• Departure: 44.5°
• Grade: 60%
• Configuration: 4×4
• Configurations: 4×4 / 6×6
• Kerb: 2,500 / 3,200 kg
• Maximum speed: 175 km/h
• Fuel capacity: 80 L
• Approach angle: 37.5°
• Gradient: 60%</x:v>
      </x:c>
      <x:c r="E354" s="32" t="str">
        <x:v>• Mortar
• Ambulance
• Logistics
• Maintenance
• Modular mission cells
• Patrol/C2
• Anti-tank
• Air defence
• Dog-handler
• CH-47/C-130/A400M/C-17 transportability
• COTS Toyota automotive components with bespoke military chassis
• 40+ combat-cell configurations
• Crew-served GPMG/HMG/GMG ring mount and commander GPMG option
• Applique blast/ballistic protection</x:v>
      </x:c>
      <x:c r="F354" s="38" t="str">
        <x:v>https://supacat.com/wp-content/uploads/2024/08/LMV_2024-1.pdf
https://supacat.com/products/lmv/</x:v>
      </x:c>
    </x:row>
    <x:row r="355" ht="210" customHeight="1">
      <x:c r="A355" s="37" t="str">
        <x:v>Supacat</x:v>
      </x:c>
      <x:c r="B355" s="32" t="str">
        <x:v>Protected Vehicles</x:v>
      </x:c>
      <x:c r="C355" s="32" t="str">
        <x:v>LRV 400 Mk2</x:v>
      </x:c>
      <x:c r="D355" s="32" t="str">
        <x:v>• Light reconnaissance vehicle
• Engine: 3.0 L V6 turbo-diesel
• Power: 256 bhp
• Torque: 600 Nm
• Transmission: 8-speed automatic
• 4WD high/low range
• Front/rear independent double-wishbone air suspension
• Variable ride height
• Exact mass/payload/range not consistently published in current product material</x:v>
      </x:c>
      <x:c r="E355" s="32" t="str">
        <x:v>• Scaled-down Jackal-type mobility
• Chinook transportability
• Modular armour/weapons/comms</x:v>
      </x:c>
      <x:c r="F355" s="38" t="str">
        <x:v>https://supacat.com/media/news/2015/09/supacat-unveils-lrv-400-mk2-light-reconnaissance-vehicle-at-dsei/</x:v>
      </x:c>
    </x:row>
    <x:row r="356" ht="210" customHeight="1">
      <x:c r="A356" s="37" t="str">
        <x:v>Supacat</x:v>
      </x:c>
      <x:c r="B356" s="32" t="str">
        <x:v>Protected Vehicles</x:v>
      </x:c>
      <x:c r="C356" s="32" t="str">
        <x:v>Supacat Medium Utility Vehicle (MUV)</x:v>
      </x:c>
      <x:c r="D356" s="32" t="str">
        <x:v>• Configurations: 4x4 and 6x6; 4x4 GVM: 5,000 kg; 6x6 GVM: 6,500 kg; payload reported by Janes: up to 3.5 t; lengths: ~5.45 m (4x4) and ~6.45 m (6x6); flexible load bed; COTS-heavy driveline; true fly-and-drive concept.</x:v>
      </x:c>
      <x:c r="E356" s="32" t="str">
        <x:v>• Off-road/littoral utility; modular load bed; troop carrier; WMIK/discreet protection; mission-system integration; RWS/weapon mounts/ballistic armour options.</x:v>
      </x:c>
      <x:c r="F356" s="38" t="str">
        <x:v>https://www.janes.com/defence-intelligence-insights/defence-news/land/land-forces-2024-supacat-unveils-medium-utility-vehicle
https://supacat.com.au/products/medium-utility-vehicle/
https://supacat.com.au/wp-content/uploads/2024/09/PRO442-Supacat-MUV-SpecBrochure-0924-WEB.pdf</x:v>
      </x:c>
    </x:row>
    <x:row r="357" ht="210" customHeight="1">
      <x:c r="A357" s="37" t="str">
        <x:v>Supacat</x:v>
      </x:c>
      <x:c r="B357" s="32" t="str">
        <x:v>Missiles</x:v>
      </x:c>
      <x:c r="C357" s="32" t="str">
        <x:v>Brimstone HMT Overwatch</x:v>
      </x:c>
      <x:c r="D357" s="32" t="str">
        <x:v>• Carrier: Supacat HMT600 / HMT common-base platform
• Missile: MBDA Brimstone
• Launcher capacity is mission-module dependent; public demonstrators use multi-missile launcher architecture
• Missile range: long-range surface-launched anti-armour; exact current export range is not publicly stated on Supacat page</x:v>
      </x:c>
      <x:c r="E357" s="32" t="str">
        <x:v>• All-weather fire-and-forget precision anti-armour
• Salvo launch
• Line-of-sight / non-line-of-sight engagement
• Third-party targeting
• HMT high-mobility light-force integration</x:v>
      </x:c>
      <x:c r="F357" s="38" t="str">
        <x:v>https://supacat.com/media/news/2022/09/supacat-mbda-show-concept-demonstrator-new-brimstone-hmt/
https://www.mbda-systems.com/products/battlefield/surface-launched-brimstone</x:v>
      </x:c>
    </x:row>
    <x:row r="358" ht="210" customHeight="1">
      <x:c r="A358" s="37" t="str">
        <x:v>Otokar</x:v>
      </x:c>
      <x:c r="B358" s="32" t="str">
        <x:v>Protected Vehicles</x:v>
      </x:c>
      <x:c r="C358" s="32" t="str">
        <x:v>AKREP II 4×4</x:v>
      </x:c>
      <x:c r="D358" s="32" t="str">
        <x:v>• 4x4 reconnaissance/weapon-platform vehicle; rear U-type powerpack; steerable rear axle; compact low-profile architecture; can accommodate turrets up to 90 mm; powerpack and detailed mass/performance vary by displayed configuration.
• GVW: ~13,500 kg
• Crew: 3
• Length: 5,500 mm
• Width: 2,500 mm
• Hull height: 1,800 mm
• Ground clearance: 400 mm
• Powertrain options: diesel, electric or hybrid
• Maximum speed: ~110 km/h
• Gradeability: 60%
• Side slope: 40%
• Tyres: 395/85 R20 run-flat
• Weapon integration: turrets up to 90 mm</x:v>
      </x:c>
      <x:c r="E358" s="32" t="str">
        <x:v>• Reconnaissance, surveillance, forward observer, air defence and high-calibre direct-fire roles; crab steering; high mobility and mine/ballistic protection.
• Armoured reconnaissance / surveillance and direct-fire platform
• Four-wheel drive and rear-wheel steering / crab steering
• Low silhouette
• Air-defence, anti-tank, forward-observer and reconnaissance variants</x:v>
      </x:c>
      <x:c r="F358" s="38" t="str">
        <x:v>https://defense.otokar.com.tr/news/otokar-participates-in-idef-2025-with-10-armored-vehicles
https://defense.otokar.com.tr/news/otokar-showcases-cobra-ii-and-akrep-ii-at-dsa-in-malaysia
https://www.armyrecognition.com/news/defense-web-tv/tuerkiyes-otokar-showcases-new-generation-of-wheeled-and-tracked-combat-vehicles-at-idef-2025
https://defense.otokar.com.tr/OtokarSavunma/media/Otokar-Savunma/arac-brosur/akrepII-en.pdf
https://defense.otokar.com.tr/news/otokar-showcases-its-supreme-land-system-solutions-at-the-world-defense-show</x:v>
      </x:c>
    </x:row>
    <x:row r="359" ht="210" customHeight="1">
      <x:c r="A359" s="37" t="str">
        <x:v>Otokar</x:v>
      </x:c>
      <x:c r="B359" s="32" t="str">
        <x:v>Protected Vehicles</x:v>
      </x:c>
      <x:c r="C359" s="32" t="str">
        <x:v>ARMA 6×6</x:v>
      </x:c>
      <x:c r="D359" s="32" t="str">
        <x:v>• 6x6; GVW publicly reported around 18.5 t for baseline configuration; 450 hp diesel class; independent/hydropneumatic suspension; max speed about 105 km/h; range about 700 km; amphibious kit available; crew/carrying architecture varies by mission variant.
• GVW: up to 23,000 kg
• Crew capacity: up to 10 incl. driver/commander
• Length: 7,000 mm
• Width: 2,750 mm
• Hull height: 2,460 mm
• Ground clearance: 420 mm
• Engine: turbo-diesel, 450 hp
• Transmission: automatic
• Tyres: 14.00 R20 run-flat</x:v>
      </x:c>
      <x:c r="E359" s="32" t="str">
        <x:v>• APC/IFV, command, CBRN reconnaissance, recovery and other mission configurations; 25 mm MIZRAK turret integration; high tactical mobility and modular protection.
• Modular wheeled armoured combat vehicle
• Hydropneumatic / coil-spring independent suspension options
• Weapon and mission-system integration
• APC, combat, EW and specialist variants</x:v>
      </x:c>
      <x:c r="F359" s="38" t="str">
        <x:v>https://www.armyrecognition.com/archives/archives-land-defense/2021/idef-2021-video-review-of-tracked-and-wheeled-armored-vehicles-display-by-otokar
https://defense.otokar.com.tr/news/otokars-armored-unmanned-vehicle-alpar-and-arma-ii-on-international-stage
https://www.armyrecognition.com/news/defense-web-tv/tuerkiyes-otokar-showcases-new-generation-of-wheeled-and-tracked-combat-vehicles-at-idef-2025
https://defense.otokar.com.tr/OtokarSavunma/media/Otokar-Savunma/brochure/arma-6x6-az65ej-23-en.pdf
https://defense.otokar.com.tr/news/otokar-participates-in-idef-2025-with-10-armored-vehicles</x:v>
      </x:c>
    </x:row>
    <x:row r="360" ht="210" customHeight="1">
      <x:c r="A360" s="37" t="str">
        <x:v>Otokar</x:v>
      </x:c>
      <x:c r="B360" s="32" t="str">
        <x:v>Protected Vehicles</x:v>
      </x:c>
      <x:c r="C360" s="32" t="str">
        <x:v>ARMA 8×8</x:v>
      </x:c>
      <x:c r="D360" s="32" t="str">
        <x:v>• 8x8; GVW up to 40,000 kg; maximum crew capacity up to 12 including driver/commander; length 8,000 mm; width 3,000 mm; hull height 2,460 mm; ground clearance 450 mm; turbocharged diesel up to 720 hp; automatic transmission; fully independent suspension with hydro-pneumatic struts or spring/shock configuration; steerable 1st/2nd axles; 14.00 R20 or 16.00 R20 run-flat tyres; 24 V electrical system.
• GVW: 27,000 kg
• Crew capacity: up to 14 incl. driver/commander
• Length: 7,900 mm
• Width: 2,900 mm
• Hull height: 2,300 mm
• Ground clearance: 420 mm
• Engine options: 450–700 hp
• Maximum speed: &gt;100 km/h
• Amphibious speed: &gt;8 km/h
• Fording: 1,800 mm
• Gradeability: 60%
• Side slope: 30%
• Vertical obstacle: 700 mm
• Trench: 2,000 mm
• Approach / departure: 42° / 42°</x:v>
      </x:c>
      <x:c r="E360" s="32" t="str">
        <x:v>• Medium/high-calibre weapon integration; CTIS; modular armour; APC/IFV/C2/CBRN/recovery and other roles; 30 mm MIZRAK and other turret integrations.
• Optional amphibious capability
• Independent suspension
• Run-flat tyres
• Wide turret/weapon integration</x:v>
      </x:c>
      <x:c r="F360" s="38" t="str">
        <x:v>https://defense.otokar.com.tr/OtokarSavunma/media/Otokar-Savunma/brochure/arma8x8-az66ek-23-en.pdf
https://www.armyrecognition.com/news/defense-web-tv/tuerkiyes-otokar-showcases-new-generation-of-wheeled-and-tracked-combat-vehicles-at-idef-2025
https://defense.otokar.com.tr/OtokarSavunma/media/Otokar-Savunma/arac-brosur/ARMA-8X8-TR-BR-%2804-2019%29.pdf
https://defense.otokar.com.tr/wheeled-armored/8x8-armored/arma-8x8-armored</x:v>
      </x:c>
    </x:row>
    <x:row r="361" ht="210" customHeight="1">
      <x:c r="A361" s="37" t="str">
        <x:v>Otokar</x:v>
      </x:c>
      <x:c r="B361" s="32" t="str">
        <x:v>Protected Vehicles</x:v>
      </x:c>
      <x:c r="C361" s="32" t="str">
        <x:v>ARMA II 8×8</x:v>
      </x:c>
      <x:c r="D361" s="32" t="str">
        <x:v>• 8x8; GVW class up to 40 t; 720 hp Ecotorq 12.7 L six-cylinder turbo-diesel; automated transmission 6 forward/1 reverse; max speed at least 105 km/h; range 700 km; independent suspension; CTIS/run-flat tyres; crew/carrying capacity up to 12 in the displayed IFV configuration.
• Maximum GVW: 40 t
• Engine: ~720 hp 6-cylinder turbo-diesel
• Weapon integration: up to 120 mm class</x:v>
      </x:c>
      <x:c r="E361" s="32" t="str">
        <x:v>• Turkish indigenous powerpack; IFV, fire support with 105/120 mm, mortar carrier, air-defence, CBRN, reconnaissance, command, ambulance and recovery configurations.
• Next-generation heavy 8×8
• Roles include APC, AFV, C2, air defence, repair/recovery and heavy fire support</x:v>
      </x:c>
      <x:c r="F361" s="38" t="str">
        <x:v>https://www.janes.com/defence-intelligence-insights/defence-news/land/idef-2023-otokar-unveils-arma-ii-ifv-with-turkish-powerpack
https://www.armyrecognition.com/news/defense-web-tv/tuerkiyes-otokar-showcases-new-generation-of-wheeled-and-tracked-combat-vehicles-at-idef-2025
https://defense.otokar.com.tr/news/otokar-participates-in-idef-2025-with-10-armored-vehicles</x:v>
      </x:c>
    </x:row>
    <x:row r="362" ht="210" customHeight="1">
      <x:c r="A362" s="37" t="str">
        <x:v>Otokar</x:v>
      </x:c>
      <x:c r="B362" s="32" t="str">
        <x:v>Protected Vehicles</x:v>
      </x:c>
      <x:c r="C362" s="32" t="str">
        <x:v>COBRA II 4×4</x:v>
      </x:c>
      <x:c r="D362" s="32" t="str">
        <x:v>• 4x4; GVW up to 14,500 kg; crew/carrying capacity up to 11 including driver and commander; length 6,400 mm; width 2,500 mm; hull height 2,300 mm; ground clearance 400 mm; 360 hp turbocharged diesel; automatic transmission; 2-speed transfer case with differential lock; geared wheel hubs/differential locks; fully independent suspension; 24 V electrical system; 395/85 R20 run-flat tyres; max speed 110 km/h; road range 700 km; gradeability 60%; side slope 30%; vertical obstacle 500 mm; trench 1,000 mm; fording 1,000 mm; approach/departure 45°/55°.
• GVW: up to 14,500 kg
• Crew capacity: up to 11 incl. driver/commander
• Length: 6,400 mm with winch/spare
• Width: 2,500 mm
• Hull height: 2,300 mm
• Ground clearance: 400 mm
• Engine: turbo-diesel, 360 hp
• Transmission: automatic; 2-speed transfer case with differential lock
• Tyres: 395/85 R20 run-flat
• Fording: 1,000 mm
• Side slope: 30%
• Gradeability: 60%
• Vertical obstacle: 500 mm
• Trench: 1,000 mm
• Approach / departure: 45° / 55°
• Maximum speed: 110 km/h
• Range: 700 km</x:v>
      </x:c>
      <x:c r="E362" s="32" t="str">
        <x:v>• Modular ballistic/mine/IED protection; CTIS; ABS; driver vision enhancement; ARMATRONICS vehicle electronics; GPS/INS option; CBRN filtration; fire/explosion suppression option; radio/intercom; self-recovery winch; ambulance, C2, reconnaissance, jammer, MRAP, AT, air-defence and mortar/fire-detection configurations; weapon integration up to 25 mm reported by Army Recognition.
• Modular 4×4 armoured platform
• Ballistic/mine/IED protection
• CTIS, run-flats, ABS
• Optional amphibious configuration
• APC, anti-tank, reconnaissance, CBRN, C2, recovery and MEDEVAC roles</x:v>
      </x:c>
      <x:c r="F362" s="38" t="str">
        <x:v>https://defense.otokar.com.tr/OtokarSavunma/media/Otokar-Savunma/brochure/cobra-ii-az77ef-23-en.pdf
https://www.armyrecognition.com/military-products/army/armoured-personnel-carriers/wheeled-vehicles/cobra-ii-otokar-tactical-4x4-wheeled-armored-vehicle-data
https://www.janes.com/defence-intelligence-insights/defence-news/land/idef-2025-otokar-reveals-romanian-cobra-ii-configuration-25-mm-turret-variant
https://defense.otokar.com.tr/OtokarSavunma/media/Otokar-Savunma/brochure/cobra-ii-en-az77eg-25.pdf
https://defense.otokar.com.tr/wheeled-armored/4x4-armored/cobra-ii-4x4-armored</x:v>
      </x:c>
    </x:row>
    <x:row r="363" ht="210" customHeight="1">
      <x:c r="A363" s="37" t="str">
        <x:v>Otokar</x:v>
      </x:c>
      <x:c r="B363" s="32" t="str">
        <x:v>Protected Vehicles</x:v>
      </x:c>
      <x:c r="C363" s="32" t="str">
        <x:v>COBRA II MRAP</x:v>
      </x:c>
      <x:c r="D363" s="32" t="str">
        <x:v>• 4x4 MRAP derivative of COBRA II; up to 11 personnel depending seating layout; platform GVW up to ~14.5 t; independent suspension; 360 hp diesel; automatic transmission; 700 km range and 110 km/h class performance from the COBRA II platform.
• GVW: up to 19,000 kg
• Crew capacity: up to 11
• Length: 6,700 mm with winch
• Width: 2,850 mm excluding spare
• Height: 2,650 mm
• Ground clearance: 450 mm
• Engine: turbo-diesel, 375–400 hp
• Transmission: automatic
• Tyres: 14.00 R20 run-flat
• Range: 700 km
• Maximum speed: 105 km/h
• Fording: 1,000 mm
• Gradeability: 60%
• Side slope: 30%
• Vertical obstacle: 600 mm
• Trench: 1,000 mm</x:v>
      </x:c>
      <x:c r="E363" s="32" t="str">
        <x:v>• Enhanced mine/IED survivability; modular seating; weapon/mission-equipment integration; designed for extreme-risk areas.
• Mine-resistant ambush-protected configuration
• Floating floor / mine-protected seating
• CTIS and ramp door
• Optional CBRN, RPG protection, AFES, winterisation and 360° situational awareness</x:v>
      </x:c>
      <x:c r="F363" s="38" t="str">
        <x:v>https://defense.otokar.com.tr/news/otokar-participates-in-idef-2025-with-10-armored-vehicles
https://www.armyrecognition.com/military-products/army/armoured-personnel-carriers/wheeled-vehicles/cobra-ii-otokar-tactical-4x4-wheeled-armored-vehicle-data
https://defense.otokar.com.tr/OtokarSavunma/media/Otokar-Savunma/brochure/cobra-ii-mrap-az82ec-23-en.pdf
https://defense.otokar.com.tr/wheeled-armored/4x4-armored/cobra-ii-mrap</x:v>
      </x:c>
    </x:row>
    <x:row r="364" ht="210" customHeight="1">
      <x:c r="A364" s="37" t="str">
        <x:v>Otokar</x:v>
      </x:c>
      <x:c r="B364" s="32" t="str">
        <x:v>Protected Vehicles</x:v>
      </x:c>
      <x:c r="C364" s="32" t="str">
        <x:v>ISV 4x4</x:v>
      </x:c>
      <x:c r="D364" s="32" t="str">
        <x:v>• Light tactical 4x4 vehicle; model-level technical values not consistently disclosed in current sources.</x:v>
      </x:c>
      <x:c r="E364" s="32" t="str">
        <x:v>• Special operations, patrol and tactical mobility applications.</x:v>
      </x:c>
      <x:c r="F364" s="38" t="str">
        <x:v>https://www.armyrecognition.com/archives/archives-land-defense/land-defense-2022/indo-defence-2022-otokar-aims-to-strengthen-its-presence-in-southeast-asia
https://www.armyrecognition.com/news/army-news/army-news-2023/otokar-from-turkey-aims-to-grow-with-technology-transfer-and-local-manufacturing-opportunities-in-south-america</x:v>
      </x:c>
    </x:row>
    <x:row r="365" ht="210" customHeight="1">
      <x:c r="A365" s="37" t="str">
        <x:v>Otokar</x:v>
      </x:c>
      <x:c r="B365" s="32" t="str">
        <x:v>Protected Vehicles</x:v>
      </x:c>
      <x:c r="C365" s="32" t="str">
        <x:v>KAYA II MRAP</x:v>
      </x:c>
      <x:c r="D365" s="32" t="str">
        <x:v>• 4x4 mine-protected vehicle family; public sources identify KAYA II as a tactical armoured platform; detailed current model datasheet not consistently public.
• Base chassis: Mercedes Unimog FGA 14.5 Special Purpose
• Engine: Mercedes turbo-diesel, 302 hp
• Transmission: automatic
• Drive: permanent 4×4 with portal axles and selectable differential locks</x:v>
      </x:c>
      <x:c r="E365" s="32" t="str">
        <x:v>• Mine/IED protection, personnel transport and special mission roles.
• Mine-resistant personnel carrier
• Progressive coil springs / telescopic shock absorbers
• NATO blackout lighting and military systems provisions</x:v>
      </x:c>
      <x:c r="F365" s="38" t="str">
        <x:v>https://www.armyrecognition.com/archives/archives-land-defense/land-defense-2021/expodefensa-2021-otokar-presents-full-range-of-armored-vehicles
https://www.armyrecognition.com/archives/archives-land-defense/land-defense-2017/otokar-showcases-its-capabilities-in-defense-security-2017
https://defense.otokar.com.tr/OtokarSavunma/media/Otokar-Savunma/arac-brosur/KAYA-II-BR-EN-2019-%28AZ71EG-19%29.pdf</x:v>
      </x:c>
    </x:row>
    <x:row r="366" ht="210" customHeight="1">
      <x:c r="A366" s="37" t="str">
        <x:v>Otokar</x:v>
      </x:c>
      <x:c r="B366" s="32" t="str">
        <x:v>Protected Vehicles</x:v>
      </x:c>
      <x:c r="C366" s="32" t="str">
        <x:v>TULPAR</x:v>
      </x:c>
      <x:c r="D366" s="32" t="str">
        <x:v>• Tracked modular family; variants reported from 28,000 kg to 45,000 kg; front-mounted powerpack; turbocharged diesel; power range 700–1,100 hp; automatic transmission; seven dual rubber-tyre road wheels per side; torsion-bar suspension; automatic track tensioning.
• Vehicle weight range: 28,000–45,000 kg depending variant
• Engine-power options: 700–1,100 hp
• Weapon integration: 7.62 mm through 120 mm
• Suspension: torsion-bar, seven dual road wheels per side
• Automatic track-tension system</x:v>
      </x:c>
      <x:c r="E366" s="32" t="str">
        <x:v>• Medium tank, IFV, APC, reconnaissance, command/C2, air defence, mortar, recovery, ambulance and fire-support roles; weapon integration from 7.62 mm to 120 mm; 30 mm MIZRAK and Leonardo HITFACT MkII 120 mm configurations demonstrated.
• Modular tracked common platform
• Light/medium tank, IFV, APC, reconnaissance, C2, air defence, ambulance, recovery and mortar variants
• Modular armour / high ballistic and mine protection</x:v>
      </x:c>
      <x:c r="F366" s="38" t="str">
        <x:v>https://defense.otokar.com.tr/tracked-armored/tulpar-armored
https://defense.otokar.com.tr/news/otokar-demonstrates-its-global-strength-in-land-systems-at-saha-2026
https://www.janes.com/defence-intelligence-insights/defence-news/land/wds-2024-otokars-tulpar-modular-afv-fitted-with-hitfact-ii-120-mm-turret
https://defense.otokar.com.tr/OtokarSavunma/media/Otokar-Savunma/brochure/tulpar-en-ap02ei-25.pdf</x:v>
      </x:c>
    </x:row>
    <x:row r="367" ht="210" customHeight="1">
      <x:c r="A367" s="37" t="str">
        <x:v>Otokar</x:v>
      </x:c>
      <x:c r="B367" s="32" t="str">
        <x:v>Protected Vehicles</x:v>
      </x:c>
      <x:c r="C367" s="32" t="str">
        <x:v>TULPAR S</x:v>
      </x:c>
      <x:c r="D367" s="32" t="str">
        <x:v>• Tracked amphibious armoured vehicle derivative of TULPAR family; public sources identify it as an amphibious tracked platform, but a complete authoritative numeric datasheet is not consistently public.
• GVW: up to 17,000 kg
• Crew capacity: up to 10 (driver, commander + 8 troops)
• Length: 5,700 mm
• Width: 2,900 mm
• Hull height: 2,100 mm
• Ground clearance: 450 mm
• Engine: turbo-diesel, 360 hp
• Maximum speed: ≥70 km/h
• Swimming speed: &gt;8 km/h
• Range: ≥500 km
• Gradeability: 60%
• Side slope: 40%
• Vertical obstacle: 700 mm
• Trench: 1,800 mm</x:v>
      </x:c>
      <x:c r="E367" s="32" t="str">
        <x:v>• Amphibious mobility; tracked platform; mission modularity.
• Amphibious light tracked platform
• IFV/APC/weapon carrier/C2/ambulance/reconnaissance/recovery variants</x:v>
      </x:c>
      <x:c r="F367" s="38" t="str">
        <x:v>https://www.armyrecognition.com/archives/archives-land-defense/2021/idef-2021-video-review-of-tracked-and-wheeled-armored-vehicles-display-by-otokar
https://www.armyrecognition.com/archives/archives-land-defense/land-defense-2023/idef-2023-day-3-summary-at-international-defense-exhibition-istanbul-turkiye
https://defense.otokar.com.tr/OtokarSavunma/media/Otokar-Savunma/brochure/tulpar-s-en-ap04ef-25.pdf
https://defense.otokar.com.tr/tracked-armored/tulpar-s-armored</x:v>
      </x:c>
    </x:row>
    <x:row r="368" ht="210" customHeight="1">
      <x:c r="A368" s="37" t="str">
        <x:v>Otokar</x:v>
      </x:c>
      <x:c r="B368" s="32" t="str">
        <x:v>Protected Vehicles</x:v>
      </x:c>
      <x:c r="C368" s="32" t="str">
        <x:v>URAL / URAL II 4×4</x:v>
      </x:c>
      <x:c r="D368" s="32" t="str">
        <x:v>• 4x4 light tactical armoured vehicle family; modular architecture; vehicle-specific mass/power/dimensions vary by configuration and are not consistently published in current public sources.
• 2025 URAL GVW configurations: ~6,400 kg / 8,000 kg
• Personnel capacity: up to 9 in 5-door or 10 in 3-door configuration
• Length: ~4,900 mm
• Width: ~2,200 mm
• Height: ~2,440–2,480 mm
• Engine options: 168 hp / 250 hp
• Transmission: 6-speed automatic
• Maximum speed: ~110 km/h
• Range: ~600 km
• Fording: ~600–700 mm depending configuration
• Gradeability: 60%
• Side slope: 40%</x:v>
      </x:c>
      <x:c r="E368" s="32" t="str">
        <x:v>• Armoured personnel carrier, internal security, patrol and special mission configurations; adaptable weapon and mission equipment.
• Permanent 4×4
• Modular armoured tactical vehicle
• Run-flat tyres
• 2026 URAL II adds enhanced ballistic and mine protection</x:v>
      </x:c>
      <x:c r="F368" s="38" t="str">
        <x:v>https://defense.otokar.com.tr/news/otokar-participates-in-idef-2025-with-10-armored-vehicles
https://www.armyrecognition.com/archives/archives-land-defense/2021/idef-2021-video-review-of-tracked-and-wheeled-armored-vehicles-display-by-otokar
https://defense.otokar.com.tr/OtokarSavunma/media/Otokar-Savunma/brochure/ural-en-az74ej-25.pdf
https://defense.otokar.com.tr/wheeled-armored/4x4-armored/ural-4x4-armored
https://defense.otokar.com.tr/news/otokar-to-participate-in-world-defense-show-2026-in-saudi-arabia</x:v>
      </x:c>
    </x:row>
    <x:row r="369" ht="210" customHeight="1">
      <x:c r="A369" s="37" t="str">
        <x:v>Paramount Group</x:v>
      </x:c>
      <x:c r="B369" s="32" t="str">
        <x:v>Protected Vehicles</x:v>
      </x:c>
      <x:c r="C369" s="32" t="str">
        <x:v>Maatla</x:v>
      </x:c>
      <x:c r="D369" s="32" t="str">
        <x:v>• Light protected patrol/security vehicles based on commercial chassis; modular/reconfigurable architecture; detailed mass, power and protection values are not consistently published on current Paramount pages.
• Crew: 2 + 6 published metric; page text also describes nine-crew-personnel architecture
• Payload: 2,000 kg
• Road speed: up to 100 km/h
• Road range: 600 km at 80 km/h
• Fording: 750 mm without preparation
• Ballistic / blast: STANAG 4569 Level 1
• Operating temperature: -10°C to +55°C</x:v>
      </x:c>
      <x:c r="E369" s="32" t="str">
        <x:v>• Border patrol, policing, command-post and ambulance conversions; Smart Floor reconfiguration.
• Commercial-chassis protected vehicle
• Smart Floor modular interior
• Ambulance, C2, border-patrol, policing and peacekeeping roles</x:v>
      </x:c>
      <x:c r="F369" s="38" t="str">
        <x:v>https://www.paramountgroup.com/capabilities/border-security/
https://paramountgroup.com/capabilities/land/
https://www.paramountgroup.com/capabilities/land/maatla/</x:v>
      </x:c>
    </x:row>
    <x:row r="370" ht="210" customHeight="1">
      <x:c r="A370" s="37" t="str">
        <x:v>Paramount Group</x:v>
      </x:c>
      <x:c r="B370" s="32" t="str">
        <x:v>Protected Vehicles</x:v>
      </x:c>
      <x:c r="C370" s="32" t="str">
        <x:v>Marauder</x:v>
      </x:c>
      <x:c r="D370" s="32" t="str">
        <x:v>• 4x4 mine-protected armoured vehicle; crew 2 + 8 soldiers; payload up to 4,000–4,500 kg depending source/configuration; STANAG 4569 Level 3 KE protection; blast protection 8 kg TNT under hull and 14 kg TNT under wheel; standard/stretched versions; C-130/Chinook airliftable.
• Crew: 2 + 8
• Payload: 4,000 kg on current data card; marketing text has also referenced up to 4,500 kg
• Ballistic protection: STANAG 4569 Level 3
• Blast protection: 8 kg TNT under hull; public company descriptions also cite high wheel/side-blast protection</x:v>
      </x:c>
      <x:c r="E370" s="32" t="str">
        <x:v>• APC, ambulance, anti-armour fire support, command and infantry fire support variants; day/night vision and sensors; weapon and mission-equipment integration.
• Mine-protected multi-role armoured vehicle
• C-130 / Chinook air-transportable with preparation
• APC, ambulance, anti-armour, command and fire-support variants</x:v>
      </x:c>
      <x:c r="F370" s="38" t="str">
        <x:v>https://paramountgroup.com/capabilities/land/marauder
https://paramountgroup.com/capabilities/land/
https://paramountgroup.com/media/news/paramount-group-unveils-family-of-highly-advanced-infantry-combat-vehicles-at-aad-2016
https://paramountgroup.com/capabilities/land/marauder/</x:v>
      </x:c>
    </x:row>
    <x:row r="371" ht="210" customHeight="1">
      <x:c r="A371" s="37" t="str">
        <x:v>Paramount Group</x:v>
      </x:c>
      <x:c r="B371" s="32" t="str">
        <x:v>Protected Vehicles</x:v>
      </x:c>
      <x:c r="C371" s="32" t="str">
        <x:v>Matador</x:v>
      </x:c>
      <x:c r="D371" s="32" t="str">
        <x:v>• Mine-resistant vehicle family; 6x6 architecture; public sources document deployment/assembly in Azerbaijan and other markets, but current complete numeric datasheet is not consistently public.
• Crew: 2 + 12
• Kerb weight: 13,400 kg
• Combat weight / GVM: 17,000 kg
• Payload: 5,000 kg
• Wheelbase: 4,200 mm
• Width: 2,500 mm
• Engine: turbo-diesel, 210 kW / 289 hp / 970 Nm
• Maximum road speed: 100 km/h
• Road range: 700 km
• Fording: up to 900 mm
• Gradient: &gt;60%
• Side slope: &gt;35%
• Ditch: 850 mm
• Step: 500 mm
• Blast protection: 8 kg TNT under hull / wheel; 50 kg side blast in legacy brochure</x:v>
      </x:c>
      <x:c r="E371" s="32" t="str">
        <x:v>• Mine-protected personnel/cargo transport; convoy escort and security roles; customer-country production model.
• Long-range mine-protected patrol vehicle
• Double-skin spaced armour
• Large crew/payload capacity
• Weapon stations 7.62–14.5 mm supported</x:v>
      </x:c>
      <x:c r="F371" s="38" t="str">
        <x:v>https://www.paramountgroup.com/media/news/paramount-group-showcases-highly-advanced-infantry-combat-vehicle-capabilities-at-adex-2016/
https://paramountgroup.com/capabilities/land/
https://www.paramountgroup.com/media/1137/paramount-matador-2015.pdf</x:v>
      </x:c>
    </x:row>
    <x:row r="372" ht="210" customHeight="1">
      <x:c r="A372" s="37" t="str">
        <x:v>Paramount Group</x:v>
      </x:c>
      <x:c r="B372" s="32" t="str">
        <x:v>Protected Vehicles</x:v>
      </x:c>
      <x:c r="C372" s="32" t="str">
        <x:v>Maverick</x:v>
      </x:c>
      <x:c r="D372" s="32" t="str">
        <x:v>• Crew: 2 + 12
• Payload: 2,000 kg
• Turning circle: &lt;16.5 m
• Protection: independently tested against 7.62×54 mm AP at close range and hand-grenade underbody attack</x:v>
      </x:c>
      <x:c r="E372" s="32" t="str">
        <x:v>• Internal-security / public-order vehicle
• CCTV/situational awareness
• Police ISV, SWAT APC, EOD and ramp-system variants</x:v>
      </x:c>
      <x:c r="F372" s="38" t="str">
        <x:v>https://paramountgroup.com/capabilities/land/maverick/</x:v>
      </x:c>
    </x:row>
    <x:row r="373" ht="210" customHeight="1">
      <x:c r="A373" s="37" t="str">
        <x:v>Paramount Group</x:v>
      </x:c>
      <x:c r="B373" s="32" t="str">
        <x:v>Protected Vehicles</x:v>
      </x:c>
      <x:c r="C373" s="32" t="str">
        <x:v>Mbombe 4</x:v>
      </x:c>
      <x:c r="D373" s="32" t="str">
        <x:v>• 4x4; combat weight ~16 t; payload 2.7–3.0 t depending source/configuration; burst speed 140 km/h; operating range 800 km; crew compartment STANAG 4569 Level 3 ballistic; blast STANAG 4569 Level 4a/4b; 50 kg TNT side-blast/IED protection reported; rear ramp; conventional in-line driveline.
• Configuration: 4×4
• Combat mass class: ~16 t in public launch data
• Payload: 2.3 t current product page; earlier launch text stated nearly 3 t
• Burst speed: 140 km/h
• Operating range: 800 km
• Ballistic protection: STANAG 4569 Level 3
• Blast protection: STANAG 4569 Level 4a/4b
• Side blast: 50 kg TNT</x:v>
      </x:c>
      <x:c r="E373" s="32" t="str">
        <x:v>• APC/IFV/rapid-reaction platform; Western/Eastern weapon integration; CTIS; mission computer; applique armour up to higher levels; customer-country manufacture.
• High-mobility flat-bottom protected combat vehicle
• Family commonality with Mbombe 6/8
• High protection-to-weight ratio</x:v>
      </x:c>
      <x:c r="F373" s="38" t="str">
        <x:v>https://paramountgroup.com/capabilities/land/mbombe-4/
https://www.janes.com/defence-intelligence-insights/defence-news/idex-2019-paramount-launches-mbombe-4-wins-contract
https://paramountgroup.com/media/news/mbombe-4-launch/
https://paramountgroup.com/capabilities/border-security/
https://www.paramountgroup.com/media/news/mbombe-4-release/</x:v>
      </x:c>
    </x:row>
    <x:row r="374" ht="210" customHeight="1">
      <x:c r="A374" s="37" t="str">
        <x:v>Paramount Group</x:v>
      </x:c>
      <x:c r="B374" s="32" t="str">
        <x:v>Protected Vehicles</x:v>
      </x:c>
      <x:c r="C374" s="32" t="str">
        <x:v>Mbombe 6</x:v>
      </x:c>
      <x:c r="D374" s="32" t="str">
        <x:v>• 6x6; crew architecture 2+1+8; silhouette under 2.4 m; ground clearance &gt;430 mm; blast protection 10 kg TNT beneath hull; STANAG 4569 Level 3 ballistic and Level 4a/4b mine/blast protection; independent suspension; flat-bottom hull.
• Configuration: 6×6
• Crew: 2 + 1 + 8
• Ground clearance: &gt;430 mm
• Kerb weight: ~17.3 t in public launch data
• Engine: turbo-diesel
• Transmission: 6-speed automatic
• Maximum speed: ~110 km/h
• Range: ~1,000 km
• Ballistic protection: STANAG Level 3
• Mine protection: STANAG 4a/4b; 10 kg TNT beneath hull</x:v>
      </x:c>
      <x:c r="E374" s="32" t="str">
        <x:v>• APC, infantry fire support, anti-armour fire support and ambulance variants; can mount heavy machine gun, automatic cannon or RWS.
• Flat-bottom mine-protected hull
• Independent suspension
• APC, ambulance, fire-support and anti-armour variants</x:v>
      </x:c>
      <x:c r="F374" s="38" t="str">
        <x:v>https://paramountgroup.com/capabilities/land/mbombe-6/
https://www.paramountgroup.com/media/news/paramount-group-unveils-family-of-highly-advanced-infantry-combat-vehicles-at-aad-2016/
https://www.paramountgroup.com/media/news/paramount-group-showcases-highly-advanced-infantry-combat-vehicle-capabilities-at-adex-2016/</x:v>
      </x:c>
    </x:row>
    <x:row r="375" ht="210" customHeight="1">
      <x:c r="A375" s="37" t="str">
        <x:v>Paramount Group</x:v>
      </x:c>
      <x:c r="B375" s="32" t="str">
        <x:v>Protected Vehicles</x:v>
      </x:c>
      <x:c r="C375" s="32" t="str">
        <x:v>Mbombe 8</x:v>
      </x:c>
      <x:c r="D375" s="32" t="str">
        <x:v>• 8x8; gross weight 28 t; kerb weight 19 t; payload 9 t; six-cylinder turbocharged diesel; 6-speed automatic; max speed 110 km/h; operating range 800 km; STANAG 4569 Level 3 ballistic and Level 4a/4b blast/mine protection; flat-floor mine-resistant architecture.
• Configuration: 8×8
• GVW: ~28 t
• Kerb weight: ~19 t
• Payload: ~9 t
• Engine: 6-cylinder turbo-diesel
• Transmission: 6-speed automatic
• Maximum speed: ~110 km/h
• Range: ~800 km
• Ballistic protection: STANAG Level 3 standard; higher kits available
• Blast protection: Level 4a/4b in launch data
• Weapon integration: up to 57 mm class</x:v>
      </x:c>
      <x:c r="E375" s="32" t="str">
        <x:v>• Multi-role ICV; large turret/weapon integration envelope including 57 mm AU-220M demonstrated; cold/hot climate testing reported from -55°C to +55°C.
• Heavy 8×8 IFV/APC family
• Modular weapons and mission systems
• Extreme-climate operation demonstrated</x:v>
      </x:c>
      <x:c r="F375" s="38" t="str">
        <x:v>https://paramountgroup.com/capabilities/land/mbombe-8/
https://paramountgroup.com/media/news/paramount-group-unveils-family-of-highly-advanced-infantry-combat-vehicles-at-aad-2016
https://www.paramountgroup.com/capabilities/land/mbombe-8/
https://www.paramountgroup.com/media/news/paramount-group-unveils-new-generation-8x8-infantry-combat-vehicle-for-global-defence-market/</x:v>
      </x:c>
    </x:row>
    <x:row r="376" ht="210" customHeight="1">
      <x:c r="A376" s="37" t="str">
        <x:v>Paramount Group</x:v>
      </x:c>
      <x:c r="B376" s="32" t="str">
        <x:v>Marine/Naval</x:v>
      </x:c>
      <x:c r="C376" s="32" t="str">
        <x:v>11 m Guardian</x:v>
      </x:c>
      <x:c r="D376" s="32" t="str">
        <x:v>• 11 m fast patrol/pursuit vessel; detailed public technical sheet not exposed on current web page during this pass</x:v>
      </x:c>
      <x:c r="E376" s="32" t="str">
        <x:v>• Fast patrol and pursuit role</x:v>
      </x:c>
      <x:c r="F376" s="38" t="str">
        <x:v>https://www.paramountgroup.com/capabilities/sea/</x:v>
      </x:c>
    </x:row>
    <x:row r="377" ht="210" customHeight="1">
      <x:c r="A377" s="37" t="str">
        <x:v>Paramount Group</x:v>
      </x:c>
      <x:c r="B377" s="32" t="str">
        <x:v>Marine/Naval</x:v>
      </x:c>
      <x:c r="C377" s="32" t="str">
        <x:v>14 m Guardian</x:v>
      </x:c>
      <x:c r="D377" s="32" t="str">
        <x:v>• Length class: 14 m
• Crew/passengers: 3 + 7
• Propulsion: twin inboard diesel engines with waterjets</x:v>
      </x:c>
      <x:c r="E377" s="32" t="str">
        <x:v>• Maritime interdiction and patrol vessel</x:v>
      </x:c>
      <x:c r="F377" s="38" t="str">
        <x:v>https://paramountgroup.com/capabilities/sea/14m-guardian/</x:v>
      </x:c>
    </x:row>
    <x:row r="378" ht="210" customHeight="1">
      <x:c r="A378" s="37" t="str">
        <x:v>Paramount Group</x:v>
      </x:c>
      <x:c r="B378" s="32" t="str">
        <x:v>Marine/Naval</x:v>
      </x:c>
      <x:c r="C378" s="32" t="str">
        <x:v>17 m Sentinel</x:v>
      </x:c>
      <x:c r="D378" s="32" t="str">
        <x:v>• Length class: 17 m
• Crew/passenger reference: 3 crew + 2 passengers
• Propulsion: two marine diesels with shaft / surface-piercing drive architecture</x:v>
      </x:c>
      <x:c r="E378" s="32" t="str">
        <x:v>• Crew and patrol vessel</x:v>
      </x:c>
      <x:c r="F378" s="38" t="str">
        <x:v>https://www.paramountgroup.com/capabilities/sea/17m-sentinel/</x:v>
      </x:c>
    </x:row>
    <x:row r="379" ht="210" customHeight="1">
      <x:c r="A379" s="37" t="str">
        <x:v>Paramount Group</x:v>
      </x:c>
      <x:c r="B379" s="32" t="str">
        <x:v>Marine/Naval</x:v>
      </x:c>
      <x:c r="C379" s="32" t="str">
        <x:v>22 m Sentinel</x:v>
      </x:c>
      <x:c r="D379" s="32" t="str">
        <x:v>• 22 m patrol-vessel class; detailed public technical values not exposed on current web page during this pass</x:v>
      </x:c>
      <x:c r="E379" s="32" t="str">
        <x:v>• Patrol vessel</x:v>
      </x:c>
      <x:c r="F379" s="38" t="str">
        <x:v>https://www.paramountgroup.com/capabilities/sea/</x:v>
      </x:c>
    </x:row>
    <x:row r="380" ht="210" customHeight="1">
      <x:c r="A380" s="37" t="str">
        <x:v>Paramount Group</x:v>
      </x:c>
      <x:c r="B380" s="32" t="str">
        <x:v>Marine/Naval</x:v>
      </x:c>
      <x:c r="C380" s="32" t="str">
        <x:v>24 m Sentinel</x:v>
      </x:c>
      <x:c r="D380" s="32" t="str">
        <x:v>• 24 m crew/patrol-vessel class; detailed public technical values not exposed on current web page during this pass</x:v>
      </x:c>
      <x:c r="E380" s="32" t="str">
        <x:v>• Crew and patrol vessel</x:v>
      </x:c>
      <x:c r="F380" s="38" t="str">
        <x:v>https://www.paramountgroup.com/capabilities/sea/24m-sentinel/</x:v>
      </x:c>
    </x:row>
    <x:row r="381" ht="210" customHeight="1">
      <x:c r="A381" s="37" t="str">
        <x:v>Paramount Group</x:v>
      </x:c>
      <x:c r="B381" s="32" t="str">
        <x:v>Marine/Naval</x:v>
      </x:c>
      <x:c r="C381" s="32" t="str">
        <x:v>35 m Sentinel</x:v>
      </x:c>
      <x:c r="D381" s="32" t="str">
        <x:v>• Length: 35 m
• Beam: ~7.5 m
• Draft: ~2 m
• Engines: 3 × Caterpillar C32, ~1,193 kW each in launch configuration
• Range: ~1,300 nmi at economical speed
• Cargo deck: ~11 × 6 m
• Cargo payload: ~20 t / 20-ft container
• RHIB: ~6.5 m</x:v>
      </x:c>
      <x:c r="E381" s="32" t="str">
        <x:v>• High-speed multi-purpose patrol vessel
• Wheelhouse protection up to STANAG II in launch configuration
• Security patrol / cargo / special-mission roles</x:v>
      </x:c>
      <x:c r="F381" s="38" t="str">
        <x:v>https://www.paramountgroup.com/capabilities/sea/35m-sentinel/
https://www.paramountgroup.com/media/news/paramount-maritime-launches-advanced-35m-sentinel-vessel/</x:v>
      </x:c>
    </x:row>
    <x:row r="382" ht="210" customHeight="1">
      <x:c r="A382" s="37" t="str">
        <x:v>Paramount Group</x:v>
      </x:c>
      <x:c r="B382" s="32" t="str">
        <x:v>Marine/Naval</x:v>
      </x:c>
      <x:c r="C382" s="32" t="str">
        <x:v>42 m Frontier</x:v>
      </x:c>
      <x:c r="D382" s="32" t="str">
        <x:v>• Length class: 42 m; detailed displacement/power not publicly exposed on current page</x:v>
      </x:c>
      <x:c r="E382" s="32" t="str">
        <x:v>• Patrol / multi-role vessel
• Stern-ramp interceptor capability
• Helicopter/UAV support</x:v>
      </x:c>
      <x:c r="F382" s="38" t="str">
        <x:v>https://paramountgroup.com/capabilities/sea/42m-frontier/</x:v>
      </x:c>
    </x:row>
    <x:row r="383" ht="210" customHeight="1">
      <x:c r="A383" s="37" t="str">
        <x:v>Paramount Group</x:v>
      </x:c>
      <x:c r="B383" s="32" t="str">
        <x:v>Marine/Naval</x:v>
      </x:c>
      <x:c r="C383" s="32" t="str">
        <x:v>42 m Trimaran</x:v>
      </x:c>
      <x:c r="D383" s="32" t="str">
        <x:v>• Length class: 42 m
• Maximum speed: up to ~40 kt depending propulsion package</x:v>
      </x:c>
      <x:c r="E383" s="32" t="str">
        <x:v>• Multi-role trimaran
• Helicopter/UAV handling
• Interceptor/rescue-boat deployment
• High-speed stable work platform</x:v>
      </x:c>
      <x:c r="F383" s="38" t="str">
        <x:v>https://paramountgroup.com/capabilities/sea/42m-trimaran/</x:v>
      </x:c>
    </x:row>
    <x:row r="384" ht="210" customHeight="1">
      <x:c r="A384" s="37" t="str">
        <x:v>Paramount Group</x:v>
      </x:c>
      <x:c r="B384" s="32" t="str">
        <x:v>Marine/Naval</x:v>
      </x:c>
      <x:c r="C384" s="32" t="str">
        <x:v>58 m Frontier</x:v>
      </x:c>
      <x:c r="D384" s="32" t="str">
        <x:v>• Length class: 58 m; detailed displacement/power not publicly exposed on current page</x:v>
      </x:c>
      <x:c r="E384" s="32" t="str">
        <x:v>• Multi-role patrol vessel
• Stern-ramp interceptor deployment
• UAV deck and mission bay</x:v>
      </x:c>
      <x:c r="F384" s="38" t="str">
        <x:v>https://paramountgroup.com/capabilities/sea/58m-frontier/</x:v>
      </x:c>
    </x:row>
    <x:row r="385" ht="210" customHeight="1">
      <x:c r="A385" s="37" t="str">
        <x:v>Paramount Group</x:v>
      </x:c>
      <x:c r="B385" s="32" t="str">
        <x:v>Marine/Naval</x:v>
      </x:c>
      <x:c r="C385" s="32" t="str">
        <x:v>70 m Frontier</x:v>
      </x:c>
      <x:c r="D385" s="32" t="str">
        <x:v>• Length class: 70 m</x:v>
      </x:c>
      <x:c r="E385" s="32" t="str">
        <x:v>• Littoral Mission Ship
• Patrol/surveillance, HADR, mine warfare, diving, UAV/USV and containerised mission-system roles</x:v>
      </x:c>
      <x:c r="F385" s="38" t="str">
        <x:v>https://www.paramountgroup.com/capabilities/sea/70m-frontier/</x:v>
      </x:c>
    </x:row>
    <x:row r="386" ht="210" customHeight="1">
      <x:c r="A386" s="37" t="str">
        <x:v>Paramount Group</x:v>
      </x:c>
      <x:c r="B386" s="32" t="str">
        <x:v>Marine/Naval</x:v>
      </x:c>
      <x:c r="C386" s="32" t="str">
        <x:v>8.5 m Guardian</x:v>
      </x:c>
      <x:c r="D386" s="32" t="str">
        <x:v>• Length: 8.5 m
• Beam: 2.8 m
• Displacement: ~3.8 t
• Draft: ~0.6 m
• Maximum speed: ~42 kt
• Cruise speed: ~20 kt
• Range: ~380 nmi at 20 kt
• Engine: VGT500 marine diesel, ~373 kW / 500 hp
• Fuel: ~390 L
• Crew/passengers: 2 + 4</x:v>
      </x:c>
      <x:c r="E386" s="32" t="str">
        <x:v>• High-speed patrol/interception craft
• Aluminium hull
• Optional removable ballistic panels up to STANAG Level 2
• Weapon mounts up to 12.7 mm</x:v>
      </x:c>
      <x:c r="F386" s="38" t="str">
        <x:v>https://www.paramountgroup.com/media/1207/85m-guardian-leaflet.pdf
https://www.paramountgroup.com/capabilities/sea/85m-guardian/</x:v>
      </x:c>
    </x:row>
    <x:row r="387" ht="210" customHeight="1">
      <x:c r="A387" s="37" t="str">
        <x:v>Paramount Group</x:v>
      </x:c>
      <x:c r="B387" s="32" t="str">
        <x:v>UAVs/Drones</x:v>
      </x:c>
      <x:c r="C387" s="32" t="str">
        <x:v>N-Raven Loitering Munition</x:v>
      </x:c>
      <x:c r="D387" s="32" t="str">
        <x:v>• Production configuration weight: ~55 kg
• Wingspan: ~3.6 m
• Maximum cruise speed: up to ~180 km/h
• Endurance: ~2 h electric / ~4.5 h petrol
• Operational range: up to ~100 km in production configuration
• Payload / warhead: ~13.5 kg
• Earlier concept data published ~41 kg / 250 km / 10–15 kg payload; retained only as prototype lineage, not current production specification</x:v>
      </x:c>
      <x:c r="E387" s="32" t="str">
        <x:v>• GPS-guided, fixed-optical-seeker and gimballed-optical-seeker variants
• Land and naval launch options
• Precision strike / loitering munition</x:v>
      </x:c>
      <x:c r="F387" s="38" t="str">
        <x:v>https://www.paramountgroup.com/media/news/paramount-s-n-raven-precision-strike-loitering-munition-goes-into-production-idex-2023/
https://paramountgroup.com/media/news/paramount-group-launches-long-range-swarming-uav-system/</x:v>
      </x:c>
    </x:row>
    <x:row r="388" ht="210" customHeight="1">
      <x:c r="A388" s="37" t="str">
        <x:v>Roshel</x:v>
      </x:c>
      <x:c r="B388" s="32" t="str">
        <x:v>Protected Vehicles</x:v>
      </x:c>
      <x:c r="C388" s="32" t="str">
        <x:v>Captain APC</x:v>
      </x:c>
      <x:c r="D388" s="32" t="str">
        <x:v>• Base chassis: Toyota Land Cruiser 70 Series
• Engine: 2.8 L 4-cylinder diesel
• Power: 201 hp @ 3,400 rpm
• Torque: 370 @ 1,600 rpm
• Drive: 4×4
• Transmission: 6-speed automatic
• Fuel capacity: up to 180 L
• Dimensions: 5,354 × 2,261 × 2,490 mm
• Wheelbase: 3,180 mm
• Seating: up to 8
• Protection: STANAG Level 2; 7.62×39 API and 155 mm HE fragmentation test references</x:v>
      </x:c>
      <x:c r="E388" s="32" t="str">
        <x:v>• Blast-protected body
• Mechanical 360° turret
• Gun ports
• 360° camera options
• RHD/LHD and gasoline/diesel options available by configuration</x:v>
      </x:c>
      <x:c r="F388" s="38" t="str">
        <x:v>https://roshel.com/products/defense/captain-apc/</x:v>
      </x:c>
    </x:row>
    <x:row r="389" ht="210" customHeight="1">
      <x:c r="A389" s="37" t="str">
        <x:v>Roshel</x:v>
      </x:c>
      <x:c r="B389" s="32" t="str">
        <x:v>Protected Vehicles</x:v>
      </x:c>
      <x:c r="C389" s="32" t="str">
        <x:v>Senator APC</x:v>
      </x:c>
      <x:c r="D389" s="32" t="str">
        <x:v>• 4x4; 6.7 L diesel V8; 330 hp @ 2,600 rpm; 750 Nm @ 2,000 rpm; 10-speed automatic; 335/85/R20 tyres; dimensions 5,945 x 2,340 x 2,450 mm; wheelbase 3,683 mm; seating up to 12; STANAG Level III/B7 ballistic capsule advertised; NRC Canada rollover testing reached 39° side slope.
• Engine: 6.7 L diesel V8
• Power: 330 hp @ 2,600 rpm
• Torque: 750 @ 2,000 rpm
• Drive: 4×4
• Transmission: 10-speed automatic
• Wheels: 335/85 R20
• Dimensions: 5,945 × 2,340 × 2,450 mm
• Wheelbase: 3,683 mm
• Seating: up to 12 on current page/configuration
• Government-contract reference variants include CEN BR6 / BR7 protection and seating around 10</x:v>
      </x:c>
      <x:c r="E389" s="32" t="str">
        <x:v>• Modular APC/C2/medical evacuation/first-responder configurations; mine-protected seats; gun ports; composite materials; urban/off-road mobility.
• Modular APC / C2 / MEDEVAC / law-enforcement platform
• 360° camera / surveillance options
• High urban manoeuvrability
• NRC Canada side-slope testing reached 39° on Senator family</x:v>
      </x:c>
      <x:c r="F389" s="38" t="str">
        <x:v>https://roshel.com/products/defense/senator-apc/
https://roshel.com/products/defense/
https://www.gsaadvantage.gov/ref_text/47QSWA22D001R/47QSWA22D001R_RoshelFCPTandC20260115.pdf</x:v>
      </x:c>
    </x:row>
    <x:row r="390" ht="210" customHeight="1">
      <x:c r="A390" s="37" t="str">
        <x:v>Roshel</x:v>
      </x:c>
      <x:c r="B390" s="32" t="str">
        <x:v>Protected Vehicles</x:v>
      </x:c>
      <x:c r="C390" s="32" t="str">
        <x:v>Senator Counter-UAS</x:v>
      </x:c>
      <x:c r="D390" s="32" t="str">
        <x:v>• 4x4; 6.7 L diesel V8; 330 hp; 750 Nm; 10-speed automatic; 335/85/R20; dimensions 6,000 x 2,400 x 2,500 mm; wheelbase 3,683 mm; seating up to 5; STANAG 2/3 protection; ballistic test against 7.62x39 API BZ at 30 m / 695 m/s; blast test data including 6 kg explosive mass mine threats and 25 kg TNT side blast; NRC side-slope test 39°.
• Engine: 6.7 L diesel V8
• Power: 330 hp @ 2,600 rpm
• Torque: 750 @ 2,000 rpm
• Drive: 4×4
• Transmission: 10-speed automatic
• Dimensions: 6,000 × 2,400 × 2,500 mm
• Wheelbase: 3,683 mm
• Seating: up to 5
• Protection: STANAG Level 2 and 3 testing</x:v>
      </x:c>
      <x:c r="E390" s="32" t="str">
        <x:v>• 360° radar; software-defined radar; RF detection; EO/IR turret; directional and omni-directional jammers; user control system; sensor fusion; mesh-networked autonomy; NATO C2 interoperability.
• 360° software-based radar
• EO/IR turret with directional jammer
• RF detection
• Omnidirectional jammer
• Integrated power/network distribution
• Mobile detect-track-defeat C-UAS platform</x:v>
      </x:c>
      <x:c r="F390" s="38" t="str">
        <x:v>https://roshel.com/products/defense/senator-counter-uas/</x:v>
      </x:c>
    </x:row>
    <x:row r="391" ht="210" customHeight="1">
      <x:c r="A391" s="37" t="str">
        <x:v>Roshel</x:v>
      </x:c>
      <x:c r="B391" s="32" t="str">
        <x:v>Protected Vehicles</x:v>
      </x:c>
      <x:c r="C391" s="32" t="str">
        <x:v>Senator Emergency Response Vehicle (ERV)</x:v>
      </x:c>
      <x:c r="D391" s="32" t="str">
        <x:v>• 4x4; 6.7 L diesel V8; 330 hp; 750 Nm; 10-speed automatic; 335/85/R20; dimensions 5,945 x 2,340 x 2,450 mm; wheelbase 3,683 mm; seating up to 12.
• Engine: 6.7 L diesel V8
• Power: 330 hp @ 2,600 rpm
• Torque: 750 @ 2,000 rpm
• Drive: 4×4
• Transmission: 10-speed automatic
• Wheels: 335/85 R20
• Dimensions: 5,945 × 2,340 × 2,450 mm
• Wheelbase: 3,683 mm
• Seating: up to 12</x:v>
      </x:c>
      <x:c r="E391" s="32" t="str">
        <x:v>• 360° video surveillance; hydraulic breaching ram; reinforced axles; military-grade tyres; remote projector; upgraded steering; emergency/security configuration.
• Hydraulic breaching ram
• Reinforced axles/suspension
• 360° video surveillance
• Armoured emergency-response / tactical-entry role</x:v>
      </x:c>
      <x:c r="F391" s="38" t="str">
        <x:v>https://roshel.com/products/defense/senator-erv/</x:v>
      </x:c>
    </x:row>
    <x:row r="392" ht="210" customHeight="1">
      <x:c r="A392" s="37" t="str">
        <x:v>Roshel</x:v>
      </x:c>
      <x:c r="B392" s="32" t="str">
        <x:v>Protected Vehicles</x:v>
      </x:c>
      <x:c r="C392" s="32" t="str">
        <x:v>Senator Medevac</x:v>
      </x:c>
      <x:c r="D392" s="32" t="str">
        <x:v>• Engine: 6.7 L diesel V8
• Power: 330 hp @ 2,200 rpm
• Torque: 950 @ 1,800 rpm
• Drive: 4×4
• Transmission: 10-speed automatic
• Fuel capacity: up to 252 L
• Dimensions: 6,424 × 2,550 × 2,673 mm
• Wheelbase: 3,691 mm
• Capacity: up to 4 patients + 2 paramedics
• Protection: STANAG 4569 Level 2</x:v>
      </x:c>
      <x:c r="E392" s="32" t="str">
        <x:v>• Protected medical evacuation variant
• Washable medical interior
• Remote connectivity and surveillance options</x:v>
      </x:c>
      <x:c r="F392" s="38" t="str">
        <x:v>https://roshel.com/products/defense/senator-medevac/</x:v>
      </x:c>
    </x:row>
    <x:row r="393" ht="210" customHeight="1">
      <x:c r="A393" s="37" t="str">
        <x:v>Roshel</x:v>
      </x:c>
      <x:c r="B393" s="32" t="str">
        <x:v>Protected Vehicles</x:v>
      </x:c>
      <x:c r="C393" s="32" t="str">
        <x:v>Senator MRAP</x:v>
      </x:c>
      <x:c r="D393" s="32" t="str">
        <x:v>• 4x4; 6.7 L diesel V8; 330 hp; 750 Nm; 10-speed automatic; 335/85/R20; dimensions 6,000 x 2,400 x 2,500 mm; wheelbase 3,683 mm; seating up to 10; STANAG Level 2 and 3 protection; 7.62x39 API BZ at 30 m / 695 m/s; blast protection testing includes 8 kg explosive mass mine threats and 25 kg TNT side blast; artillery test against 155 mm HE at 80 m is published.
• Engine: 6.7 L diesel V8
• Power: 330 hp @ 2,600 rpm
• Torque: 750 @ 2,000 rpm
• Drive: 4×4
• Transmission: current page 10-speed automatic; 2023 factsheet described 6-speed configuration
• Dimensions: 6,000 × 2,400 × 2,500 mm
• Wheelbase: 3,683 mm
• Seating: up to 10
• Operational range: up to ~800 km in 2023 factsheet
• Top speed: ~120 km/h in Janes/company factsheet
• GVW: ~8,845 kg reported by Janes
• Payload: ~1,200–2,000 kg configuration dependent
• Ballistic/blast: STANAG 4569 Level 2/3 testing; 8 kg under-wheel/centre and 25 kg side-blast test references</x:v>
      </x:c>
      <x:c r="E393" s="32" t="str">
        <x:v>• V-hull; mine-protected seats; mechanical turret; upgraded suspension; high ground clearance; 360° survivability architecture.
• V-shaped blast-protected hull
• Mine-protected seats
• 360° ballistic capsule
• Third-party payload integration including RWS/UAV/smoke systems</x:v>
      </x:c>
      <x:c r="F393" s="38" t="str">
        <x:v>https://roshel.com/products/defense/senator-mrap-smp/
https://roshel.com/products/defense/senator-ram-mrap/
https://roshel.com/products/defense/senator-mrap/
https://www.janes.com/defence-intelligence-insights/defence-news/industry/ausa-2023-roshel-details-senator-mrap-vehicle
https://www.prnewswire.com/news-releases/roshel-unveils-its-senator-mrap-at-cansec-in-ottawa-301837714.html</x:v>
      </x:c>
    </x:row>
    <x:row r="394" ht="210" customHeight="1">
      <x:c r="A394" s="37" t="str">
        <x:v>Roshel</x:v>
      </x:c>
      <x:c r="B394" s="32" t="str">
        <x:v>Protected Vehicles</x:v>
      </x:c>
      <x:c r="C394" s="32" t="str">
        <x:v>Senator Pickup</x:v>
      </x:c>
      <x:c r="D394" s="32" t="str">
        <x:v>• 4x4; 6.7 L diesel V8; 330 hp; 750 Nm; 10-speed automatic; 335/85/R20; 6,000 x 2,400 x 2,500 mm; wheelbase 3,683 mm; 4- or 5-seat configuration; payload capacity up to 3,500 kg; STANAG 4569 AEP 55 Level 2 ballistic and Level 3 blast protection; 39° side-slope rollover threshold reported by NRC testing.
• Engine: 6.7 L diesel V8
• Power: 330 hp @ 2,600 rpm
• Torque: 750 @ 2,000 rpm
• Drive: 4×4
• Transmission: 10-speed automatic
• Wheels: 335/85 R20
• Dimensions: 6,000 × 2,400 × 2,500 mm
• Wheelbase: 3,683 mm
• Seating: up to 5</x:v>
      </x:c>
      <x:c r="E394" s="32" t="str">
        <x:v>• Cargo/support vehicle; counter-UAS and grenade-launcher support; heavy-duty winch; towing hook; thermal/night-vision equipment; upgraded axles.
• Protected multi-purpose pickup
• Payload integration for counter-UAS, grenade launchers and cargo
• STANAG ballistic/blast protection on current product family</x:v>
      </x:c>
      <x:c r="F394" s="38" t="str">
        <x:v>https://roshel.com/products/defense/senator-pickup/</x:v>
      </x:c>
    </x:row>
    <x:row r="395" ht="210" customHeight="1">
      <x:c r="A395" s="37" t="str">
        <x:v>Roshel</x:v>
      </x:c>
      <x:c r="B395" s="32" t="str">
        <x:v>Protected Vehicles</x:v>
      </x:c>
      <x:c r="C395" s="32" t="str">
        <x:v>Senator RAM MRAP</x:v>
      </x:c>
      <x:c r="D395" s="32" t="str">
        <x:v>• 4x4; 6.7 L diesel V8; 330 hp; 750 Nm; 10-speed automatic; 335/85/R20; 6,000 x 2,400 x 2,500 mm; wheelbase 3,683 mm; up to 10 seats; STANAG Level 2/3; published kinetic, mine/blast and artillery protection test data.
• Engine: 6.7 L diesel V8
• Power: 330 hp @ 2,600 rpm
• Torque: 750 @ 2,000 rpm
• Drive: 4×4
• Transmission: 10-speed automatic
• Wheels: 335/85 R20
• Dimensions: 6,000 × 2,400 × 2,500 mm
• Wheelbase: 3,683 mm
• Seating: up to 10
• Protection: STANAG Level 2 and 3 test suite; 8 kg under-wheel/centre, 25 kg TNT side-blast reference</x:v>
      </x:c>
      <x:c r="E395" s="32" t="str">
        <x:v>• V-hull; mechanical 360° turret; mine-protected seating; heavy-duty hinges/suspension.
• V-shaped blast-protected body
• Automatic weapon-system integration
• Mine-protected seats
• 360° ballistic capsule</x:v>
      </x:c>
      <x:c r="F395" s="38" t="str">
        <x:v>https://roshel.com/products/defense/senator-ram-mrap/</x:v>
      </x:c>
    </x:row>
    <x:row r="396" ht="210" customHeight="1">
      <x:c r="A396" s="37" t="str">
        <x:v>IDV (Iveco Defence)</x:v>
      </x:c>
      <x:c r="B396" s="32" t="str">
        <x:v>Protected Vehicles</x:v>
      </x:c>
      <x:c r="C396" s="32" t="str">
        <x:v>Ariete C2</x:v>
      </x:c>
      <x:c r="D396" s="32" t="str">
        <x:v>• Main battle tank modernisation programme; current IDV product catalogue lists Ariete C2 among land armoured vehicles. Detailed current C2 technical values are not fully exposed on the public product page.</x:v>
      </x:c>
      <x:c r="E396" s="32" t="str">
        <x:v>• Ariete modernisation; digitalisation and survivability improvements.</x:v>
      </x:c>
      <x:c r="F396" s="38" t="str">
        <x:v>https://www.idvgroup.com/products/land-armoured-vehicles/
https://www.idvgroup.com/products/</x:v>
      </x:c>
    </x:row>
    <x:row r="397" ht="210" customHeight="1">
      <x:c r="A397" s="37" t="str">
        <x:v>IDV (Iveco Defence)</x:v>
      </x:c>
      <x:c r="B397" s="32" t="str">
        <x:v>Protected Vehicles</x:v>
      </x:c>
      <x:c r="C397" s="32" t="str">
        <x:v>Centauro II</x:v>
      </x:c>
      <x:c r="D397" s="32" t="str">
        <x:v>• 8x8; length 8,260 mm; hull height 2,100 mm; total height 3,650 mm; width 3,120 mm; wheelbase 2,650 mm; approach/departure 40°/40°; crew 1+3; GVW 30,000 kg; speed &gt;105 km/h; gradient 60%; side slope 30%; range &gt;800 km at 70 km/h; trench &gt;2 m; fording &gt;2 m; IVECO Vector 8V, 525 kW; torque 2,500 Nm; 7 forward/2 reverse automatic; 120 mm L/45 smoothbore low-recoil gun, 31 rounds, autoloader/manual backup; -7°/+16° elevation; optional 105 mm L/52 with 31 rounds; 7.62 mm coaxial; optional 7.62/12.7 mm RWS; 16x 40 mm smoke grenades.
• Crew: 4
• GVW: 30,000 kg
• Length: 8,260 mm
• Width: 3,120 mm
• Total height: 3,650 mm
• Engine: Iveco Vector 8V, 525 kW / 700+ hp
• Torque: 2,500 Nm
• Transmission: automatic 7 forward / 2 reverse
• Maximum speed: &gt;105 km/h
• Road range: &gt;800 km
• Gradient: 60%
• Side slope: 30%
• Trench: &gt;2.0 m
• Main armament: 120 mm L/45 smoothbore low-recoil gun, 31 rounds, autoloader
• Optional main gun: 105 mm L/52
• Elevation: -7° to +16°</x:v>
      </x:c>
      <x:c r="E397" s="32" t="str">
        <x:v>• Third-generation day/night sights; integrated FCS/BMS; CBRN; anti-mine/IED; isolated ammunition; AFESS; anti-RCIED; CTIS; run-flat; modular armour.
• 8×8 wheeled tank destroyer/direct-fire vehicle
• Top-level ballistic/mine protection
• Digital CAN bus / BMS
• CBRN hardening
• Optional HITROLE Light RWS</x:v>
      </x:c>
      <x:c r="F397" s="38" t="str">
        <x:v>https://www.idvgroup.com/products/land-armoured-vehicles/centauro-ii/</x:v>
      </x:c>
    </x:row>
    <x:row r="398" ht="210" customHeight="1">
      <x:c r="A398" s="37" t="str">
        <x:v>IDV (Iveco Defence)</x:v>
      </x:c>
      <x:c r="B398" s="32" t="str">
        <x:v>Protected Vehicles</x:v>
      </x:c>
      <x:c r="C398" s="32" t="str">
        <x:v>Guarani 6×6</x:v>
      </x:c>
      <x:c r="D398" s="32" t="str">
        <x:v>• 6x6 amphibious armoured personnel carrier family; model-specific public figures vary by configuration and source; current IDV product catalogue identifies Guarani as an amphibious armoured vehicle.
• Crew/capacity: up to 3 + 8
• Length: 6,910 mm
• Width: 2,700 mm
• Hull height: 2,340 mm
• Empty weight: 15,000 kg
• GVW land: 21,000 kg
• GVW amphibious: 19,500 kg
• Engine: FPT Cursor 9, ~375–380 hp
• Torque: 1,500 Nm
• Maximum paved speed: &gt;90 km/h
• Water speed: ≥7 km/h
• Road range: ≥600 km
• Step: 0.5 m
• Trench: &gt;1.2 m
• Armament integration: up to 30 mm</x:v>
      </x:c>
      <x:c r="E398" s="32" t="str">
        <x:v>• Troop transport and protected mobility; amphibious riverine/maritime operations; modular mission configuration.
• Amphibious 6×6
• Modular add-on armour
• Anti-mine/IED protection
• C4I, jammer and C-UAS integration
• Developed with Brazilian Army</x:v>
      </x:c>
      <x:c r="F398" s="38" t="str">
        <x:v>https://www.idvgroup.com/products/
https://www.idvgroup.com/
https://www.idvgroup.com/products/amphibious-armoured-vehicles/guarani/</x:v>
      </x:c>
    </x:row>
    <x:row r="399" ht="210" customHeight="1">
      <x:c r="A399" s="37" t="str">
        <x:v>IDV (Iveco Defence)</x:v>
      </x:c>
      <x:c r="B399" s="32" t="str">
        <x:v>Protected Vehicles</x:v>
      </x:c>
      <x:c r="C399" s="32" t="str">
        <x:v>LMV2</x:v>
      </x:c>
      <x:c r="D399" s="32" t="str">
        <x:v>• 4x4; wheelbase 3,230 mm; track 1,720 mm; max width 2,275 mm; length 4,850 mm; cabin height 2,200 mm; ground clearance 350 mm; incidence angles 45°/45°; total mass on ground 8,200 kg; basic towing 2,000 kg; max towing 3,500 kg; minimum payload 1,500 kg; max speed 110 km/h high range and 65 km/h low range; longitudinal slope 60%; transverse slope 30%; turning circle 14 m; fording 750 mm unprepared / 1,100 mm prepared; power/weight 20 kW/t.
• Crew: up to 5
• GVW: 8,200 kg
• Minimum payload: 1,500 kg
• Wheelbase: 3,230 mm
• Width: 2,275 mm
• Length: 4,850 mm
• Cab height: 2,200 mm
• Ground clearance: 350 mm
• Engine: F1C turbo-diesel, 220 hp with battle switch
• Transmission: 8-speed automatic
• Maximum speed high range: 110 km/h
• Low range: 65 km/h
• Gradeability: 60%
• Side slope: 30%
• Fording: 750 mm unprepared / 1,100 mm prepared
• Towing: 2,000 kg basic / 3,500 kg max</x:v>
      </x:c>
      <x:c r="E399" s="32" t="str">
        <x:v>• Patrol, C2, logistics carrier, artillery, CBRN and EW configurations; different protection levels/cabs; digitalised dashboard and diagnostics.
• Permanent 4×4
• Ballistic-steel / composite hard-top
• V-shaped anti-mine protection
• RCWS up to 12.7 mm or 40 mm AGL
• C4I / counter-RCIED integration</x:v>
      </x:c>
      <x:c r="F399" s="38" t="str">
        <x:v>https://www.idvgroup.com/products/multirole-vehicles/lmv2-light-multirole-vehicle/</x:v>
      </x:c>
    </x:row>
    <x:row r="400" ht="210" customHeight="1">
      <x:c r="A400" s="37" t="str">
        <x:v>IDV (Iveco Defence)</x:v>
      </x:c>
      <x:c r="B400" s="32" t="str">
        <x:v>Protected Vehicles</x:v>
      </x:c>
      <x:c r="C400" s="32" t="str">
        <x:v>MTV Medium Tactical Vehicle</x:v>
      </x:c>
      <x:c r="D400" s="32" t="str">
        <x:v>• 4x4; crew up to 1+7; wheelbase 3,460 mm; track 2,015 mm; length 5,900 mm; width 2,430 mm; height 2,760 mm; step 350 mm; approach/departure 45°/35°; fording 750 mm unprepared / 1,500 mm deep-fording option; gradient/side slope 60%/30%; turning radius &lt;16 m; payload &gt;2,000 kg; GVW &gt;12,500 kg; towing 3,500 kg; top speed 90 km/h; range &gt;600 km; 6.7 L diesel; 280 hp/207 kW; 1,000 Nm; 24 V; 365/85 R20 run-flat; three differential locks.
• Configuration: 4×4
• Crew/capacity: up to 1 + 7
• Wheelbase: 3,460 mm
• Length: 5,900 mm
• Width: 2,430 mm
• Height: 2,760 mm
• GVW: &gt;12,500 kg
• Payload: &gt;2,000 kg
• Engine: 6.7 L 6-cylinder diesel, ~280 hp / 1,000 Nm
• Maximum speed: ~90 km/h
• Range: &gt;600 km
• Fording: 750 mm unprepared / 1,500 mm optional deep-ford
• Gradeability: 60%
• Side slope: 30%</x:v>
      </x:c>
      <x:c r="E400" s="32" t="str">
        <x:v>• Hardtop/softtop/pick-up/protected monocoque; CBRN; C4I; jammer; RCWS; military police; medevac; command post; troop transport.
• Protected medium tactical 4×4
• Permanent 4×4 / differential locks
• CTIS / run-flat
• High modularity / system integration</x:v>
      </x:c>
      <x:c r="F400" s="38" t="str">
        <x:v>https://www.idvgroup.com/products/multirole-vehicles/mtv-medium-tactical-vehicle/
https://www.idvgroup.com/2019/09/12/iveco-defence-vehicles-awarded-contract-to-deliver-a-new-generation-of-medium-multirole-protected/</x:v>
      </x:c>
    </x:row>
    <x:row r="401" ht="210" customHeight="1">
      <x:c r="A401" s="37" t="str">
        <x:v>IDV (Iveco Defence)</x:v>
      </x:c>
      <x:c r="B401" s="32" t="str">
        <x:v>Protected Vehicles</x:v>
      </x:c>
      <x:c r="C401" s="32" t="str">
        <x:v>MUV 4×4</x:v>
      </x:c>
      <x:c r="D401" s="32" t="str">
        <x:v>• 4x4 light logistics/multirole truck; payload up to 4,000 kg; modular architecture; exact current dimensions/power vary by configuration and are not fully disclosed on the current public page.
• GVW: 5,500–7,000 kg
• Technical payload: up to 4,000 kg chassis-cab / up to 3,600 kg van
• Engine: FPT F1C turbo-diesel, 145–180 hp depending emissions/configuration
• Torque: 350–430 Nm
• Transmission: 6-speed manual or 8-speed automatic
• Maximum speed: 110 km/h
• Fording: 600 mm
• Gradeability: 60%
• Side slope: 30%
• On-road towing: 3,500 kg
• Off-road towing: 1,500 kg
• Wheelbases: 3,480 / 3,780 / 4,175 mm chassis-cab; multiple van wheelbases
• Van capacity: up to 14 + 2</x:v>
      </x:c>
      <x:c r="E401" s="32" t="str">
        <x:v>• Cargo, logistics, troop transport, ambulance and support missions; new-generation utility platform.
• COTS-based military utility vehicle
• Cargo, troop, ambulance, fire-fighting and C2 variants
• NATO fuel compatibility</x:v>
      </x:c>
      <x:c r="F401" s="38" t="str">
        <x:v>https://www.idvgroup.com/products/multirole-vehicles/
https://www.idvgroup.com/2025/09/09/idv-showcases-latest-innovations-in-land-vehicles-and-autonomous-systems-at-dsei-uk/
https://www.idvgroup.com/products/multirole-vehicles/muv/</x:v>
      </x:c>
    </x:row>
    <x:row r="402" ht="210" customHeight="1">
      <x:c r="A402" s="37" t="str">
        <x:v>IDV (Iveco Defence)</x:v>
      </x:c>
      <x:c r="B402" s="32" t="str">
        <x:v>Protected Vehicles</x:v>
      </x:c>
      <x:c r="C402" s="32" t="str">
        <x:v>SuperAV Amphibious / VBA</x:v>
      </x:c>
      <x:c r="D402" s="32" t="str">
        <x:v>• 8x8 amphibious armoured platform; length 8,750 mm; height 2,790 mm; width 3,120 mm; approach/departure 42°/43°; personnel up to 3+13; empty weight 27,500 kg; payload 4,000 kg; GVW 31,500 kg; internal volume 18 m³; land speed &gt;105 km/h. Italian Navy VBA and US Marine Corps ACV programmes based on platform.
• Crew/capacity: up to 3 + 13 on SuperAV family
• Length: 8,750 mm
• Width: 3,120 mm
• Height: 2,790 mm
• Empty weight: ~27,500 kg
• Payload: ~4,000 kg
• GVW: ~31,500 kg
• Engine: FPT Cursor 16, 700 hp / 515 kW
• Land speed: &gt;105 km/h
• Water speed: &gt;6 knots
• Road range: ≥700 km
• VBA armament: HITROLE Light 12.7 mm RWS</x:v>
      </x:c>
      <x:c r="E402" s="32" t="str">
        <x:v>• Amphibious ship-to-shore mobility; high-water propulsion; modular protection and mission systems.
• 8×8 amphibious armoured vehicle
• Sea-state amphibious operation
• USMC ACV / Italian Navy VBA lineage
• H-drive and hydropneumatic suspension</x:v>
      </x:c>
      <x:c r="F402" s="38" t="str">
        <x:v>https://www.idvgroup.com/products/amphibious-armoured-vehicles/superav-amphibious-armoured-vehicle-8x8/
https://www.idvgroup.com/2023/01/10/the-italian-navy-orders-36-idv-amphibious-armoured-vehicles-vba/</x:v>
      </x:c>
    </x:row>
    <x:row r="403" ht="210" customHeight="1">
      <x:c r="A403" s="37" t="str">
        <x:v>IDV (Iveco Defence)</x:v>
      </x:c>
      <x:c r="B403" s="32" t="str">
        <x:v>Protected Vehicles</x:v>
      </x:c>
      <x:c r="C403" s="32" t="str">
        <x:v>SuperAV Land</x:v>
      </x:c>
      <x:c r="D403" s="32" t="str">
        <x:v>• 8x8; length 8,300 mm; height 2,600 mm; width 3,120 mm; approach/departure 60°/43°; personnel up to 3+8; empty weight ~27,500 kg; payload 4,000 kg; GVW 31,500 kg; internal volume 16 m³; max speed &gt;105 km/h; gradient ≥60%; side slope ≥30%; road range ≥700 km; step ≥0.65 m; trench ≥2.0 m; turning radius 11 m with optional 4th steering axle; FPT Cursor 16 multifuel engine; 700 hp/515 kW; torque 3,000 Nm; 7+2 automatic; independent hydro-pneumatic suspension; 16.00 R20; CTIS; 28 V/910 A alternator.
• Crew/capacity: up to 3 + 8
• Length: 8,300 mm
• Width: 3,120 mm
• Height: 2,600 mm
• Empty weight: 27,500 kg
• Payload: 4,000 kg
• GVW: 31,500 kg
• Engine: FPT Cursor 16, 700 hp / 515 kW
• Torque: 3,000 Nm
• Transmission: automatic 7 forward / 2 reverse
• Maximum speed: &gt;105 km/h
• Range: ≥700 km
• Gradient: ≥60%
• Side slope: ≥30%
• Step: ≥0.65 m
• Trench: ≥2.0 m
• Weapons: 12.7 mm to unmanned medium-calibre turrets up to 40 mm</x:v>
      </x:c>
      <x:c r="E403" s="32" t="str">
        <x:v>• V-shaped armoured hull; modular ballistic protection; anti-mine/IED; CBRN; fire/explosion suppression; 12.7 mm to 40 mm uncrewed turrets; C4I; C-UAS; counter-RCIED.
• Land-oriented SuperAV derivative
• V-shaped ballistic steel hull
• Modular ballistic/mine/IED protection
• C-UAS / C4I / anti-RCIED integration</x:v>
      </x:c>
      <x:c r="F403" s="38" t="str">
        <x:v>https://www.idvgroup.com/products/land-armoured-vehicles/superav-land/</x:v>
      </x:c>
    </x:row>
    <x:row r="404" ht="210" customHeight="1">
      <x:c r="A404" s="37" t="str">
        <x:v>IDV (Iveco Defence)</x:v>
      </x:c>
      <x:c r="B404" s="32" t="str">
        <x:v>Protected Vehicles</x:v>
      </x:c>
      <x:c r="C404" s="32" t="str">
        <x:v>VBM Freccia AIFV / ATGM</x:v>
      </x:c>
      <x:c r="D404" s="32" t="str">
        <x:v>• 8x8; max GVW 31,500 kg; personnel up to 1+2 crew and 8 troops; internal volume 11 m³; max speed 110 km/h; gradient 60%; side slope 30%; road range &gt;800 km at 70 km/h; trench ≥2 m; fording 1.5 m; turning radius 9 m; IVECO 8262 6-cylinder turbocharged aftercooled diesel; 550 hp/405 kW; torque 2,000 Nm; automatic 5 forward/2 reverse; H-type driveline; hydro-pneumatic independent suspension; 14.00R20 run-flat/CTIS.
• Crew/capacity: 1 + 2 + 8
• Length: 8,560 mm
• Width: 2,990 mm
• Total height: 3,180 mm
• Empty weight: 22,000 kg
• Payload: 8,000 kg
• Max GVW: 31,500 kg
• Engine: Iveco 8262 6V turbocharged, 405 kW / 550 hp
• Torque: 2,000 Nm
• Maximum road speed: 110 km/h
• Road range: &gt;800 km
• Fording: 1.5 m
• Trench: ≥2 m
• Main turret: 25 or 30 mm cannon; ATGM options SPIKE/TOW</x:v>
      </x:c>
      <x:c r="E404" s="32" t="str">
        <x:v>• Stabilised two-man turret or RCWS with 25/30 mm gun; ATWS options including SPIKE/TOW; BMS; laser warning; CBRN; AFESS; anti-RCIED; rear hydraulic ramp.
• 8×8 networked IFV
• Hydropneumatic independent suspension
• H-type driveline
• BMS/C4I
• Modular ballistic/mine protection</x:v>
      </x:c>
      <x:c r="F404" s="38" t="str">
        <x:v>https://www.idvgroup.com/products/land-armoured-vehicles/vbm-freccia-aifv-atgm/</x:v>
      </x:c>
    </x:row>
    <x:row r="405" ht="210" customHeight="1">
      <x:c r="A405" s="37" t="str">
        <x:v>PLR Systems (IWI+Adani)</x:v>
      </x:c>
      <x:c r="B405" s="32" t="str">
        <x:v>Small Arms</x:v>
      </x:c>
      <x:c r="C405" s="32" t="str">
        <x:v>GALIL ACE 31</x:v>
      </x:c>
      <x:c r="D405" s="32" t="str">
        <x:v>• Calibre: 7.62×39 mm
• Barrel: 216 mm / 8.5 in
• Overall length: 730 mm
• Weight: ~3.0 kg weapon only
• Rate of fire: ~680–880 rounds/min
• Rifling: 6 RH grooves, 1:9.5 twist</x:v>
      </x:c>
      <x:c r="E405" s="32" t="str">
        <x:v>• Compact assault-rifle / CQB configuration
• IWI/PLR product-family reference; current Indian CQB developments are based on ACE lineage</x:v>
      </x:c>
      <x:c r="F405" s="38" t="str">
        <x:v>https://es.iwi.net/ace/ace-31/</x:v>
      </x:c>
    </x:row>
    <x:row r="406" ht="210" customHeight="1">
      <x:c r="A406" s="37" t="str">
        <x:v>PLR Systems (IWI+Adani)</x:v>
      </x:c>
      <x:c r="B406" s="32" t="str">
        <x:v>Small Arms</x:v>
      </x:c>
      <x:c r="C406" s="32" t="str">
        <x:v>GALIL ACE 32</x:v>
      </x:c>
      <x:c r="D406" s="32" t="str">
        <x:v>• Calibre: 7.62×39 mm
• Barrel: 409 mm / 16 in
• Overall length: 927 mm
• Weight: ~3.5 kg weapon only
• Rate of fire: ~680–880 rounds/min
• Rifling: 6 RH grooves, 1:9.5 twist</x:v>
      </x:c>
      <x:c r="E406" s="32" t="str">
        <x:v>• Full-length ACE assault rifle
• IWI family reference for Adani/IWI JV portfolio</x:v>
      </x:c>
      <x:c r="F406" s="38" t="str">
        <x:v>https://iwi.net/ace/ace-32/</x:v>
      </x:c>
    </x:row>
    <x:row r="407" ht="210" customHeight="1">
      <x:c r="A407" s="37" t="str">
        <x:v>PLR Systems (IWI+Adani)</x:v>
      </x:c>
      <x:c r="B407" s="32" t="str">
        <x:v>Small Arms</x:v>
      </x:c>
      <x:c r="C407" s="32" t="str">
        <x:v>GALIL Sniper S.A.</x:v>
      </x:c>
      <x:c r="D407" s="32" t="str">
        <x:v>• Galil sniper-rifle family; PLR identifies Indian manufacture and supply; chambering commonly associated with 7.62x51 mm NATO for Galil-based sniper variants. Complete PLR-specific dimensions, barrel length and sight package are not consistently public.
• Calibre: 7.62×51 mm NATO Match
• Rifling: 6 RH grooves, 1:9.5 twist
• Barrel: 584 mm incl. muzzle brake
• Overall length: 1,100 mm unfolded / 840 mm folded
• Weight: 5.46 kg weapon only
• Magazine: 10 / 25 rounds
• Effective range: up to ~1,000 m</x:v>
      </x:c>
      <x:c r="E407" s="32" t="str">
        <x:v>• Sniper/precision rifle role; optical sight integration; supplied to Indian armed/security forces.
• Semi-automatic sniper rifle
• Adjustable bipod, cheek rest and butt monopod
• PLR publicly states Galil sniper-rifle manufacturing in India</x:v>
      </x:c>
      <x:c r="F407" s="38" t="str">
        <x:v>https://www.linkedin.com/company/plr-systems-pvt-ltd/
https://www.idsa.in/publisher/system/files/monograph/monograph75.pdf
https://www.business-standard.com/markets/capital-market-news/investment-precision-castings-wins-order-from-plr-systems-125071500202_1.html
https://www.linkedin.com/company/plr-systems-pvt-ltd/?originalSubdomain=in
https://iwi.net/wp-content/uploads/2021/03/IWI_GALIL_SNIPER_brochure_2021_EN.pdf</x:v>
      </x:c>
    </x:row>
    <x:row r="408" ht="210" customHeight="1">
      <x:c r="A408" s="37" t="str">
        <x:v>PLR Systems (IWI+Adani)</x:v>
      </x:c>
      <x:c r="B408" s="32" t="str">
        <x:v>Small Arms</x:v>
      </x:c>
      <x:c r="C408" s="32" t="str">
        <x:v>IWI CQB Carbine / PLR Jeet programme</x:v>
      </x:c>
      <x:c r="D408" s="32" t="str">
        <x:v>• 5.56 mm-class close-quarter battle carbine programme; public 2026 reporting identifies PLR as one of two Indian suppliers for a large CQB-carbine procurement and reports that the PLR weapon is based heavily on the IWI Galil ACE family. PLR-specific final configuration specifications are not fully public.</x:v>
      </x:c>
      <x:c r="E408" s="32" t="str">
        <x:v>• Compact infantry/carbines for close-quarter operations; localisation and Indian manufacture.</x:v>
      </x:c>
      <x:c r="F408" s="38" t="str">
        <x:v>https://www.jpost.com/defense-and-tech/article-891732
https://blog.roninsgrips.com/sitrep-global-small-arms-industry-week-ending-february-21-2026/
https://www.business-standard.com/markets/capital-market-news/investment-precision-castings-wins-order-from-plr-systems-125071500202_1.html</x:v>
      </x:c>
    </x:row>
    <x:row r="409" ht="210" customHeight="1">
      <x:c r="A409" s="37" t="str">
        <x:v>PLR Systems (IWI+Adani)</x:v>
      </x:c>
      <x:c r="B409" s="32" t="str">
        <x:v>Small Arms</x:v>
      </x:c>
      <x:c r="C409" s="32" t="str">
        <x:v>MASADA 9 mm Pistol</x:v>
      </x:c>
      <x:c r="D409" s="32" t="str">
        <x:v>• 9x19 mm semi-automatic pistol family; PLR secured an Indian Navy/MARCOS procurement order for MASADA 9 mm pistols. PLR-specific configuration dimensions/mass are not consistently public.</x:v>
      </x:c>
      <x:c r="E409" s="32" t="str">
        <x:v>• Polymer-frame striker-fired pistol; modular grip/backstrap concept; optics-ready variants exist in IWI family.</x:v>
      </x:c>
      <x:c r="F409" s="38" t="str">
        <x:v>https://www.idsa.in/publisher/system/files/monograph/monograph75.pdf
https://www.financialexpress.com/business/defence-indian-army-troops-to-get-israeli-lmgs-more-carbines-light-machine-guns-and-rifles-to-be-imported-2206432/lite/</x:v>
      </x:c>
    </x:row>
    <x:row r="410" ht="210" customHeight="1">
      <x:c r="A410" s="37" t="str">
        <x:v>PLR Systems (IWI+Adani)</x:v>
      </x:c>
      <x:c r="B410" s="32" t="str">
        <x:v>Small Arms</x:v>
      </x:c>
      <x:c r="C410" s="32" t="str">
        <x:v>NEGEV 5.56 LMG</x:v>
      </x:c>
      <x:c r="D410" s="32" t="str">
        <x:v>• Calibre: 5.56×45 mm
• Barrel: 460 mm
• Overall length: 1,020 mm extended / 810 mm folded
• Weight: 7.6 kg weapon only
• Rate of fire: 850–1,050 rounds/min magazine/belt; 950–1,150 rounds/min belt/extreme setting</x:v>
      </x:c>
      <x:c r="E410" s="32" t="str">
        <x:v>• Belt, assault-drum or NATO-magazine feed
• PLR publicly states NEGEV family manufacturing in India</x:v>
      </x:c>
      <x:c r="F410" s="38" t="str">
        <x:v>https://www.linkedin.com/company/plr-systems-pvt-ltd/?originalSubdomain=in
https://iwi.net/iwi-negev-machine-gun/negev/</x:v>
      </x:c>
    </x:row>
    <x:row r="411" ht="210" customHeight="1">
      <x:c r="A411" s="37" t="str">
        <x:v>PLR Systems (IWI+Adani)</x:v>
      </x:c>
      <x:c r="B411" s="32" t="str">
        <x:v>Small Arms</x:v>
      </x:c>
      <x:c r="C411" s="32" t="str">
        <x:v>NEGEV NG-7 / Prahar LMG</x:v>
      </x:c>
      <x:c r="D411" s="32" t="str">
        <x:v>• 7.62x51 mm NATO LMG; 7.95 kg empty; muzzle velocity 860 m/s; rate of fire ~675 rpm; effective range ~800 m; belt-fed; 100/125-round drum options and NATO magazines reported by secondary technical source; quick-change barrel; gas-operated long-stroke system. India ordered a large follow-on quantity for local manufacture.
• Calibre: 7.62×51 mm
• Barrel: 508 mm / 20 in
• Overall length: 1,100 mm extended / 1,030 mm retracted
• Weight: 7.95 kg weapon only
• Rate of fire: ~600–750 rounds/min
• Semi-automatic mode plus automatic fire
• Indian Prahar variant: 7.62×51 mm, locally produced by PLR; 2026 first batch 2,000 units; ~50% indigenous content reported</x:v>
      </x:c>
      <x:c r="E411" s="32" t="str">
        <x:v>• Light machine gun; sustained fire; semi-automatic capability reported; belt/magazine flexibility; quick-change barrel.
• Belt-fed 7.62 LMG
• Semi-auto mode unique within class
• Indian Army local-production programme</x:v>
      </x:c>
      <x:c r="F411" s="38" t="str">
        <x:v>https://www.linkedin.com/company/plr-systems-pvt-ltd/
https://timesofindia.indiatimes.com/defence/weapons/gun/negev-ng7
https://www.jpost.com/defense-and-tech/article-891732
https://www.financialexpress.com/business/defence-indian-army-troops-to-get-israeli-lmgs-more-carbines-light-machine-guns-and-rifles-to-be-imported-2206432/lite/
https://iwi.net/iwi-negev-machine-gun/negev-ng-7/
https://connect.adani.com/2026/apr2026/defence/</x:v>
      </x:c>
    </x:row>
    <x:row r="412" ht="210" customHeight="1">
      <x:c r="A412" s="37" t="str">
        <x:v>PLR Systems (IWI+Adani)</x:v>
      </x:c>
      <x:c r="B412" s="32" t="str">
        <x:v>Small Arms</x:v>
      </x:c>
      <x:c r="C412" s="32" t="str">
        <x:v>TAVOR 7</x:v>
      </x:c>
      <x:c r="D412" s="32" t="str">
        <x:v>• Calibre: 7.62×51 mm NATO
• Barrel: 432 mm / 17 in; optional 508 mm / 20 in
• Overall length: 730 mm (17 in) / 806 mm (20 in)
• Weight: 4.1 kg / 4.2 kg
• Rate of fire: ~600–900 rounds/min
• Rifling: 4 RH grooves, 1:12 twist</x:v>
      </x:c>
      <x:c r="E412" s="32" t="str">
        <x:v>• Short-stroke gas piston
• Ambidextrous bullpup
• 4-position gas regulator
• Detachable/replaceable barrel
• IWI family product; include as PLR/IWI JV portfolio reference rather than claiming confirmed Indian production quantity</x:v>
      </x:c>
      <x:c r="F412" s="38" t="str">
        <x:v>https://iwi.net/iwi-tavor-rifle/tavor-7/
https://iwi.net/wp-content/uploads/2021/03/IWI_TAVOR_7_brochure_2021_EN.pdf</x:v>
      </x:c>
    </x:row>
    <x:row r="413" ht="210" customHeight="1">
      <x:c r="A413" s="37" t="str">
        <x:v>PLR Systems (IWI+Adani)</x:v>
      </x:c>
      <x:c r="B413" s="32" t="str">
        <x:v>Small Arms</x:v>
      </x:c>
      <x:c r="C413" s="32" t="str">
        <x:v>TAVOR TAR-21 / TAVOR TAR Flattop</x:v>
      </x:c>
      <x:c r="D413" s="32" t="str">
        <x:v>• Bullpup assault rifle family; 5.56x45 mm NATO; Indian PLR production documented; public secondary sources commonly report TAR-21 class figures around 720 mm overall length, 3.27 kg unloaded, 457 mm barrel, ~910 m/s muzzle velocity, 550 m class effective range and 750–950 rpm, but these figures vary by TAVOR variant. PLR-specific variant datasheet is not publicly complete.
• Calibre: 5.56×45 mm
• Rifling: 6 RH grooves, 1:7 twist
• Barrel: 457 mm / 18 in
• Overall length: 725 mm
• Weight: ~3.6 kg weapon only
• Rate of fire: ~750–950 rounds/min</x:v>
      </x:c>
      <x:c r="E413" s="32" t="str">
        <x:v>• Bullpup architecture; compact overall length; optics/rail integration; variants adapted for different roles.
• Bullpup assault rifle
• PLR publicly states TAVOR is manufactured in India at its Gwalior facility
• MIL-STD accessory rail / modern optics integration</x:v>
      </x:c>
      <x:c r="F413" s="38" t="str">
        <x:v>https://www.plrsystem.in/
https://www.linkedin.com/company/plr-systems-pvt-ltd/
https://www.financialexpress.com/business/defence-indian-army-troops-to-get-israeli-lmgs-more-carbines-light-machine-guns-and-rifles-to-be-imported-2206432/lite/
https://www.idsa.in/publisher/system/files/monograph/monograph75.pdf
https://www.linkedin.com/company/plr-systems-pvt-ltd/?originalSubdomain=in
https://es.iwi.net/iwi-tavor-rifle/tavor-tar-flattop/</x:v>
      </x:c>
    </x:row>
    <x:row r="414" ht="210" customHeight="1">
      <x:c r="A414" s="37" t="str">
        <x:v>PLR Systems (IWI+Adani)</x:v>
      </x:c>
      <x:c r="B414" s="32" t="str">
        <x:v>Small Arms</x:v>
      </x:c>
      <x:c r="C414" s="32" t="str">
        <x:v>UZI PRO SMG</x:v>
      </x:c>
      <x:c r="D414" s="32" t="str">
        <x:v>• 9x19 mm family; PLR publicly identifies UZI submachine guns among its manufactured/supplied IWI range; UZI Pro is a compact 9 mm platform. PLR-specific complete technical sheet is not publicly available.
• Calibre: 9×19 mm
• Barrel: 170 mm standard; 210 / 240 mm options
• Overall length: 539 mm extended / 317 mm folded with 170 mm barrel
• Weight: 2.4 kg weapon only
• Rate of fire: ~1,000–1,150 rounds/min
• Rifling: 4 RH grooves, 1:10 twist</x:v>
      </x:c>
      <x:c r="E414" s="32" t="str">
        <x:v>• Compact close-quarters weapon; folding/compact configurations; law-enforcement/security roles.
• Compact submachine gun
• Polymer construction / Picatinny rails
• PLR publicly states UZI family manufacturing in India</x:v>
      </x:c>
      <x:c r="F414" s="38" t="str">
        <x:v>https://www.linkedin.com/company/plr-systems-pvt-ltd/
https://www.financialexpress.com/business/defence-indian-army-troops-to-get-israeli-lmgs-more-carbines-light-machine-guns-and-rifles-to-be-imported-2206432/lite/
https://www.idsa.in/publisher/system/files/monograph/monograph75.pdf
https://www.linkedin.com/company/plr-systems-pvt-ltd/?originalSubdomain=in
https://iwi.net/uzi-submachine-gun/uzi-pro/</x:v>
      </x:c>
    </x:row>
    <x:row r="415" ht="210" customHeight="1">
      <x:c r="A415" s="37" t="str">
        <x:v>PLR Systems (IWI+Adani)</x:v>
      </x:c>
      <x:c r="B415" s="32" t="str">
        <x:v>Small Arms</x:v>
      </x:c>
      <x:c r="C415" s="32" t="str">
        <x:v>X95 Flattop 419</x:v>
      </x:c>
      <x:c r="D415" s="32" t="str">
        <x:v>• X95 family; 5.56x45 mm NATO and other chamberings exist within IWI family; PLR manufactured Indian X95-Micro Tavor/X95 rifles. PLR-specific configuration datasheet is not publicly complete.
• Calibre: 5.56×45 mm / .300 BLK
• Rifling: 6 RH grooves, 1:7 twist
• Barrel: 419 mm / 16.5 in
• Overall length: 670 mm
• Weight: 3.4 kg (5.56); ~3.45 kg .300 BLK
• Rate of fire: ~750–950 rounds/min</x:v>
      </x:c>
      <x:c r="E415" s="32" t="str">
        <x:v>• Compact bullpup; assault rifle/carbine configuration; optics/rail integration; Indian manufacture commenced in 2018.
• Compact bullpup assault rifle
• Indian production at PLR documented since 2018
• Optional 40×46 mm grenade launcher</x:v>
      </x:c>
      <x:c r="F415" s="38" t="str">
        <x:v>https://www.linkedin.com/company/plr-systems-pvt-ltd/
https://www.financialexpress.com/business/defence-indian-army-troops-to-get-israeli-lmgs-more-carbines-light-machine-guns-and-rifles-to-be-imported-2206432/lite/
https://www.plrsystem.in/
https://www.linkedin.com/company/plr-systems-pvt-ltd/?originalSubdomain=in
https://iwi.net/iwi-x95/x95-flattop-419/</x:v>
      </x:c>
    </x:row>
    <x:row r="416" ht="210" customHeight="1">
      <x:c r="A416" s="37" t="str">
        <x:v>Kalashnikov Concern</x:v>
      </x:c>
      <x:c r="B416" s="32" t="str">
        <x:v>Small Arms</x:v>
      </x:c>
      <x:c r="C416" s="32" t="str">
        <x:v>AK-12</x:v>
      </x:c>
      <x:c r="D416" s="32" t="str">
        <x:v>• 5.45×39 mm; 415 mm barrel; ~3.3 kg empty; 945 mm overall / 690 mm folded; 30-round magazine; ~900 m/s muzzle velocity; ~600 m effective range; ~700 rpm cyclic rate; gas-operated long-stroke piston; rotating bolt.
• Calibre: 5.45×39 mm
• Empty weight: ~3.5 kg
• Magazine: 30 rounds
• Sighting range: 800 m
• Gas-operated rotating-bolt action
• 2023 type uses revised flash suppressor, safety/fire selector, diopter sight, cheekpiece and receiver/forearm design</x:v>
      </x:c>
      <x:c r="E416" s="32" t="str">
        <x:v>• Modernised AK-family infantry rifle; folding/adjustable stock; accessory rail; day/night optic integration; burst/automatic/single fire configurations depending generation.
• Current Russian service assault rifle
• Picatinny rails for day/night sights and accessories
• Folding adjustable stock
• Free-floating handguard / improved ergonomics</x:v>
      </x:c>
      <x:c r="F416" s="38" t="str">
        <x:v>https://www.weaponspecs.com/systems/kalashnikov-concern/ak-12/
https://gunspec.io/en/firearms/ak-12
https://kalashnikovgroup.ru/
https://roe.ru/pdfs/pdf_6173.pdf
https://rostec.ru/en/directions/weapons/products-projects/ak-12-ak-15-ak-19-assault-rifles/
https://rostec.ru/en/media/news/kalashnikov-has-completed-a-delivery-of-another-batch-of-the-improved-ak-12-/</x:v>
      </x:c>
    </x:row>
    <x:row r="417" ht="210" customHeight="1">
      <x:c r="A417" s="37" t="str">
        <x:v>Kalashnikov Concern</x:v>
      </x:c>
      <x:c r="B417" s="32" t="str">
        <x:v>Small Arms</x:v>
      </x:c>
      <x:c r="C417" s="32" t="str">
        <x:v>AK-15</x:v>
      </x:c>
      <x:c r="D417" s="32" t="str">
        <x:v>• 7.62×39 mm; AK-12 family architecture; 30-round magazine; ~700 rpm cyclic rate; 415 mm-class barrel; gas-operated long-stroke piston; rotating bolt. Exact mass/length varies by generation/configuration.
• Calibre: 7.62×39 mm
• Magazine: 30 rounds
• Gas-operated rotating-bolt action
• AK-12-family architecture</x:v>
      </x:c>
      <x:c r="E417" s="32" t="str">
        <x:v>• AK-family rifle in heavier-calibre configuration; optics/accessory integration; folding stock.
• 7.62 mm assault-rifle member of current AK family
• Modern optics/accessory integration
• Folding adjustable stock</x:v>
      </x:c>
      <x:c r="F417" s="38" t="str">
        <x:v>https://kalashnikovgroup.ru/
https://www.weaponspecs.com/systems/kalashnikov-concern/ak-15/
https://www.armyrecognition.com/
https://rostec.ru/en/directions/weapons/products-projects/ak-12-ak-15-ak-19-assault-rifles/
https://roe.ru/catalog/sukhoputnye-vosyka/strelkovoe-oruzhie/avtomaty/ak-15/</x:v>
      </x:c>
    </x:row>
    <x:row r="418" ht="210" customHeight="1">
      <x:c r="A418" s="37" t="str">
        <x:v>Kalashnikov Concern</x:v>
      </x:c>
      <x:c r="B418" s="32" t="str">
        <x:v>Small Arms</x:v>
      </x:c>
      <x:c r="C418" s="32" t="str">
        <x:v>AK-19</x:v>
      </x:c>
      <x:c r="D418" s="32" t="str">
        <x:v>• 5.56×45 mm NATO; AK-12 family architecture; 30-round magazine; ~415 mm barrel class; gas-operated long-stroke piston; rotating bolt; compact/folding-stock configuration.
• Calibre: 5.56×45 mm NATO
• Magazine: 30 rounds
• AK-12-family operating system</x:v>
      </x:c>
      <x:c r="E418" s="32" t="str">
        <x:v>• Export-oriented NATO-calibre rifle; accessory/optic integration.
• Export/NATO-calibre member of AK-12 family
• Picatinny accessory interface
• Modern stock/ergonomic package</x:v>
      </x:c>
      <x:c r="F418" s="38" t="str">
        <x:v>https://kalashnikovgroup.ru/
https://www.weaponspecs.com/systems/kalashnikov-concern/ak-19/
https://rostec.ru/en/directions/weapons/products-projects/ak-12-ak-15-ak-19-assault-rifles/</x:v>
      </x:c>
    </x:row>
    <x:row r="419" ht="210" customHeight="1">
      <x:c r="A419" s="37" t="str">
        <x:v>Kalashnikov Concern</x:v>
      </x:c>
      <x:c r="B419" s="32" t="str">
        <x:v>Small Arms</x:v>
      </x:c>
      <x:c r="C419" s="32" t="str">
        <x:v>AK-203</x:v>
      </x:c>
      <x:c r="D419" s="32" t="str">
        <x:v>• Calibre: 7.62×39 mm
• Weight: 3.8 kg
• Length: 930 mm stock extended / 690 mm folded
• Rate of fire: ~700 rounds/min
• Muzzle velocity: ~715 m/s
• Effective firing range: ~800 m
• Magazine: 30 rounds</x:v>
      </x:c>
      <x:c r="E419" s="32" t="str">
        <x:v>• Modern AK-200-series assault rifle
• Gas operated, rotating bolt
• Manufactured in India through IRRPL JV with Kalashnikov/Rosoboronexport participation</x:v>
      </x:c>
      <x:c r="F419" s="38" t="str">
        <x:v>https://irrpl.co.in/home-2/
https://rostec.ru/en/media/news/a-joint-venture-between-russia-and-india-has-delivered-35-000-ak-203-to-the-indian-army/</x:v>
      </x:c>
    </x:row>
    <x:row r="420" ht="210" customHeight="1">
      <x:c r="A420" s="37" t="str">
        <x:v>Kalashnikov Concern</x:v>
      </x:c>
      <x:c r="B420" s="32" t="str">
        <x:v>Small Arms</x:v>
      </x:c>
      <x:c r="C420" s="32" t="str">
        <x:v>AK-308</x:v>
      </x:c>
      <x:c r="D420" s="32" t="str">
        <x:v>• 7.62×51 mm NATO; AK-family gas-operated long-stroke piston; rotating bolt; 20/30-round magazine configurations reported; ~415 mm barrel class.
• Calibre: 7.62×51 mm NATO
• Magazine: 20 rounds in standard export configuration
• AK-100/AK-200-derived gas-operated architecture</x:v>
      </x:c>
      <x:c r="E420" s="32" t="str">
        <x:v>• NATO-calibre battle-rifle/export configuration; accessory rails; folding/adjustable stock.
• Battle-rifle / export assault-rifle configuration
• Accessory-rail and modern stock integration</x:v>
      </x:c>
      <x:c r="F420" s="38" t="str">
        <x:v>https://kalashnikovgroup.ru/
https://www.armyrecognition.com/
https://www.weaponspecs.com/
https://roe.ru/eng/catalog/land-forces/small-arms/assault-rifles/ak-308/</x:v>
      </x:c>
    </x:row>
    <x:row r="421" ht="210" customHeight="1">
      <x:c r="A421" s="37" t="str">
        <x:v>Kalashnikov Concern</x:v>
      </x:c>
      <x:c r="B421" s="32" t="str">
        <x:v>Small Arms</x:v>
      </x:c>
      <x:c r="C421" s="32" t="str">
        <x:v>KORD 12.7 mm</x:v>
      </x:c>
      <x:c r="D421" s="32" t="str">
        <x:v>• 12.7×108 mm; heavy machine gun; ~25 kg weapon class depending mounting; effective range ~2,000 m class; cyclic rate commonly reported around 600 rpm; belt-fed.</x:v>
      </x:c>
      <x:c r="E421" s="32" t="str">
        <x:v>• Infantry, vehicle and naval mounts; electrically/manual fired variants; high-calibre suppressive fire.</x:v>
      </x:c>
      <x:c r="F421" s="38" t="str">
        <x:v>https://kalashnikovgroup.ru/
https://www.armyrecognition.com/
https://weaponsystems.net/system/120-Kord</x:v>
      </x:c>
    </x:row>
    <x:row r="422" ht="210" customHeight="1">
      <x:c r="A422" s="37" t="str">
        <x:v>Kalashnikov Concern</x:v>
      </x:c>
      <x:c r="B422" s="32" t="str">
        <x:v>Small Arms</x:v>
      </x:c>
      <x:c r="C422" s="32" t="str">
        <x:v>Lebedev PL-15 / PLK Family</x:v>
      </x:c>
      <x:c r="D422" s="32" t="str">
        <x:v>• 9×19 mm; short-recoil, locked-breech pistol family; 15-round magazine class; full-size PL-15 and compact PLK variants.</x:v>
      </x:c>
      <x:c r="E422" s="32" t="str">
        <x:v>• Low-profile slide; modular sight/accessory provisions; military/police configurations.</x:v>
      </x:c>
      <x:c r="F422" s="38" t="str">
        <x:v>https://kalashnikovgroup.ru/
https://www.armyrecognition.com/</x:v>
      </x:c>
    </x:row>
    <x:row r="423" ht="210" customHeight="1">
      <x:c r="A423" s="37" t="str">
        <x:v>Kalashnikov Concern</x:v>
      </x:c>
      <x:c r="B423" s="32" t="str">
        <x:v>Small Arms</x:v>
      </x:c>
      <x:c r="C423" s="32" t="str">
        <x:v>PLK Pistol</x:v>
      </x:c>
      <x:c r="D423" s="32" t="str">
        <x:v>• 9×19 mm; compact service pistol; 15-round magazine class; polymer/metal construction depending component; short-recoil locked-breech operating system.</x:v>
      </x:c>
      <x:c r="E423" s="32" t="str">
        <x:v>• Compact sidearm; accessory rail/modern sights; law-enforcement and military use.</x:v>
      </x:c>
      <x:c r="F423" s="38" t="str">
        <x:v>https://kalashnikovgroup.ru/
https://www.armyrecognition.com/</x:v>
      </x:c>
    </x:row>
    <x:row r="424" ht="210" customHeight="1">
      <x:c r="A424" s="37" t="str">
        <x:v>Kalashnikov Concern</x:v>
      </x:c>
      <x:c r="B424" s="32" t="str">
        <x:v>Small Arms</x:v>
      </x:c>
      <x:c r="C424" s="32" t="str">
        <x:v>PPK-20</x:v>
      </x:c>
      <x:c r="D424" s="32" t="str">
        <x:v>• Calibre: 9×19 mm
• Compact submachine-gun architecture derived from Vityaz-SN family
• Folding/telescopic stock and accessory rails</x:v>
      </x:c>
      <x:c r="E424" s="32" t="str">
        <x:v>• Personal-defence / special-forces weapon
• Suppressor compatibility
• Modern optics/accessory integration</x:v>
      </x:c>
      <x:c r="F424" s="38" t="str">
        <x:v>https://roe.ru/eng/catalog/land-forces/small-arms/submachine-guns/ppk-20/</x:v>
      </x:c>
    </x:row>
    <x:row r="425" ht="210" customHeight="1">
      <x:c r="A425" s="37" t="str">
        <x:v>Kalashnikov Concern</x:v>
      </x:c>
      <x:c r="B425" s="32" t="str">
        <x:v>Small Arms</x:v>
      </x:c>
      <x:c r="C425" s="32" t="str">
        <x:v>RPK-16</x:v>
      </x:c>
      <x:c r="D425" s="32" t="str">
        <x:v>• 5.45×39 mm; 415 mm standard barrel with shorter/longer barrel options reported; ~4.5 kg class; 95-round drum or AK-compatible magazines; ~700 rpm; effective range ~600 m class.</x:v>
      </x:c>
      <x:c r="E425" s="32" t="str">
        <x:v>• Light machine gun / automatic rifle; quick-change barrel concept; bipod; optic rail; drum-magazine capability.</x:v>
      </x:c>
      <x:c r="F425" s="38" t="str">
        <x:v>https://www.weaponspecs.com/systems/kalashnikov-concern/rpk-16/
https://kalashnikovgroup.ru/</x:v>
      </x:c>
    </x:row>
    <x:row r="426" ht="210" customHeight="1">
      <x:c r="A426" s="37" t="str">
        <x:v>Kalashnikov Concern</x:v>
      </x:c>
      <x:c r="B426" s="32" t="str">
        <x:v>Small Arms</x:v>
      </x:c>
      <x:c r="C426" s="32" t="str">
        <x:v>RPL-20</x:v>
      </x:c>
      <x:c r="D426" s="32" t="str">
        <x:v>• 5.45×39 mm belt-fed light machine gun; public demonstrations identify a lightweight automatic weapon in the RPL family; detailed mass, barrel and sustained-fire figures are not consistently published.
• Calibre: 5.45×39 mm
• Belt-fed light machine gun
• Open-bolt firing architecture
• Interchangeable barrel concept</x:v>
      </x:c>
      <x:c r="E426" s="32" t="str">
        <x:v>• Belt-fed infantry support; quick-change barrel; modern accessory interface.
• Light machine-gun design intended to complement AK/RPK family
• Belt feed and modern accessory integration</x:v>
      </x:c>
      <x:c r="F426" s="38" t="str">
        <x:v>https://kalashnikovgroup.ru/
https://www.armyrecognition.com/
https://roe.ru/eng/catalog/land-forces/small-arms/machine-guns/rpl-20/</x:v>
      </x:c>
    </x:row>
    <x:row r="427" ht="210" customHeight="1">
      <x:c r="A427" s="37" t="str">
        <x:v>Kalashnikov Concern</x:v>
      </x:c>
      <x:c r="B427" s="32" t="str">
        <x:v>Small Arms</x:v>
      </x:c>
      <x:c r="C427" s="32" t="str">
        <x:v>SVCh Chukavin Sniper Rifle</x:v>
      </x:c>
      <x:c r="D427" s="32" t="str">
        <x:v>• Calibre variants: 7.62×54R / 7.62×51 mm; other variants have been demonstrated
• Semi-automatic precision-rifle architecture
• Detachable box magazine</x:v>
      </x:c>
      <x:c r="E427" s="32" t="str">
        <x:v>• Modern designated-marksman/sniper rifle replacing legacy SVD roles
• Optics/accessory rails
• Adjustable stock</x:v>
      </x:c>
      <x:c r="F427" s="38" t="str">
        <x:v>https://roe.ru/eng/catalog/land-forces/small-arms/sniper-rifles/svch/</x:v>
      </x:c>
    </x:row>
    <x:row r="428" ht="210" customHeight="1">
      <x:c r="A428" s="37" t="str">
        <x:v>Kalashnikov Concern</x:v>
      </x:c>
      <x:c r="B428" s="32" t="str">
        <x:v>UAVs/Drones</x:v>
      </x:c>
      <x:c r="C428" s="32" t="str">
        <x:v>KUB-2-E Loitering Munition</x:v>
      </x:c>
      <x:c r="D428" s="32" t="str">
        <x:v>• New-generation export loitering-munition family; exact public technical values remain limited</x:v>
      </x:c>
      <x:c r="E428" s="32" t="str">
        <x:v>• Precision strike against point and area targets
• Developed within Kalashnikov/ZALA unmanned-systems business</x:v>
      </x:c>
      <x:c r="F428" s="38" t="str">
        <x:v>https://rostec.ru/en/media/news/kalashnikov-unveils-new-kub-2-e-loitering-munitions-at-idex-2025/</x:v>
      </x:c>
    </x:row>
    <x:row r="429" ht="210" customHeight="1">
      <x:c r="A429" s="37" t="str">
        <x:v>Kalashnikov Concern</x:v>
      </x:c>
      <x:c r="B429" s="32" t="str">
        <x:v>UAVs/Drones</x:v>
      </x:c>
      <x:c r="C429" s="32" t="str">
        <x:v>KUB-E Loitering Munition</x:v>
      </x:c>
      <x:c r="D429" s="32" t="str">
        <x:v>• Loitering munition; electrically powered; public sources report endurance around 30 minutes and range around 40 km class for the original KUB configuration; launch mass commonly reported around 3 kg class.
• Fixed-wing loitering munition
• Electric propulsion
• Payload/warhead and endurance vary by export configuration; public figures are limited in official export material</x:v>
      </x:c>
      <x:c r="E429" s="32" t="str">
        <x:v>• EO/targeting payload; autonomous/remote target attack; can be deployed against point/area targets.
• Silent/low-signature precision attack
• Catapult launch
• Autonomous flight and target-coordinate attack</x:v>
      </x:c>
      <x:c r="F429" s="38" t="str">
        <x:v>https://kalashnikovgroup.ru/
https://www.janes.com/
https://www.armyrecognition.com/
https://roe.ru/eng/catalog/aerospace-systems/uavs/kub-e/</x:v>
      </x:c>
    </x:row>
    <x:row r="430" ht="210" customHeight="1">
      <x:c r="A430" s="37" t="str">
        <x:v>Kalashnikov Concern</x:v>
      </x:c>
      <x:c r="B430" s="32" t="str">
        <x:v>UAVs/Drones</x:v>
      </x:c>
      <x:c r="C430" s="32" t="str">
        <x:v>Lancet-E Loitering-Munition System</x:v>
      </x:c>
      <x:c r="D430" s="32" t="str">
        <x:v>• Loitering munition family with multiple variants; public reporting gives different mass, payload and endurance values across Lancet-1/3/5 and later variants; no single family number is asserted.
• Export system built around ZALA Lancet loitering-munition family
• Exact range/endurance/warhead depend on variant; public official export data is limited</x:v>
      </x:c>
      <x:c r="E430" s="32" t="str">
        <x:v>• Electro-optical reconnaissance/strike; loitering attack; autonomous/remote control; anti-armour and counter-battery roles reported.
• Reconnaissance-and-strike loitering system
• EO guidance / operator control
• Precision engagement of vehicles, artillery and other targets</x:v>
      </x:c>
      <x:c r="F430" s="38" t="str">
        <x:v>https://kalashnikovgroup.ru/
https://www.janes.com/
https://www.armyrecognition.com/
https://roe.ru/eng/catalog/aerospace-systems/uavs/lancet-e/</x:v>
      </x:c>
    </x:row>
    <x:row r="431" ht="210" customHeight="1">
      <x:c r="A431" s="37" t="str">
        <x:v>Kalashnikov Concern</x:v>
      </x:c>
      <x:c r="B431" s="32" t="str">
        <x:v>Missiles</x:v>
      </x:c>
      <x:c r="C431" s="32" t="str">
        <x:v>9K121 Vikhr-1 Air-Launched ATGM</x:v>
      </x:c>
      <x:c r="D431" s="32" t="str">
        <x:v>• Laser-beam-riding guided missile; 9A4172K family; launch platforms include Ka-52 attack helicopter; published open-source range generally ~10 km from helicopter launch, with target engagement dependent on launch/flight profile.
• Air-launched anti-armour/anti-air target capability
• Tandem HEAT / fragmentation effect depending target profile</x:v>
      </x:c>
      <x:c r="E431" s="32" t="str">
        <x:v>• Anti-armour/precision strike; tandem/high-explosive anti-tank warhead family; day/night electro-optical target acquisition.
• High-speed precision guided weapon for attack helicopters/aircraft
• Manufactured by Kalashnikov Concern</x:v>
      </x:c>
      <x:c r="F431" s="38" t="str">
        <x:v>https://kalashnikovgroup.ru/
https://www.armyrecognition.com/
https://www.janes.com/
https://rostec.ru/en/media/news/kalashnikov-completed-all-contracts-for-supply-of-high-precision-weapons-in-december-2024/
https://roe.ru/eng/catalog/aerospace-systems/air-to-surface-missiles/vikhr-1/</x:v>
      </x:c>
    </x:row>
    <x:row r="432" ht="210" customHeight="1">
      <x:c r="A432" s="37" t="str">
        <x:v>Munitions India Ltd (MIL)</x:v>
      </x:c>
      <x:c r="B432" s="32" t="str">
        <x:v>Ammunition</x:v>
      </x:c>
      <x:c r="C432" s="32" t="str">
        <x:v>105 mm IFG HE</x:v>
      </x:c>
      <x:c r="D432" s="32" t="str">
        <x:v>• 105 mm Indian Field Gun HE projectile family; MIL catalogue lists 105 mm IFG HE.</x:v>
      </x:c>
      <x:c r="E432" s="32" t="str">
        <x:v>• Field artillery HE ammunition.</x:v>
      </x:c>
      <x:c r="F432" s="38" t="str">
        <x:v>https://www.scribd.com/document/749295860/MIL-Brochure</x:v>
      </x:c>
    </x:row>
    <x:row r="433" ht="210" customHeight="1">
      <x:c r="A433" s="37" t="str">
        <x:v>Munitions India Ltd (MIL)</x:v>
      </x:c>
      <x:c r="B433" s="32" t="str">
        <x:v>Ammunition</x:v>
      </x:c>
      <x:c r="C433" s="32" t="str">
        <x:v>105 mm IFG Illuminating</x:v>
      </x:c>
      <x:c r="D433" s="32" t="str">
        <x:v>• 105 mm illuminating ammunition for Indian Field Gun family.</x:v>
      </x:c>
      <x:c r="E433" s="32" t="str">
        <x:v>• Night illumination.</x:v>
      </x:c>
      <x:c r="F433" s="38" t="str">
        <x:v>https://www.scribd.com/document/749295860/MIL-Brochure</x:v>
      </x:c>
    </x:row>
    <x:row r="434" ht="210" customHeight="1">
      <x:c r="A434" s="37" t="str">
        <x:v>Munitions India Ltd (MIL)</x:v>
      </x:c>
      <x:c r="B434" s="32" t="str">
        <x:v>Ammunition</x:v>
      </x:c>
      <x:c r="C434" s="32" t="str">
        <x:v>120 mm FSAPDS-T</x:v>
      </x:c>
      <x:c r="D434" s="32" t="str">
        <x:v>• Calibre: 120 mm
• Fin-stabilised armour-piercing discarding-sabot tracer ammunition</x:v>
      </x:c>
      <x:c r="E434" s="32" t="str">
        <x:v>• Kinetic-energy tank ammunition</x:v>
      </x:c>
      <x:c r="F434" s="38" t="str">
        <x:v>https://munitionsindia.in/wp-content/uploads/1.-English-MIL-04th-Annual-Report-2024-25A.pdf</x:v>
      </x:c>
    </x:row>
    <x:row r="435" ht="210" customHeight="1">
      <x:c r="A435" s="37" t="str">
        <x:v>Munitions India Ltd (MIL)</x:v>
      </x:c>
      <x:c r="B435" s="32" t="str">
        <x:v>Ammunition</x:v>
      </x:c>
      <x:c r="C435" s="32" t="str">
        <x:v>120 mm Mortar Bomb Family</x:v>
      </x:c>
      <x:c r="D435" s="32" t="str">
        <x:v>• 120 mm HE, smoke and illuminating mortar bombs listed in MIL catalogue; compatible with qualified 120 mm mortar systems.</x:v>
      </x:c>
      <x:c r="E435" s="32" t="str">
        <x:v>• Indirect-fire support.</x:v>
      </x:c>
      <x:c r="F435" s="38" t="str">
        <x:v>https://www.scribd.com/document/749295860/MIL-Brochure
https://www.scribd.com/document/891439543/munitions-india</x:v>
      </x:c>
    </x:row>
    <x:row r="436" ht="210" customHeight="1">
      <x:c r="A436" s="37" t="str">
        <x:v>Munitions India Ltd (MIL)</x:v>
      </x:c>
      <x:c r="B436" s="32" t="str">
        <x:v>Ammunition</x:v>
      </x:c>
      <x:c r="C436" s="32" t="str">
        <x:v>125 mm FSAPDS-T</x:v>
      </x:c>
      <x:c r="D436" s="32" t="str">
        <x:v>• 125 mm fin-stabilised armour-piercing discarding sabot family; MIL annual-report material reports a development round with stated penetration of 550 mm.
• Calibre: 125 mm
• Fin-stabilised armour-piercing discarding-sabot tracer tank ammunition</x:v>
      </x:c>
      <x:c r="E436" s="32" t="str">
        <x:v>• Tank kinetic-energy ammunition.
• Kinetic-energy anti-armour tank round</x:v>
      </x:c>
      <x:c r="F436" s="38" t="str">
        <x:v>https://www.scribd.com/document/891439543/munitions-india
https://munitionsindia.in/wp-content/uploads/1.-English-MIL-04th-Annual-Report-2024-25A.pdf
https://vendor.munitionsindia.in/general_reports/show/registered_vendors/1080</x:v>
      </x:c>
    </x:row>
    <x:row r="437" ht="210" customHeight="1">
      <x:c r="A437" s="37" t="str">
        <x:v>Munitions India Ltd (MIL)</x:v>
      </x:c>
      <x:c r="B437" s="32" t="str">
        <x:v>Ammunition</x:v>
      </x:c>
      <x:c r="C437" s="32" t="str">
        <x:v>125 mm HE Tank Ammunition</x:v>
      </x:c>
      <x:c r="D437" s="32" t="str">
        <x:v>• 125 mm HE; smoothbore tank ammunition; fin-stabilised; DDP describes use against shelters, vehicles and personnel; automatic-loading tank systems can achieve around 8 rounds/minute at system level.
• Calibre: 125 mm
• Fin-stabilised smoothbore ammunition
• Automatic-loader compatible
• Weapon system effective rate cited by DDP: ~8 rounds/min</x:v>
      </x:c>
      <x:c r="E437" s="32" t="str">
        <x:v>• Tank HE ammunition; anti-personnel/anti-materiel effects.
• Designed against shelters, vehicles and personnel
• Tank-gun ammunition</x:v>
      </x:c>
      <x:c r="F437" s="38" t="str">
        <x:v>https://www.ddpmod.gov.in/hi/node/7169
https://www.scribd.com/document/749295860/MIL-Brochure
https://munitionsindia.in/wp-content/uploads/1.-English-MIL-04th-Annual-Report-2024-25A.pdf</x:v>
      </x:c>
    </x:row>
    <x:row r="438" ht="210" customHeight="1">
      <x:c r="A438" s="37" t="str">
        <x:v>Munitions India Ltd (MIL)</x:v>
      </x:c>
      <x:c r="B438" s="32" t="str">
        <x:v>Ammunition</x:v>
      </x:c>
      <x:c r="C438" s="32" t="str">
        <x:v>125 mm HEAT-T</x:v>
      </x:c>
      <x:c r="D438" s="32" t="str">
        <x:v>• Calibre: 125 mm
• High-explosive anti-tank tracer ammunition</x:v>
      </x:c>
      <x:c r="E438" s="32" t="str">
        <x:v>• Chemical-energy anti-armour tank round</x:v>
      </x:c>
      <x:c r="F438" s="38" t="str">
        <x:v>https://munitionsindia.in/wp-content/uploads/1.-English-MIL-04th-Annual-Report-2024-25A.pdf</x:v>
      </x:c>
    </x:row>
    <x:row r="439" ht="210" customHeight="1">
      <x:c r="A439" s="37" t="str">
        <x:v>Munitions India Ltd (MIL)</x:v>
      </x:c>
      <x:c r="B439" s="32" t="str">
        <x:v>Ammunition</x:v>
      </x:c>
      <x:c r="C439" s="32" t="str">
        <x:v>130 mm HE</x:v>
      </x:c>
      <x:c r="D439" s="32" t="str">
        <x:v>• 130 mm high-explosive artillery ammunition; MIL catalogue identifies 130 mm HE rounds.</x:v>
      </x:c>
      <x:c r="E439" s="32" t="str">
        <x:v>• Artillery HE ammunition for legacy 130 mm systems.</x:v>
      </x:c>
      <x:c r="F439" s="38" t="str">
        <x:v>https://www.scribd.com/document/749295860/MIL-Brochure
https://munitionsindia.in/wp-content/uploads/1.-English-MIL-04th-Annual-Report-2024-25A.pdf</x:v>
      </x:c>
    </x:row>
    <x:row r="440" ht="210" customHeight="1">
      <x:c r="A440" s="37" t="str">
        <x:v>Munitions India Ltd (MIL)</x:v>
      </x:c>
      <x:c r="B440" s="32" t="str">
        <x:v>Ammunition</x:v>
      </x:c>
      <x:c r="C440" s="32" t="str">
        <x:v>155 mm Bi-Modular Charge System M91 / M92</x:v>
      </x:c>
      <x:c r="D440" s="32" t="str">
        <x:v>• 155 mm artillery modular propelling-charge system
• BMCS M91 and M92 modules</x:v>
      </x:c>
      <x:c r="E440" s="32" t="str">
        <x:v>• Supports modern 155 mm artillery charge-zone requirements</x:v>
      </x:c>
      <x:c r="F440" s="38" t="str">
        <x:v>https://www.ddpmod.gov.in/sites/default/files/bf61221eee3553c03edd105e1dd467671bab7375e0629701ab5da8253410cab6/a83ee5c715c65dd2eee569675fa4423f1d74f8be474e06fb950ab406169edee1.pdf</x:v>
      </x:c>
    </x:row>
    <x:row r="441" ht="210" customHeight="1">
      <x:c r="A441" s="37" t="str">
        <x:v>Munitions India Ltd (MIL)</x:v>
      </x:c>
      <x:c r="B441" s="32" t="str">
        <x:v>Ammunition</x:v>
      </x:c>
      <x:c r="C441" s="32" t="str">
        <x:v>155 mm HE ERFB-BB</x:v>
      </x:c>
      <x:c r="D441" s="32" t="str">
        <x:v>• 155 mm ERFB base-bleed projectile; MIL export records identify ERFB-BB shells; range is gun/charge dependent.
• Calibre: 155 mm
• Extended-range full-bore base-bleed projectile
• Designed for extended-range artillery fire</x:v>
      </x:c>
      <x:c r="E441" s="32" t="str">
        <x:v>• Extended-range artillery HE; base-bleed technology.
• Part of MIL complete 155 mm ammunition solution
• Compatible with associated primers, fuzes and modular/legacy propelling charges</x:v>
      </x:c>
      <x:c r="F441" s="38" t="str">
        <x:v>https://www.scribd.com/document/891439543/munitions-india
https://www.scribd.com/document/749295860/MIL-Brochure
https://www.ddpmod.gov.in/sites/default/files/bf61221eee3553c03edd105e1dd467671bab7375e0629701ab5da8253410cab6/a83ee5c715c65dd2eee569675fa4423f1d74f8be474e06fb950ab406169edee1.pdf
https://munitionsindia.in/wp-content/uploads/1.-English-MIL-04th-Annual-Report-2024-25A.pdf</x:v>
      </x:c>
    </x:row>
    <x:row r="442" ht="210" customHeight="1">
      <x:c r="A442" s="37" t="str">
        <x:v>Munitions India Ltd (MIL)</x:v>
      </x:c>
      <x:c r="B442" s="32" t="str">
        <x:v>Ammunition</x:v>
      </x:c>
      <x:c r="C442" s="32" t="str">
        <x:v>155 mm HE ERFB-BT</x:v>
      </x:c>
      <x:c r="D442" s="32" t="str">
        <x:v>• 155 mm Extended Range Full Bore boat-tail projectile; ERFB-BT family; designed for increased range over conventional M107-type ammunition; compatible with 155 mm 39/45/52-calibre guns subject to weapon qualification.
• Calibre: 155 mm
• Extended-range full-bore base-taper projectile
• Compatible with 155 mm artillery systems and MIL charge/fuze ecosystem</x:v>
      </x:c>
      <x:c r="E442" s="32" t="str">
        <x:v>• Extended-range artillery HE; boat-tail projectile.
• Part of MIL complete 155 mm ammunition solution
• Compatible with associated primers, fuzes and modular/legacy propelling charges</x:v>
      </x:c>
      <x:c r="F442" s="38" t="str">
        <x:v>https://munitionsindia.in/wp-content/uploads/1.-English-MIL-04th-Annual-Report-2024-25A.pdf
https://www.scribd.com/document/749295860/MIL-Brochure
https://www.ddpmod.gov.in/sites/default/files/bf61221eee3553c03edd105e1dd467671bab7375e0629701ab5da8253410cab6/a83ee5c715c65dd2eee569675fa4423f1d74f8be474e06fb950ab406169edee1.pdf</x:v>
      </x:c>
    </x:row>
    <x:row r="443" ht="210" customHeight="1">
      <x:c r="A443" s="37" t="str">
        <x:v>Munitions India Ltd (MIL)</x:v>
      </x:c>
      <x:c r="B443" s="32" t="str">
        <x:v>Ammunition</x:v>
      </x:c>
      <x:c r="C443" s="32" t="str">
        <x:v>155 mm HE M107</x:v>
      </x:c>
      <x:c r="D443" s="32" t="str">
        <x:v>• 155 mm high-explosive artillery projectile; M107 family; compatible with 155 mm artillery systems; steel projectile with HE filling; MIL manufactures/markets the round.
• Calibre: 155 mm
• Standard high-explosive artillery projectile family</x:v>
      </x:c>
      <x:c r="E443" s="32" t="str">
        <x:v>• General-purpose artillery HE ammunition.
• Part of MIL complete 155 mm ammunition solution
• Compatible with associated primers, fuzes and modular/legacy propelling charges</x:v>
      </x:c>
      <x:c r="F443" s="38" t="str">
        <x:v>https://munitionsindia.in/wp-content/uploads/1.-English-MIL-04th-Annual-Report-2024-25A.pdf
https://www.scribd.com/document/749295860/MIL-Brochure
https://www.ddpmod.gov.in/sites/default/files/bf61221eee3553c03edd105e1dd467671bab7375e0629701ab5da8253410cab6/a83ee5c715c65dd2eee569675fa4423f1d74f8be474e06fb950ab406169edee1.pdf</x:v>
      </x:c>
    </x:row>
    <x:row r="444" ht="210" customHeight="1">
      <x:c r="A444" s="37" t="str">
        <x:v>Munitions India Ltd (MIL)</x:v>
      </x:c>
      <x:c r="B444" s="32" t="str">
        <x:v>Ammunition</x:v>
      </x:c>
      <x:c r="C444" s="32" t="str">
        <x:v>155 mm HE M77B</x:v>
      </x:c>
      <x:c r="D444" s="32" t="str">
        <x:v>• Calibre: 155 mm
• High-explosive artillery projectile family</x:v>
      </x:c>
      <x:c r="E444" s="32" t="str">
        <x:v>• Part of MIL complete 155 mm ammunition solution
• Compatible with associated primers, fuzes and modular/legacy propelling charges</x:v>
      </x:c>
      <x:c r="F444" s="38" t="str">
        <x:v>https://www.ddpmod.gov.in/sites/default/files/bf61221eee3553c03edd105e1dd467671bab7375e0629701ab5da8253410cab6/a83ee5c715c65dd2eee569675fa4423f1d74f8be474e06fb950ab406169edee1.pdf
https://munitionsindia.in/wp-content/uploads/1.-English-MIL-04th-Annual-Report-2024-25A.pdf</x:v>
      </x:c>
    </x:row>
    <x:row r="445" ht="210" customHeight="1">
      <x:c r="A445" s="37" t="str">
        <x:v>Munitions India Ltd (MIL)</x:v>
      </x:c>
      <x:c r="B445" s="32" t="str">
        <x:v>Ammunition</x:v>
      </x:c>
      <x:c r="C445" s="32" t="str">
        <x:v>155 mm Illuminating ERFB</x:v>
      </x:c>
      <x:c r="D445" s="32" t="str">
        <x:v>• 155 mm illumination artillery projectile; produces battlefield illumination; MIL brochure lists 155 mm illuminating shell.
• Calibre: 155 mm
• Extended-range illuminating artillery projectile</x:v>
      </x:c>
      <x:c r="E445" s="32" t="str">
        <x:v>• Night illumination / battlefield support.
• Part of MIL complete 155 mm ammunition solution
• Compatible with associated primers, fuzes and modular/legacy propelling charges</x:v>
      </x:c>
      <x:c r="F445" s="38" t="str">
        <x:v>https://www.scribd.com/document/749295860/MIL-Brochure
https://www.ddpmod.gov.in/sites/default/files/bf61221eee3553c03edd105e1dd467671bab7375e0629701ab5da8253410cab6/a83ee5c715c65dd2eee569675fa4423f1d74f8be474e06fb950ab406169edee1.pdf
https://munitionsindia.in/wp-content/uploads/1.-English-MIL-04th-Annual-Report-2024-25A.pdf</x:v>
      </x:c>
    </x:row>
    <x:row r="446" ht="210" customHeight="1">
      <x:c r="A446" s="37" t="str">
        <x:v>Munitions India Ltd (MIL)</x:v>
      </x:c>
      <x:c r="B446" s="32" t="str">
        <x:v>Ammunition</x:v>
      </x:c>
      <x:c r="C446" s="32" t="str">
        <x:v>155 mm Screening Smoke ERFB</x:v>
      </x:c>
      <x:c r="D446" s="32" t="str">
        <x:v>• 155 mm smoke/screening projectile; MIL catalogue lists screening smoke ammunition.
• Calibre: 155 mm
• Extended-range smoke/screening projectile</x:v>
      </x:c>
      <x:c r="E446" s="32" t="str">
        <x:v>• Obscuration and battlefield screening.
• Part of MIL complete 155 mm ammunition solution
• Compatible with associated primers, fuzes and modular/legacy propelling charges</x:v>
      </x:c>
      <x:c r="F446" s="38" t="str">
        <x:v>https://www.scribd.com/document/749295860/MIL-Brochure
https://www.ddpmod.gov.in/sites/default/files/bf61221eee3553c03edd105e1dd467671bab7375e0629701ab5da8253410cab6/a83ee5c715c65dd2eee569675fa4423f1d74f8be474e06fb950ab406169edee1.pdf
https://munitionsindia.in/wp-content/uploads/1.-English-MIL-04th-Annual-Report-2024-25A.pdf</x:v>
      </x:c>
    </x:row>
    <x:row r="447" ht="210" customHeight="1">
      <x:c r="A447" s="37" t="str">
        <x:v>Munitions India Ltd (MIL)</x:v>
      </x:c>
      <x:c r="B447" s="32" t="str">
        <x:v>Ammunition</x:v>
      </x:c>
      <x:c r="C447" s="32" t="str">
        <x:v>5.56×45 mm</x:v>
      </x:c>
      <x:c r="D447" s="32" t="str">
        <x:v>• 5.56×45 mm small-arms cartridge family; MIL catalogue lists ball/tracer-related small-arms products; configurations include NATO/Indian rifle applications.</x:v>
      </x:c>
      <x:c r="E447" s="32" t="str">
        <x:v>• Infantry rifle ammunition.</x:v>
      </x:c>
      <x:c r="F447" s="38" t="str">
        <x:v>https://www.scribd.com/document/749295860/MIL-Brochure
https://munitionsindia.in/wp-content/uploads/1.-English-MIL-04th-Annual-Report-2024-25A.pdf</x:v>
      </x:c>
    </x:row>
    <x:row r="448" ht="210" customHeight="1">
      <x:c r="A448" s="37" t="str">
        <x:v>Munitions India Ltd (MIL)</x:v>
      </x:c>
      <x:c r="B448" s="32" t="str">
        <x:v>Ammunition</x:v>
      </x:c>
      <x:c r="C448" s="32" t="str">
        <x:v>500 kg General Purpose Bomb</x:v>
      </x:c>
      <x:c r="D448" s="32" t="str">
        <x:v>• 500 kg GP bomb; MIL annual report identifies 500 kg GP bomb among successfully developed products.</x:v>
      </x:c>
      <x:c r="E448" s="32" t="str">
        <x:v>• Air-to-ground general-purpose bomb.</x:v>
      </x:c>
      <x:c r="F448" s="38" t="str">
        <x:v>https://www.scribd.com/document/891439543/munitions-india</x:v>
      </x:c>
    </x:row>
    <x:row r="449" ht="210" customHeight="1">
      <x:c r="A449" s="37" t="str">
        <x:v>Munitions India Ltd (MIL)</x:v>
      </x:c>
      <x:c r="B449" s="32" t="str">
        <x:v>Ammunition</x:v>
      </x:c>
      <x:c r="C449" s="32" t="str">
        <x:v>68 mm Air-to-Ground Rocket Family</x:v>
      </x:c>
      <x:c r="D449" s="32" t="str">
        <x:v>• 68 mm air-to-ground rocket family including HE, HC and practice variants.</x:v>
      </x:c>
      <x:c r="E449" s="32" t="str">
        <x:v>• Helicopter/aircraft rocket ammunition.</x:v>
      </x:c>
      <x:c r="F449" s="38" t="str">
        <x:v>https://www.scribd.com/document/749295860/MIL-Brochure</x:v>
      </x:c>
    </x:row>
    <x:row r="450" ht="210" customHeight="1">
      <x:c r="A450" s="37" t="str">
        <x:v>Munitions India Ltd (MIL)</x:v>
      </x:c>
      <x:c r="B450" s="32" t="str">
        <x:v>Ammunition</x:v>
      </x:c>
      <x:c r="C450" s="32" t="str">
        <x:v>7.62×39 mm</x:v>
      </x:c>
      <x:c r="D450" s="32" t="str">
        <x:v>• 7.62×39 mm cartridge; MIL reports higher-muzzle-velocity variant suitable for AK-203 and export orders.</x:v>
      </x:c>
      <x:c r="E450" s="32" t="str">
        <x:v>• Assault-rifle ammunition; AK-family compatibility.</x:v>
      </x:c>
      <x:c r="F450" s="38" t="str">
        <x:v>https://www.scribd.com/document/891439543/munitions-india
https://www.scribd.com/document/749295860/MIL-Brochure</x:v>
      </x:c>
    </x:row>
    <x:row r="451" ht="210" customHeight="1">
      <x:c r="A451" s="37" t="str">
        <x:v>Munitions India Ltd (MIL)</x:v>
      </x:c>
      <x:c r="B451" s="32" t="str">
        <x:v>Ammunition</x:v>
      </x:c>
      <x:c r="C451" s="32" t="str">
        <x:v>7.62×51 mm</x:v>
      </x:c>
      <x:c r="D451" s="32" t="str">
        <x:v>• 7.62×51 mm rifle/LMG cartridge family.</x:v>
      </x:c>
      <x:c r="E451" s="32" t="str">
        <x:v>• Battle-rifle/LMG ammunition.</x:v>
      </x:c>
      <x:c r="F451" s="38" t="str">
        <x:v>https://www.scribd.com/document/749295860/MIL-Brochure</x:v>
      </x:c>
    </x:row>
    <x:row r="452" ht="210" customHeight="1">
      <x:c r="A452" s="37" t="str">
        <x:v>Munitions India Ltd (MIL)</x:v>
      </x:c>
      <x:c r="B452" s="32" t="str">
        <x:v>Ammunition</x:v>
      </x:c>
      <x:c r="C452" s="32" t="str">
        <x:v>7.62×54R PKT</x:v>
      </x:c>
      <x:c r="D452" s="32" t="str">
        <x:v>• 7.62×54R machine-gun ammunition; MIL annual report identifies PKT ammunition as a developed product.</x:v>
      </x:c>
      <x:c r="E452" s="32" t="str">
        <x:v>• Machine-gun ammunition.</x:v>
      </x:c>
      <x:c r="F452" s="38" t="str">
        <x:v>https://www.scribd.com/document/891439543/munitions-india</x:v>
      </x:c>
    </x:row>
    <x:row r="453" ht="210" customHeight="1">
      <x:c r="A453" s="37" t="str">
        <x:v>Munitions India Ltd (MIL)</x:v>
      </x:c>
      <x:c r="B453" s="32" t="str">
        <x:v>Ammunition</x:v>
      </x:c>
      <x:c r="C453" s="32" t="str">
        <x:v>76/62 SRGM Ammunition</x:v>
      </x:c>
      <x:c r="D453" s="32" t="str">
        <x:v>• 76/62 mm Super Rapid Gun Mount ammunition family; catalogue identifies HE and other naval ammunition configurations.</x:v>
      </x:c>
      <x:c r="E453" s="32" t="str">
        <x:v>• Naval gun ammunition.</x:v>
      </x:c>
      <x:c r="F453" s="38" t="str">
        <x:v>https://www.scribd.com/document/749295860/MIL-Brochure</x:v>
      </x:c>
    </x:row>
    <x:row r="454" ht="210" customHeight="1">
      <x:c r="A454" s="37" t="str">
        <x:v>Munitions India Ltd (MIL)</x:v>
      </x:c>
      <x:c r="B454" s="32" t="str">
        <x:v>Ammunition</x:v>
      </x:c>
      <x:c r="C454" s="32" t="str">
        <x:v>81 mm Mortar Bomb Family</x:v>
      </x:c>
      <x:c r="D454" s="32" t="str">
        <x:v>• 81 mm mortar ammunition including HE, smoke and illuminating variants; MIL catalogue lists these variants.
• Calibre: 81 mm
• MIL portfolio includes HE and specialised mortar bombs</x:v>
      </x:c>
      <x:c r="E454" s="32" t="str">
        <x:v>• Indirect-fire infantry support.
• Mortar ammunition for infantry-support weapons</x:v>
      </x:c>
      <x:c r="F454" s="38" t="str">
        <x:v>https://www.scribd.com/document/749295860/MIL-Brochure
https://munitionsindia.in/wp-content/uploads/1.-English-MIL-04th-Annual-Report-2024-25A.pdf</x:v>
      </x:c>
    </x:row>
    <x:row r="455" ht="210" customHeight="1">
      <x:c r="A455" s="37" t="str">
        <x:v>Munitions India Ltd (MIL)</x:v>
      </x:c>
      <x:c r="B455" s="32" t="str">
        <x:v>Ammunition</x:v>
      </x:c>
      <x:c r="C455" s="32" t="str">
        <x:v>84 mm Carl-Gustaf Ammunition Family</x:v>
      </x:c>
      <x:c r="D455" s="32" t="str">
        <x:v>• 84 mm family including HE, smoke, illumination, HEAT 651, HE 441B, HEDP 502 and HESH/T variants; MIL catalogue identifies multiple 84 mm rounds.
• Calibre: 84 mm
• HEAT tracer recoilless-rifle ammunition
• Published portfolio includes HE, smoke and illuminating rounds</x:v>
      </x:c>
      <x:c r="E455" s="32" t="str">
        <x:v>• Recoilless rifle ammunition for Carl-Gustaf-class systems.
• Anti-armour ammunition family for 84 mm weapon systems
• Multi-purpose 84 mm ammunition family</x:v>
      </x:c>
      <x:c r="F455" s="38" t="str">
        <x:v>https://www.scribd.com/document/749295860/MIL-Brochure
https://munitionsindia.in/wp-content/uploads/1.-English-MIL-04th-Annual-Report-2024-25A.pdf</x:v>
      </x:c>
    </x:row>
    <x:row r="456" ht="210" customHeight="1">
      <x:c r="A456" s="37" t="str">
        <x:v>Munitions India Ltd (MIL)</x:v>
      </x:c>
      <x:c r="B456" s="32" t="str">
        <x:v>Ammunition</x:v>
      </x:c>
      <x:c r="C456" s="32" t="str">
        <x:v>9×19 mm</x:v>
      </x:c>
      <x:c r="D456" s="32" t="str">
        <x:v>• 9×19 mm pistol/SMG cartridge family; MIL catalogue and annual report identify 9 mm products including subsonic ammunition.</x:v>
      </x:c>
      <x:c r="E456" s="32" t="str">
        <x:v>• Sidearm/SMG ammunition.</x:v>
      </x:c>
      <x:c r="F456" s="38" t="str">
        <x:v>https://www.scribd.com/document/749295860/MIL-Brochure
https://www.scribd.com/document/891439543/munitions-india</x:v>
      </x:c>
    </x:row>
    <x:row r="457" ht="210" customHeight="1">
      <x:c r="A457" s="37" t="str">
        <x:v>Munitions India Ltd (MIL)</x:v>
      </x:c>
      <x:c r="B457" s="32" t="str">
        <x:v>Ammunition</x:v>
      </x:c>
      <x:c r="C457" s="32" t="str">
        <x:v>Air Bombs / PGB-500 Stores</x:v>
      </x:c>
      <x:c r="D457" s="32" t="str">
        <x:v>• Aerial-bomb product family includes conventional and precision-guided bomb-related stores; vendor records reference PGB-500 packaging</x:v>
      </x:c>
      <x:c r="E457" s="32" t="str">
        <x:v>• Air-delivered munitions and explosive stores</x:v>
      </x:c>
      <x:c r="F457" s="38" t="str">
        <x:v>https://www.ddpmod.gov.in/sites/default/files/bf61221eee3553c03edd105e1dd467671bab7375e0629701ab5da8253410cab6/a83ee5c715c65dd2eee569675fa4423f1d74f8be474e06fb950ab406169edee1.pdf
https://vendor.munitionsindia.in/general_reports/show/registered_vendors/1080</x:v>
      </x:c>
    </x:row>
    <x:row r="458" ht="210" customHeight="1">
      <x:c r="A458" s="37" t="str">
        <x:v>Munitions India Ltd (MIL)</x:v>
      </x:c>
      <x:c r="B458" s="32" t="str">
        <x:v>Ammunition</x:v>
      </x:c>
      <x:c r="C458" s="32" t="str">
        <x:v>MIL-17 30 mm Grenade</x:v>
      </x:c>
      <x:c r="D458" s="32" t="str">
        <x:v>• 30 mm low-velocity grenade family; MIL-17 is identified as equivalent to VOG-17M.</x:v>
      </x:c>
      <x:c r="E458" s="32" t="str">
        <x:v>• Automatic grenade-launcher ammunition.</x:v>
      </x:c>
      <x:c r="F458" s="38" t="str">
        <x:v>https://www.scribd.com/document/891439543/munitions-india
https://www.scribd.com/document/749295860/MIL-Brochure</x:v>
      </x:c>
    </x:row>
    <x:row r="459" ht="210" customHeight="1">
      <x:c r="A459" s="37" t="str">
        <x:v>Munitions India Ltd (MIL)</x:v>
      </x:c>
      <x:c r="B459" s="32" t="str">
        <x:v>Ammunition</x:v>
      </x:c>
      <x:c r="C459" s="32" t="str">
        <x:v>MIL-25 40 mm Grenade</x:v>
      </x:c>
      <x:c r="D459" s="32" t="str">
        <x:v>• 40 mm grenade family; MIL-25 identified as equivalent to VOG-25.</x:v>
      </x:c>
      <x:c r="E459" s="32" t="str">
        <x:v>• Under-barrel/automatic grenade launcher ammunition.</x:v>
      </x:c>
      <x:c r="F459" s="38" t="str">
        <x:v>https://www.scribd.com/document/891439543/munitions-india</x:v>
      </x:c>
    </x:row>
    <x:row r="460" ht="210" customHeight="1">
      <x:c r="A460" s="37" t="str">
        <x:v>Munitions India Ltd (MIL)</x:v>
      </x:c>
      <x:c r="B460" s="32" t="str">
        <x:v>Ammunition</x:v>
      </x:c>
      <x:c r="C460" s="32" t="str">
        <x:v>Mines Family</x:v>
      </x:c>
      <x:c r="D460" s="32" t="str">
        <x:v>• Military mine family; exact model-level public specifications not consistently disclosed in current accessible MIL material</x:v>
      </x:c>
      <x:c r="E460" s="32" t="str">
        <x:v>• Land-warfare explosive mine products within MIL ammunition portfolio</x:v>
      </x:c>
      <x:c r="F460" s="38" t="str">
        <x:v>https://www.ddpmod.gov.in/sites/default/files/bf61221eee3553c03edd105e1dd467671bab7375e0629701ab5da8253410cab6/a83ee5c715c65dd2eee569675fa4423f1d74f8be474e06fb950ab406169edee1.pdf
https://munitionsindia.in/wp-content/uploads/1.-English-MIL-04th-Annual-Report-2024-25A.pdf</x:v>
      </x:c>
    </x:row>
    <x:row r="461" ht="210" customHeight="1">
      <x:c r="A461" s="37" t="str">
        <x:v>Munitions India Ltd (MIL)</x:v>
      </x:c>
      <x:c r="B461" s="32" t="str">
        <x:v>Ammunition</x:v>
      </x:c>
      <x:c r="C461" s="32" t="str">
        <x:v>Multi-Mode Hand Grenade</x:v>
      </x:c>
      <x:c r="D461" s="32" t="str">
        <x:v>• Multi-mode hand grenade; MIL annual report identifies it as a successfully developed product.</x:v>
      </x:c>
      <x:c r="E461" s="32" t="str">
        <x:v>• Configurable fragmentation/hand-grenade role.</x:v>
      </x:c>
      <x:c r="F461" s="38" t="str">
        <x:v>https://www.scribd.com/document/891439543/munitions-india</x:v>
      </x:c>
    </x:row>
    <x:row r="462" ht="210" customHeight="1">
      <x:c r="A462" s="37" t="str">
        <x:v>Munitions India Ltd (MIL)</x:v>
      </x:c>
      <x:c r="B462" s="32" t="str">
        <x:v>Ammunition</x:v>
      </x:c>
      <x:c r="C462" s="32" t="str">
        <x:v>Pinaka Enhanced</x:v>
      </x:c>
      <x:c r="D462" s="32" t="str">
        <x:v>• Enhanced-range Pinaka rocket variant; MIL export records identify the Enhanced variant.</x:v>
      </x:c>
      <x:c r="E462" s="32" t="str">
        <x:v>• Longer-range MLRS ammunition.</x:v>
      </x:c>
      <x:c r="F462" s="38" t="str">
        <x:v>https://www.scribd.com/document/891439543/munitions-india</x:v>
      </x:c>
    </x:row>
    <x:row r="463" ht="210" customHeight="1">
      <x:c r="A463" s="37" t="str">
        <x:v>Munitions India Ltd (MIL)</x:v>
      </x:c>
      <x:c r="B463" s="32" t="str">
        <x:v>Ammunition</x:v>
      </x:c>
      <x:c r="C463" s="32" t="str">
        <x:v>Pinaka Guided</x:v>
      </x:c>
      <x:c r="D463" s="32" t="str">
        <x:v>• Guided Pinaka rocket variant; MIL identifies guided Pinaka among developed/export products.</x:v>
      </x:c>
      <x:c r="E463" s="32" t="str">
        <x:v>• Precision-guided MLRS ammunition.</x:v>
      </x:c>
      <x:c r="F463" s="38" t="str">
        <x:v>https://www.scribd.com/document/891439543/munitions-india</x:v>
      </x:c>
    </x:row>
    <x:row r="464" ht="210" customHeight="1">
      <x:c r="A464" s="37" t="str">
        <x:v>Munitions India Ltd (MIL)</x:v>
      </x:c>
      <x:c r="B464" s="32" t="str">
        <x:v>Ammunition</x:v>
      </x:c>
      <x:c r="C464" s="32" t="str">
        <x:v>Pinaka Mk-I Rocket</x:v>
      </x:c>
      <x:c r="D464" s="32" t="str">
        <x:v>• 214 mm-class Pinaka rocket family; MIL annual-report material identifies Pinaka Mk-I, Enhanced and Guided export orders; range varies by variant/system.</x:v>
      </x:c>
      <x:c r="E464" s="32" t="str">
        <x:v>• MLRS ammunition; area fire / extended-range variants.</x:v>
      </x:c>
      <x:c r="F464" s="38" t="str">
        <x:v>https://www.scribd.com/document/891439543/munitions-india
https://munitionsindia.in/wp-content/uploads/1.-English-MIL-04th-Annual-Report-2024-25A.pdf</x:v>
      </x:c>
    </x:row>
    <x:row r="465" ht="210" customHeight="1">
      <x:c r="A465" s="37" t="str">
        <x:v>Bharat Dynamics Ltd (BDL)</x:v>
      </x:c>
      <x:c r="B465" s="32" t="str">
        <x:v>Ammunition</x:v>
      </x:c>
      <x:c r="C465" s="32" t="str">
        <x:v>Multi-Influence Ground Mine (MIGM)</x:v>
      </x:c>
      <x:c r="D465" s="32" t="str">
        <x:v>• Multi-influence naval/ground mine product identified in BDL portfolio; detailed current specifications are not consistently public.</x:v>
      </x:c>
      <x:c r="E465" s="32" t="str">
        <x:v>• Influence-based mine capability.</x:v>
      </x:c>
      <x:c r="F465" s="38" t="str">
        <x:v>https://bdl-india.in/products
https://bdl-india.in/annual-reports</x:v>
      </x:c>
    </x:row>
    <x:row r="466" ht="210" customHeight="1">
      <x:c r="A466" s="37" t="str">
        <x:v>Bharat Dynamics Ltd (BDL)</x:v>
      </x:c>
      <x:c r="B466" s="32" t="str">
        <x:v>Marine/Naval</x:v>
      </x:c>
      <x:c r="C466" s="32" t="str">
        <x:v>C-303 / C-303S Anti-Torpedo Decoy Launching System</x:v>
      </x:c>
      <x:c r="D466" s="32" t="str">
        <x:v>• Shipborne anti-torpedo decoy launcher family; BDL product portfolio identifies C-303 and C-303S.</x:v>
      </x:c>
      <x:c r="E466" s="32" t="str">
        <x:v>• Anti-torpedo countermeasure deployment.</x:v>
      </x:c>
      <x:c r="F466" s="38" t="str">
        <x:v>https://bdl-india.in/products
https://bdl-india.in/annual-reports</x:v>
      </x:c>
    </x:row>
    <x:row r="467" ht="210" customHeight="1">
      <x:c r="A467" s="37" t="str">
        <x:v>Bharat Dynamics Ltd (BDL)</x:v>
      </x:c>
      <x:c r="B467" s="32" t="str">
        <x:v>Marine/Naval</x:v>
      </x:c>
      <x:c r="C467" s="32" t="str">
        <x:v>TAL / Advanced Light Weight Torpedo</x:v>
      </x:c>
      <x:c r="D467" s="32" t="str">
        <x:v>• Lightweight anti-submarine torpedo family; current BDL portfolio identifies TAL; detailed dimensions/range/speed are not consistently exposed on current product page.
• Length: ~2,752 mm
• Diameter: 324 mm
• Weight: 220 kg warshot / 197.5 kg exercise
• Explosive: ~40–44 kg
• Maximum speed: 33 kt
• Endurance: ≥6 min
• Operating depth: 10–450 m
• Range: ≥6 km
• Propulsion: electric</x:v>
      </x:c>
      <x:c r="E467" s="32" t="str">
        <x:v>• Lightweight ASW weapon for naval platforms.
• Ship/helicopter/fixed-wing launch
• Active/passive homing
• Anti-submarine torpedo</x:v>
      </x:c>
      <x:c r="F467" s="38" t="str">
        <x:v>https://bdl-india.in/products
https://bdl-india.in/annual-reports
https://bdl-india.in/tal
https://www.bdl-india.in/sites/default/files/Detailsofbusiness.pdf</x:v>
      </x:c>
    </x:row>
    <x:row r="468" ht="210" customHeight="1">
      <x:c r="A468" s="37" t="str">
        <x:v>Bharat Dynamics Ltd (BDL)</x:v>
      </x:c>
      <x:c r="B468" s="32" t="str">
        <x:v>Marine/Naval</x:v>
      </x:c>
      <x:c r="C468" s="32" t="str">
        <x:v>Varunastra Heavy Weight Torpedo</x:v>
      </x:c>
      <x:c r="D468" s="32" t="str">
        <x:v>• Length 7.780 m; diameter 533.4 mm; speed 27 and 40 knots; operating depth 8–600 m; exercise weight 1,605±10 kg; combat weight 1,850±10 kg; contrarotating propellers; acoustic homing.
• Length: 7.780 m
• Diameter: 533.4 mm
• Combat weight: 1,850 ±10 kg
• Exercise weight: 1,605 ±10 kg
• Speed: 27 / 40 kt
• Operating depth: 8–600 m
• Propulsion: contra-rotating propellers</x:v>
      </x:c>
      <x:c r="E468" s="32" t="str">
        <x:v>• Ship-launched heavyweight ASW torpedo; wide-look-angle acoustic homing; ACCM; multiple-signal tracking; autonomous guidance; low-drift navigation.
• Acoustic homing
• Advanced autonomous guidance
• Counter-countermeasure features</x:v>
      </x:c>
      <x:c r="F468" s="38" t="str">
        <x:v>https://bdl-india.in/varunastra</x:v>
      </x:c>
    </x:row>
    <x:row r="469" ht="210" customHeight="1">
      <x:c r="A469" s="37" t="str">
        <x:v>Bharat Dynamics Ltd (BDL)</x:v>
      </x:c>
      <x:c r="B469" s="32" t="str">
        <x:v>Missiles</x:v>
      </x:c>
      <x:c r="C469" s="32" t="str">
        <x:v>Akash Weapon System</x:v>
      </x:c>
      <x:c r="D469" s="32" t="str">
        <x:v>• Range 4.5–25 km; altitude 100 m–20 km; length 5,870 mm; diameter 350 mm; weight 710 kg; command guidance; targets include helicopters, fighters and UAVs.
• Range: 4.5–25 km
• Altitude: 100 m–20 km
• Length: 5,870 mm
• Diameter: 350 mm
• Weight: 710 kg
• Guidance: command guidance
• Targets: helicopters, fighters, UAVs</x:v>
      </x:c>
      <x:c r="E469" s="32" t="str">
        <x:v>• Mobile short-range SAM; simultaneous multiple-target engagement; ECCM; automatic operation; road/rail transportability; IFF.
• Short-range SAM
• Multiple-target engagement
• ECCM
• Mobile road/rail-deployable architecture</x:v>
      </x:c>
      <x:c r="F469" s="38" t="str">
        <x:v>https://www.ddpmod.gov.in/en/resources/products/akash-weapon-system
https://bdl-india.in/akash</x:v>
      </x:c>
    </x:row>
    <x:row r="470" ht="210" customHeight="1">
      <x:c r="A470" s="37" t="str">
        <x:v>Bharat Dynamics Ltd (BDL)</x:v>
      </x:c>
      <x:c r="B470" s="32" t="str">
        <x:v>Missiles</x:v>
      </x:c>
      <x:c r="C470" s="32" t="str">
        <x:v>Amogha-III ATGM</x:v>
      </x:c>
      <x:c r="D470" s="32" t="str">
        <x:v>• Third-generation ATGM family; BDL current product portfolio identifies Amogha-III.
• Man-portable / tripod-launched anti-tank guided missile
• Fire-and-forget seeker architecture in current BDL product family
• Public exact mass/range values not fully exposed in accessible BDL page during this pass</x:v>
      </x:c>
      <x:c r="E470" s="32" t="str">
        <x:v>• Fire-and-forget anti-armour; indigenous ATGM programme.
• Indigenous BDL anti-tank missile family</x:v>
      </x:c>
      <x:c r="F470" s="38" t="str">
        <x:v>https://bdl-india.in/products
https://bdl-india.in/annual-reports
https://bdl-india.in/amogha-iii</x:v>
      </x:c>
    </x:row>
    <x:row r="471" ht="210" customHeight="1">
      <x:c r="A471" s="37" t="str">
        <x:v>Bharat Dynamics Ltd (BDL)</x:v>
      </x:c>
      <x:c r="B471" s="32" t="str">
        <x:v>Missiles</x:v>
      </x:c>
      <x:c r="C471" s="32" t="str">
        <x:v>Astra Mk-I Weapon System</x:v>
      </x:c>
      <x:c r="D471" s="32" t="str">
        <x:v>• Range 80–110 km; altitude up to 20 km; length 3,840 mm; diameter 178 mm; flight duration 100–120 s; HE pre-fragmented warhead; Mach 4.5 max speed; solid rocket motor; radar proximity fuze; inertial + mid-course update + terminal active radar homing; Su-30MKI launch platform.
• Range: 80–110 km
• Altitude: up to 20 km
• Length: 3,840 mm
• Diameter: 178 mm
• Flight duration: 100–120 sec
• Maximum speed: Mach 4.5
• Warhead: HE pre-fragmented
• Propulsion: solid rocket motor
• Guidance: inertial + mid-course update + terminal active radar homing
• Launch platform: Su-30MKI</x:v>
      </x:c>
      <x:c r="E471" s="32" t="str">
        <x:v>• BVR air-to-air missile; networked mid-course update; active radar terminal guidance.
• Beyond-visual-range air-to-air missile
• Radar-proximity fuze</x:v>
      </x:c>
      <x:c r="F471" s="38" t="str">
        <x:v>https://www.ddpmod.gov.in/en/resources/products/astra-weapon-system
https://bdl-india.in/astra</x:v>
      </x:c>
    </x:row>
    <x:row r="472" ht="210" customHeight="1">
      <x:c r="A472" s="37" t="str">
        <x:v>Bharat Dynamics Ltd (BDL)</x:v>
      </x:c>
      <x:c r="B472" s="32" t="str">
        <x:v>Missiles</x:v>
      </x:c>
      <x:c r="C472" s="32" t="str">
        <x:v>Helina / Dhruvastra</x:v>
      </x:c>
      <x:c r="D472" s="32" t="str">
        <x:v>• Air-launched anti-tank guided missile family; helicopter-launched; imaging infrared seeker; DHRUVASTRA is Indian Army-oriented variant.
• Helicopter-launched anti-tank guided missile
• Fire-and-forget imaging-infrared seeker
• Tandem-HEAT warhead
• Public DRDO range class: ~7 km</x:v>
      </x:c>
      <x:c r="E472" s="32" t="str">
        <x:v>• Fire-and-forget anti-armour; helicopter integration; day/night operation.
• Top-attack / direct-attack anti-armour missile
• Helicopter integration</x:v>
      </x:c>
      <x:c r="F472" s="38" t="str">
        <x:v>https://bdl-india.in/products
https://bdl-india.in/annual-reports
https://www.drdo.gov.in/
https://bdl-india.in/helina
https://drdo.gov.in/drdo/en/offerings/products/helina</x:v>
      </x:c>
    </x:row>
    <x:row r="473" ht="210" customHeight="1">
      <x:c r="A473" s="37" t="str">
        <x:v>Bharat Dynamics Ltd (BDL)</x:v>
      </x:c>
      <x:c r="B473" s="32" t="str">
        <x:v>Missiles</x:v>
      </x:c>
      <x:c r="C473" s="32" t="str">
        <x:v>INVAR (3UBK20) ATGM</x:v>
      </x:c>
      <x:c r="D473" s="32" t="str">
        <x:v>• Gun-launched anti-tank guided missile for 125 mm tank guns; BDL identifies INVAR 3UBK20.
• Tank-gun-launched guided missile for 125 mm smoothbore guns
• Laser beam-riding guidance
• Tandem HEAT warhead
• Public engagement range class: up to ~5 km</x:v>
      </x:c>
      <x:c r="E473" s="32" t="str">
        <x:v>• Tank-launched guided anti-armour munition.
• Launched through tank main gun
• Anti-armour precision weapon</x:v>
      </x:c>
      <x:c r="F473" s="38" t="str">
        <x:v>https://bdl-india.in/products
https://bdl-india.in/annual-reports
https://bdl-india.in/invar</x:v>
      </x:c>
    </x:row>
    <x:row r="474" ht="210" customHeight="1">
      <x:c r="A474" s="37" t="str">
        <x:v>Bharat Dynamics Ltd (BDL)</x:v>
      </x:c>
      <x:c r="B474" s="32" t="str">
        <x:v>Missiles</x:v>
      </x:c>
      <x:c r="C474" s="32" t="str">
        <x:v>Konkurs-M ATGM</x:v>
      </x:c>
      <x:c r="D474" s="32" t="str">
        <x:v>• Second-generation wire-guided ATGM family; BDL product portfolio identifies Konkurs-M.
• Semi-automatic command-to-line-of-sight (SACLOS) ATGM
• Wire-guided
• Tandem-HEAT warhead on Konkurs-M
• Public range class: ~75 m to 4 km</x:v>
      </x:c>
      <x:c r="E474" s="32" t="str">
        <x:v>• Anti-armour; wire-guided; vehicle/launcher employment.
• Tripod/vehicle-launched anti-armour system</x:v>
      </x:c>
      <x:c r="F474" s="38" t="str">
        <x:v>https://bdl-india.in/products
https://bdl-india.in/annual-reports
https://bdl-india.in/konkurs-m</x:v>
      </x:c>
    </x:row>
    <x:row r="475" ht="210" customHeight="1">
      <x:c r="A475" s="37" t="str">
        <x:v>Bharat Dynamics Ltd (BDL)</x:v>
      </x:c>
      <x:c r="B475" s="32" t="str">
        <x:v>Missiles</x:v>
      </x:c>
      <x:c r="C475" s="32" t="str">
        <x:v>Man Portable ATGM (MPATGM)</x:v>
      </x:c>
      <x:c r="D475" s="32" t="str">
        <x:v>• Man-portable anti-tank guided missile; imaging infrared seeker; tripod/man-portable launcher architecture.
• Fire-and-forget IIR seeker
• Tandem HEAT warhead
• Public DRDO range class: ~2.5 km</x:v>
      </x:c>
      <x:c r="E475" s="32" t="str">
        <x:v>• Fire-and-forget; man-portable anti-armour capability.
• Infantry anti-armour weapon
• Top-attack capability</x:v>
      </x:c>
      <x:c r="F475" s="38" t="str">
        <x:v>https://bdl-india.in/products
https://www.drdo.gov.in/
https://bdl-india.in/man-portable-atgm
https://drdo.gov.in/drdo/en/offerings/products/man-portable-antitank-guided-missile-mpatgm</x:v>
      </x:c>
    </x:row>
    <x:row r="476" ht="210" customHeight="1">
      <x:c r="A476" s="37" t="str">
        <x:v>Bharat Dynamics Ltd (BDL)</x:v>
      </x:c>
      <x:c r="B476" s="32" t="str">
        <x:v>Missiles</x:v>
      </x:c>
      <x:c r="C476" s="32" t="str">
        <x:v>Milan-2T ATGM</x:v>
      </x:c>
      <x:c r="D476" s="32" t="str">
        <x:v>• Wire-guided anti-tank missile; tandem-warhead 2T family; BDL manufactures/supplies.
• SACLOS wire-guided ATGM
• Tandem HEAT warhead
• Public effective range: ~75 m to 2 km</x:v>
      </x:c>
      <x:c r="E476" s="32" t="str">
        <x:v>• Anti-armour; tandem-warhead; launcher/vehicle employment.
• Man-portable anti-tank guided weapon
• Tripod launch</x:v>
      </x:c>
      <x:c r="F476" s="38" t="str">
        <x:v>https://bdl-india.in/products
https://bdl-india.in/annual-reports
https://bdl-india.in/milan-2t</x:v>
      </x:c>
    </x:row>
    <x:row r="477" ht="210" customHeight="1">
      <x:c r="A477" s="37" t="str">
        <x:v>Bharat Dynamics Ltd (BDL)</x:v>
      </x:c>
      <x:c r="B477" s="32" t="str">
        <x:v>Missiles</x:v>
      </x:c>
      <x:c r="C477" s="32" t="str">
        <x:v>MRSAM</x:v>
      </x:c>
      <x:c r="D477" s="32" t="str">
        <x:v>• Medium-range surface-to-air missile system; BDL product portfolio identifies MRSAM; current public BDL page does not provide a complete single missile datasheet.
• Range: 70 km
• Length: 4,500 mm
• Diameter: 225 mm
• Weight: 275 kg
• Flight time: 230 sec
• Guidance: command + active radar seeker
• Propulsion: dual-pulse solid motor
• Warhead: pre-fragmented
• Launcher: ship / vehicle vertical launch</x:v>
      </x:c>
      <x:c r="E477" s="32" t="str">
        <x:v>• Mobile/naval air-defence; networked radar/launcher architecture; multi-target engagement.
• Quick-reaction supersonic SAM
• Army/Navy/Air Force variants
• TVC + aerodynamic control</x:v>
      </x:c>
      <x:c r="F477" s="38" t="str">
        <x:v>https://bdl-india.in/products
https://bdl-india.in/annual-reports
https://bdl-india.in/MRSAM1</x:v>
      </x:c>
    </x:row>
    <x:row r="478" ht="210" customHeight="1">
      <x:c r="A478" s="37" t="str">
        <x:v>Bharat Dynamics Ltd (BDL)</x:v>
      </x:c>
      <x:c r="B478" s="32" t="str">
        <x:v>Missiles</x:v>
      </x:c>
      <x:c r="C478" s="32" t="str">
        <x:v>NAG ATGM</x:v>
      </x:c>
      <x:c r="D478" s="32" t="str">
        <x:v>• Third-generation fire-and-forget anti-tank guided missile; imaging/infrared seeker family; vehicle-based NAMICA and other launch configurations.
• Imaging-infrared seeker
• Tandem HEAT warhead
• Carrier-launched anti-armour system</x:v>
      </x:c>
      <x:c r="E478" s="32" t="str">
        <x:v>• Top-attack/direct-attack anti-armour; fire-and-forget; day/night operation.
• Top-attack/direct attack
• Lock-on-before-launch</x:v>
      </x:c>
      <x:c r="F478" s="38" t="str">
        <x:v>https://bdl-india.in/products
https://bdl-india.in/annual-reports
https://www.janes.com/
https://bdl-india.in/nag</x:v>
      </x:c>
    </x:row>
    <x:row r="479" ht="210" customHeight="1">
      <x:c r="A479" s="37" t="str">
        <x:v>Bharat Dynamics Ltd (BDL)</x:v>
      </x:c>
      <x:c r="B479" s="32" t="str">
        <x:v>Missiles</x:v>
      </x:c>
      <x:c r="C479" s="32" t="str">
        <x:v>QRSAM</x:v>
      </x:c>
      <x:c r="D479" s="32" t="str">
        <x:v>• Quick Reaction Surface-to-Air Missile system; BDL current portfolio identifies QRSAM; detailed missile-level current dimensions are not consistently public.
• Range: 5–30 km
• Engagement altitude: up to 6 km
• Length: ~4.4 m
• Diameter: 225 mm
• Weight: 270 kg
• Propulsion: single-stage solid rocket motor
• Guidance: inertial + target update + terminal active seeker
• Simultaneous engagement: up to 6 targets</x:v>
      </x:c>
      <x:c r="E479" s="32" t="str">
        <x:v>• Short-reaction mobile air defence.
• Search-on-move, track-on-move, fire-on-short-halt SAM
• Canisterised inclined launch</x:v>
      </x:c>
      <x:c r="F479" s="38" t="str">
        <x:v>https://bdl-india.in/products
https://bdl-india.in/annual-reports
https://bdl-india.in/qrsam</x:v>
      </x:c>
    </x:row>
    <x:row r="480" ht="210" customHeight="1">
      <x:c r="A480" s="37" t="str">
        <x:v>Bharat Dynamics Ltd (BDL)</x:v>
      </x:c>
      <x:c r="B480" s="32" t="str">
        <x:v>Missiles</x:v>
      </x:c>
      <x:c r="C480" s="32" t="str">
        <x:v>Smart Anti-Airfield Weapon (SAAW)</x:v>
      </x:c>
      <x:c r="D480" s="32" t="str">
        <x:v>• Precision-guided glide weapon
• Air-launched
• Public range class: up to ~100 km
• Warhead designed for runway/airfield targets</x:v>
      </x:c>
      <x:c r="E480" s="32" t="str">
        <x:v>• Stand-off precision strike against airfield infrastructure</x:v>
      </x:c>
      <x:c r="F480" s="38" t="str">
        <x:v>https://bdl-india.in/saaw
https://drdo.gov.in/drdo/en/offerings/products/smart-anti-airfield-weapon-saaw</x:v>
      </x:c>
    </x:row>
    <x:row r="481" ht="210" customHeight="1">
      <x:c r="A481" s="37" t="str">
        <x:v>Bharat Dynamics Ltd (BDL)</x:v>
      </x:c>
      <x:c r="B481" s="32" t="str">
        <x:v>Missiles</x:v>
      </x:c>
      <x:c r="C481" s="32" t="str">
        <x:v>VL-SRSAM</x:v>
      </x:c>
      <x:c r="D481" s="32" t="str">
        <x:v>• Weight: 170 kg
• Length: 3,931 mm
• Diameter: 178 mm
• Smokeless propulsion</x:v>
      </x:c>
      <x:c r="E481" s="32" t="str">
        <x:v>• Vertically launched short-range naval SAM
• All-weather
• High agility
• ECCM
• Platform-independent configuration</x:v>
      </x:c>
      <x:c r="F481" s="38" t="str">
        <x:v>https://www.bdl-india.in/VLSRSAM</x:v>
      </x:c>
    </x:row>
    <x:row r="482" ht="210" customHeight="1">
      <x:c r="A482" s="37" t="str">
        <x:v>Huta Stalowa Wola (HSW)</x:v>
      </x:c>
      <x:c r="B482" s="32" t="str">
        <x:v>Artillery</x:v>
      </x:c>
      <x:c r="C482" s="32" t="str">
        <x:v>KRAB 155 mm Self-Propelled Howitzer</x:v>
      </x:c>
      <x:c r="D482" s="32" t="str">
        <x:v>• Tracked 155 mm/52-calibre self-propelled howitzer; combat weight commonly ~48 t class; crew 5; ammunition load 40 rounds; maximum road speed ~60 km/h; operational range ~400 km; standard HE range ~30 km class, extended ammunition up to ~40 km class; turret traverse 360°; elevation approximately -3° to +70°.
• Calibre: 155 mm / 52 calibre
• Maximum range: ~30 km standard; ~40 km base-bleed/current Polish government reference
• Intensive rate of fire: up to 6 rounds/min
• Crew: 5 in public reference data
• Ammunition: ~40 rounds public reference
• Engine: ~1,000 hp
• Maximum road speed: ~60 km/h
• Range: ~400 km</x:v>
      </x:c>
      <x:c r="E482" s="32" t="str">
        <x:v>• Fully tracked SP artillery; automatic fire-control; shoot-and-scoot; NBC protection; inertial/navigation systems; compatible with multiple NATO 155 mm ammunition families.
• Tracked SPH
• Topaz fire-control system
• INS + military GPS
• Ballistic radar
• Fire/explosion suppression
• 12.7 mm secondary weapon</x:v>
      </x:c>
      <x:c r="F482" s="38" t="str">
        <x:v>https://www.hsw.pl/en/products/krab
https://www.armyrecognition.com/military-products/army/artillery-systems/self-propelled-howitzers/krab-155mm-self-propelled-howitzer-hsw-polish-army-technical-data
https://www.janes.com/
https://www.hsw.pl/en/news/155-mm-self-propelled-howitzer-krab-2/
https://www.gov.pl/web/aktywa-panstwowe/huta-stalowa-wola-z-kontraktem-na-96-armatohaubic-krab</x:v>
      </x:c>
    </x:row>
    <x:row r="483" ht="210" customHeight="1">
      <x:c r="A483" s="37" t="str">
        <x:v>Huta Stalowa Wola (HSW)</x:v>
      </x:c>
      <x:c r="B483" s="32" t="str">
        <x:v>Artillery</x:v>
      </x:c>
      <x:c r="C483" s="32" t="str">
        <x:v>KRYL 155 mm Truck-Mounted Howitzer</x:v>
      </x:c>
      <x:c r="D483" s="32" t="str">
        <x:v>• Calibre: 155 mm / 52 calibre
• Truck-mounted SPH concept
• Public programme data places combat weight in ~23 t class
• Range: ~40 km class with extended-range ammunition</x:v>
      </x:c>
      <x:c r="E483" s="32" t="str">
        <x:v>• High-mobility wheeled artillery demonstrator/development
• NATO/JBMOU 155 mm architecture</x:v>
      </x:c>
      <x:c r="F483" s="38" t="str">
        <x:v>https://www.armyrecognition.com/military-products/army/artillery-vehicles-and-weapons/self-propelled-howitzers/kryl-155mm-self-propelled-howitzer-poland-uk</x:v>
      </x:c>
    </x:row>
    <x:row r="484" ht="210" customHeight="1">
      <x:c r="A484" s="37" t="str">
        <x:v>Huta Stalowa Wola (HSW)</x:v>
      </x:c>
      <x:c r="B484" s="32" t="str">
        <x:v>Artillery</x:v>
      </x:c>
      <x:c r="C484" s="32" t="str">
        <x:v>RAK M120K 120 mm Self-Propelled Mortar</x:v>
      </x:c>
      <x:c r="D484" s="32" t="str">
        <x:v>• 120 mm turreted mortar; 8-round ready ammunition magazine/vehicle ammunition configuration varies; effective range commonly ~8–12 km depending ammunition; crew 4; 8x8 M120K variant and tracked variant exist.
• Calibre: 120 mm
• Range: ~8–12 km ammunition dependent
• Crew: 4
• Automatic loading system</x:v>
      </x:c>
      <x:c r="E484" s="32" t="str">
        <x:v>• Automatic loading; direct/indirect fire; digital fire control; rapid shoot-and-scoot; integrated command vehicles and ammunition vehicles.
• Turreted self-propelled mortar on Rosomak 8×8 chassis
• Digitised fire control
• Rapid shoot-and-scoot</x:v>
      </x:c>
      <x:c r="F484" s="38" t="str">
        <x:v>https://www.hsw.pl/en/products/rak
https://www.armyrecognition.com/military-products/army/artillery-systems/self-propelled-mortars/rak-120mm-self-propelled-mortar-polish-army-technical-data
https://www.hsw.pl/en/news/the-minister-of-national-defense-handed-over-the-6th-company-fire-module-rak/</x:v>
      </x:c>
    </x:row>
    <x:row r="485" ht="210" customHeight="1">
      <x:c r="A485" s="37" t="str">
        <x:v>Huta Stalowa Wola (HSW)</x:v>
      </x:c>
      <x:c r="B485" s="32" t="str">
        <x:v>Protected Vehicles</x:v>
      </x:c>
      <x:c r="C485" s="32" t="str">
        <x:v>BAOBAB-K Mine-Laying Vehicle</x:v>
      </x:c>
      <x:c r="D485" s="32" t="str">
        <x:v>• Carrier: Jelcz 8×8
• Mine capacity: 600
• Crew: 2
• Reload time: &lt;30 min
• Mine-laying range: 60–180 m
• Laying speed: 5–20 km/h
• Minefield length: up to 1,800 m</x:v>
      </x:c>
      <x:c r="E485" s="32" t="str">
        <x:v>• Automated route/mining planning
• Digital map/GPS
• FONET intercom
• Active smoke-grenade protection</x:v>
      </x:c>
      <x:c r="F485" s="38" t="str">
        <x:v>https://deblin.hsw.pl/oferta/sily-zbrojne/pojazd-minowania-narzutowego-pmn-baobab-k/</x:v>
      </x:c>
    </x:row>
    <x:row r="486" ht="210" customHeight="1">
      <x:c r="A486" s="37" t="str">
        <x:v>Huta Stalowa Wola (HSW)</x:v>
      </x:c>
      <x:c r="B486" s="32" t="str">
        <x:v>Protected Vehicles</x:v>
      </x:c>
      <x:c r="C486" s="32" t="str">
        <x:v>Borsuk Amphibious IFV</x:v>
      </x:c>
      <x:c r="D486" s="32" t="str">
        <x:v>• Tracked amphibious IFV; combat mass commonly around 28–29 t in amphibious configuration; crew 3 + 6 troops; 30 mm Bushmaster II Mk44 cannon; 7.62 mm coaxial MG; anti-tank missile integration; road speed &gt;70 km/h class; amphibious propulsion.
• Length: ~7.3 m
• Width: ~3.4 m
• Combat weight: ~28 t in public baseline data
• Crew: 3 + 6 dismounts
• Tracked amphibious diesel platform</x:v>
      </x:c>
      <x:c r="E486" s="32" t="str">
        <x:v>• Amphibious tracked infantry carrier; ZSSW-30 turret; active protection provisions; digital BMS; modular armour; mine protection.
• ZSSW-30 unmanned turret integration
• Amphibious infantry fighting vehicle
• Modular armour and active-protection growth</x:v>
      </x:c>
      <x:c r="F486" s="38" t="str">
        <x:v>https://www.hsw.pl/en/products/borsuk
https://www.armyrecognition.com/news/defense-web-tv/poland-hsw-borsuk-amphibious-infantry-fighting-vehicle-at-mspo-2023
https://www.janes.com/
https://www.weaponspecs.com/systems/huta-stalowa-wola/borsuk-ifv/
https://www.hsw.pl/en/news/president-of-the-republic-of-poland-andrzej-duda-visits-huta-stalowa-wola-s-a/</x:v>
      </x:c>
    </x:row>
    <x:row r="487" ht="210" customHeight="1">
      <x:c r="A487" s="37" t="str">
        <x:v>Oshkosh Defense</x:v>
      </x:c>
      <x:c r="B487" s="32" t="str">
        <x:v>Protected Vehicles</x:v>
      </x:c>
      <x:c r="C487" s="32" t="str">
        <x:v>FMTV A2 Family</x:v>
      </x:c>
      <x:c r="D487" s="32" t="str">
        <x:v>• 6x6 reference configuration: length 7,272 mm; width 2,438 mm; height 2,830 mm; curb weight 11,281 kg; payload 4,536 kg plus kits; tow 9,525 kg; max speed 96 km/h; 212 L fuel; range 483+ km; 60% grade/30% side slope; Caterpillar C7 diesel; Allison MD3700 7-speed automatic.
• 6.7 t-class 4x4 FMTV cargo configuration; published reference sheet: length 6,739 mm; width 2,438 mm; height 2,830 mm; curb weight 10,389 kg; payload 2,268 kg plus kits; tow 5,443 kg; max speed 96 km/h; 212 L fuel; range 483+ km; 60% grade/30% side slope; Caterpillar C7 6-cylinder turbo diesel; Allison MD3700 7-speed automatic.
• 4×4 and 6×6 family
• Payload classes span ~3-ton to ~12.5-ton mission variants
• Improved engine, suspension, tyres and protection compared with legacy FMTV</x:v>
      </x:c>
      <x:c r="E487" s="32" t="str">
        <x:v>• Heavy cargo, recovery and support configurations; CTIS; C-130 transportability.
• C-130 transportable; CTIS; Long-Term Armor Strategy-ready cab; modular cargo/body variants.
• Cargo, LHS, dump, tractor, wrecker, van and chassis variants
• Commonality and scalable armour</x:v>
      </x:c>
      <x:c r="F487" s="38" t="str">
        <x:v>https://oshkoshdefense.com/wp-content/uploads/2018/12/17305_FMTV_Cargo_SS-A4size_LowRes_4.15.2015.pdf
https://www.janes.com/
https://oshkoshdefense.com/wp-content/uploads/2021/05/2021OverviewBooklet_DigitalFinal_Spreads_01272021-compressed.pdf
https://oshkoshdefense.com/vehicles/medium-tactical-vehicles/fmtv-a2/</x:v>
      </x:c>
    </x:row>
    <x:row r="488" ht="210" customHeight="1">
      <x:c r="A488" s="37" t="str">
        <x:v>Oshkosh Defense</x:v>
      </x:c>
      <x:c r="B488" s="32" t="str">
        <x:v>Protected Vehicles</x:v>
      </x:c>
      <x:c r="C488" s="32" t="str">
        <x:v>HEMTT A4</x:v>
      </x:c>
      <x:c r="D488" s="32" t="str">
        <x:v>• 8x8 heavy tactical truck; 500 hp Caterpillar C15; LHS payload 11-ton (9,979 kg) plus 11-ton payload trailer; LTAS B-kit ready; heavy-duty tactical chassis.
• Configuration: 8×8
• Engine: Caterpillar C15, 500 hp
• Transmission: Allison 4500 SP, 5-speed automatic
• GVWR: 86,000 lb / 39,009 kg; 92,500 lb / 41,957 kg with armour on M983A4 LET reference
• Maximum speed: 62 mph / 100 km/h
• Fuel: 155 gal / 587 L
• Cross-country range: ~300 mi / 483 km
• Fording: 48 in / 1,219 mm</x:v>
      </x:c>
      <x:c r="E488" s="32" t="str">
        <x:v>• Load handling system; NATO flatracks; CROP; cargo, fueler, wrecker, Patriot tractor, missile transporter and MLRS resupply variants.
• Heavy tactical logistics platform
• LTAS armour-ready cab
• ABS/ATC
• Air-ride suspension
• Multiple cargo/tanker/wrecker/tractor variants</x:v>
      </x:c>
      <x:c r="F488" s="38" t="str">
        <x:v>https://oshkoshdefense.com/vehicles/heavy-tactical-vehicles/hemtt/
https://www.weaponspecs.com/systems/oshkosh-defense/oshkosh-hemtt-m977/
https://oshkoshdefense.com/wp-content/uploads/2018/12/17313_HEMTT-A4-LET_LowRes_4.29.2015.pdf
https://oshkoshdefense.com/vehicles/heavy-tactical-vehicles/hemtt-a4/</x:v>
      </x:c>
    </x:row>
    <x:row r="489" ht="210" customHeight="1">
      <x:c r="A489" s="37" t="str">
        <x:v>Oshkosh Defense</x:v>
      </x:c>
      <x:c r="B489" s="32" t="str">
        <x:v>Protected Vehicles</x:v>
      </x:c>
      <x:c r="C489" s="32" t="str">
        <x:v>HET A1 / M1070</x:v>
      </x:c>
      <x:c r="D489" s="32" t="str">
        <x:v>• Heavy equipment transporter; 6x6 tractor; 700 hp Caterpillar C18; Allison 4800SP; two 55,000 lb (24,948 kg) winches; Global HET payload 72 tons (65,317 kg); six-person air-conditioned cab; LTAS compliant.</x:v>
      </x:c>
      <x:c r="E489" s="32" t="str">
        <x:v>• Transports M1 Abrams and other heavy tracked vehicles; paired with M1000/EHETS trailer; rapid heavy-equipment movement.</x:v>
      </x:c>
      <x:c r="F489" s="38" t="str">
        <x:v>https://oshkoshdefense.com/vehicles/heavy-tactical-vehicles/het/
https://oshkoshdefense.com/oshkosh-defense-marks-10-years-of-het-service-to-the-u-k-mod/</x:v>
      </x:c>
    </x:row>
    <x:row r="490" ht="210" customHeight="1">
      <x:c r="A490" s="37" t="str">
        <x:v>Oshkosh Defense</x:v>
      </x:c>
      <x:c r="B490" s="32" t="str">
        <x:v>Protected Vehicles</x:v>
      </x:c>
      <x:c r="C490" s="32" t="str">
        <x:v>JLTV</x:v>
      </x:c>
      <x:c r="D490" s="32" t="str">
        <x:v>• 4x4; 2-door payload 5,100 lb (2,313 kg); 4-door payload 3,500 lb (1,587.5 kg); TAK-4i independent suspension; scalable protection; C4ISR-ready; eJLTV hybrid-electric derivative retains base protection/performance while adding exportable power/silent mobility.
• Configuration: 4×4
• Crew/configuration depends on two-seat/four-seat mission package
• Engine: 6.6 L turbo-diesel Duramax-derived powerplant in current production family
• Maximum speed: &gt;70 mph / &gt;113 km/h in public programme references
• Gross payload: ~3,500–5,100 lb mission dependent
• TAK-4i independent suspension</x:v>
      </x:c>
      <x:c r="E490" s="32" t="str">
        <x:v>• Troop transport, reconnaissance, patrol, convoy protection, HGC/utility/CCWC configurations; &gt;100 mission packages; international production/export.
• MRAP-level scalable protection at light-vehicle weight class
• C-130/CH-47 transportability
• Network-ready electrical architecture
• Multiple weapons and mission packages</x:v>
      </x:c>
      <x:c r="F490" s="38" t="str">
        <x:v>https://oshkoshdefense.com/vehicles/light-tactical-vehicles/jltv/
https://www.janes.com/
https://www.congress.gov/
https://www.army.mil/article/202597/joint_light_tactical_vehicle_jltv</x:v>
      </x:c>
    </x:row>
    <x:row r="491" ht="210" customHeight="1">
      <x:c r="A491" s="37" t="str">
        <x:v>Oshkosh Defense</x:v>
      </x:c>
      <x:c r="B491" s="32" t="str">
        <x:v>Protected Vehicles</x:v>
      </x:c>
      <x:c r="C491" s="32" t="str">
        <x:v>LVSR</x:v>
      </x:c>
      <x:c r="D491" s="32" t="str">
        <x:v>• 10x10; 22.5-ton on-road payload and 16.5-ton off-road payload; 600 hp diesel; TAK-4 independent suspension; rear winch 78,000 lb (35,380 kg); front winch 20,000 lb (9,072 kg); variants: cargo, wrecker, tractor.
• Payload: 22.5 short tons on-road / 16.5 short tons off-road
• Engine: 600 hp diesel
• Heavy logistics platform with self-loading/unloading system</x:v>
      </x:c>
      <x:c r="E491" s="32" t="str">
        <x:v>• USMC heavy logistics; self-loading/unloading; four-axle steering; transport of ammunition, fuel, water and heavy equipment.
• Carries flat racks, ISO containers, boats and fuel containers
• High off-road mobility
• No longer in production; retained as reference current product-history entry</x:v>
      </x:c>
      <x:c r="F491" s="38" t="str">
        <x:v>https://oshkoshdefense.com/vehicles/heavy-tactical-vehicles/lvsr/
https://oshkoshdefense.com/oshkosh-defense-to-bolster-the-u-s-marine-corps-heavy-fleet/</x:v>
      </x:c>
    </x:row>
    <x:row r="492" ht="210" customHeight="1">
      <x:c r="A492" s="37" t="str">
        <x:v>Oshkosh Defense</x:v>
      </x:c>
      <x:c r="B492" s="32" t="str">
        <x:v>Protected Vehicles</x:v>
      </x:c>
      <x:c r="C492" s="32" t="str">
        <x:v>M-ATV Standard</x:v>
      </x:c>
      <x:c r="D492" s="32" t="str">
        <x:v>• 4x4 MRAP-all-terrain vehicle; TAK-4 independent suspension; protected cab; payload/performance varies by M-ATV variant and mission kit.
• Engine: Caterpillar C7 7.2 L diesel, 276 kW / ~370 hp
• Torque: 1,254 Nm
• Transmission: Allison 3500 SP, 6-speed automatic
• Curb weight: 12,747 kg
• Payload: 1,814 kg
• Seating: 4 crew + 1 gunner
• Drive: full-time 4×4
• Tyres: 395/85R20</x:v>
      </x:c>
      <x:c r="E492" s="32" t="str">
        <x:v>• Mine/IED protection; extreme off-road mobility; troop/command/ambulance and special mission configurations.
• TAK-4 independent suspension
• Core1080 crew protection
• 70% off-road duty-cycle design
• RWS/GPK integration</x:v>
      </x:c>
      <x:c r="F492" s="38" t="str">
        <x:v>https://oshkoshdefense.com/vehicles/
https://www.janes.com/
https://warwheels.net/images/MATVbaseSalesBrochureOshkosh2014.pdf
https://oshkoshdefense.com/vehicles/light-tactical-vehicles/m-atv/</x:v>
      </x:c>
    </x:row>
    <x:row r="493" ht="210" customHeight="1">
      <x:c r="A493" s="37" t="str">
        <x:v>Oshkosh Defense</x:v>
      </x:c>
      <x:c r="B493" s="32" t="str">
        <x:v>Protected Vehicles</x:v>
      </x:c>
      <x:c r="C493" s="32" t="str">
        <x:v>PLS A1</x:v>
      </x:c>
      <x:c r="D493" s="32" t="str">
        <x:v>• Configuration: 10×10 palletized load system
• Heavy logistics payload architecture
• Common cab/powertrain architecture with HEMTT A4 family</x:v>
      </x:c>
      <x:c r="E493" s="32" t="str">
        <x:v>• Self-loading flat-rack/container transport
• Armour-ready cab
• Heavy tactical logistics</x:v>
      </x:c>
      <x:c r="F493" s="38" t="str">
        <x:v>https://oshkoshdefense.com/vehicles/heavy-tactical-vehicles/pls-a1/</x:v>
      </x:c>
    </x:row>
    <x:row r="494" ht="210" customHeight="1">
      <x:c r="A494" s="37" t="str">
        <x:v>Oshkosh Defense</x:v>
      </x:c>
      <x:c r="B494" s="32" t="str">
        <x:v>Protected Vehicles</x:v>
      </x:c>
      <x:c r="C494" s="32" t="str">
        <x:v>Stryker Medium Caliber Weapon System (MCWS)</x:v>
      </x:c>
      <x:c r="D494" s="32" t="str">
        <x:v>• Main armament: 30 mm cannon in Rafael SAMSON-derived turret
• Integrated on Stryker ICV Double-V Hull A1 chassis</x:v>
      </x:c>
      <x:c r="E494" s="32" t="str">
        <x:v>• Remote medium-calibre turret
• Increased range/accuracy/lethality
• Next-generation fire-control and lethality integration</x:v>
      </x:c>
      <x:c r="F494" s="38" t="str">
        <x:v>https://oshkoshdefense.com/medium-caliber-weapon-system-mcws/</x:v>
      </x:c>
    </x:row>
    <x:row r="495" ht="210" customHeight="1">
      <x:c r="A495" s="37" t="str">
        <x:v>Poongsan</x:v>
      </x:c>
      <x:c r="B495" s="32" t="str">
        <x:v>Ammunition</x:v>
      </x:c>
      <x:c r="C495" s="32" t="str">
        <x:v>105 mm APFSDS-T K274</x:v>
      </x:c>
      <x:c r="D495" s="32" t="str">
        <x:v>• 105 mm; approx. 18.7 kg
• 1,001 mm max length; muzzle velocity 1,495 m/s; effective range approx. 3 km
• M68 gun.</x:v>
      </x:c>
      <x:c r="E495" s="32" t="str">
        <x:v>• Kinetic-energy anti-tank round.</x:v>
      </x:c>
      <x:c r="F495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496" ht="210" customHeight="1">
      <x:c r="A496" s="37" t="str">
        <x:v>Poongsan</x:v>
      </x:c>
      <x:c r="B496" s="32" t="str">
        <x:v>Ammunition</x:v>
      </x:c>
      <x:c r="C496" s="32" t="str">
        <x:v>105 mm Blank M395</x:v>
      </x:c>
      <x:c r="D496" s="32" t="str">
        <x:v>• 105 mm blank; approx. 2.83 kg
• 153 mm max length; black-powder load; sound level listed at 117 dB in legacy catalogue.</x:v>
      </x:c>
      <x:c r="E496" s="32" t="str">
        <x:v>• Training/blank ammunition.</x:v>
      </x:c>
      <x:c r="F496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497" ht="210" customHeight="1">
      <x:c r="A497" s="37" t="str">
        <x:v>Poongsan</x:v>
      </x:c>
      <x:c r="B497" s="32" t="str">
        <x:v>Ammunition</x:v>
      </x:c>
      <x:c r="C497" s="32" t="str">
        <x:v>105 mm HE M1</x:v>
      </x:c>
      <x:c r="D497" s="32" t="str">
        <x:v>• 105 mm; approx. 19.5 kg with fuze
• 789 mm max length; muzzle velocity 465 m/s; reference maximum range 11 km.</x:v>
      </x:c>
      <x:c r="E497" s="32" t="str">
        <x:v>• HE howitzer ammunition.</x:v>
      </x:c>
      <x:c r="F497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498" ht="210" customHeight="1">
      <x:c r="A498" s="37" t="str">
        <x:v>Poongsan</x:v>
      </x:c>
      <x:c r="B498" s="32" t="str">
        <x:v>Ammunition</x:v>
      </x:c>
      <x:c r="C498" s="32" t="str">
        <x:v>105 mm HEAT-T M456A1 / TP-T M490</x:v>
      </x:c>
      <x:c r="D498" s="32" t="str">
        <x:v>• 105 mm
• M456A1 approx. 21.8 kg / M490 20.41 kg; max lengths 990/999 mm; muzzle velocity 1,173 m/s; max range 8.2 km
• M68 gun.</x:v>
      </x:c>
      <x:c r="E498" s="32" t="str">
        <x:v>• Shaped-charge and practice tank ammunition.</x:v>
      </x:c>
      <x:c r="F498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499" ht="210" customHeight="1">
      <x:c r="A499" s="37" t="str">
        <x:v>Poongsan</x:v>
      </x:c>
      <x:c r="B499" s="32" t="str">
        <x:v>Ammunition</x:v>
      </x:c>
      <x:c r="C499" s="32" t="str">
        <x:v>105 mm Howitzer Ammunition</x:v>
      </x:c>
      <x:c r="D499" s="32" t="str">
        <x:v>• Calibre: 105 mm; howitzer ammunition; family includes projectile/propellant/fuze combinations. Poongsan also documents 105 mm tank ammunition.
• Calibre: 105 mm
• Howitzer/field-gun ammunition family</x:v>
      </x:c>
      <x:c r="E499" s="32" t="str">
        <x:v>• Artillery ammunition.
• Large-calibre artillery ammunition</x:v>
      </x:c>
      <x:c r="F499" s="38" t="str">
        <x:v>https://www.poongsan.co.kr/en/product/special/military
https://www.poongsanhc.co.kr/en/product/special/ammunition
https://www.poongsan.co.kr/en/product/special/overview
https://poongsan.co.kr/en/include/images/ir/2024_Annual_Report%28F%29.pdf
https://poongsan.co.kr/en/product/special/overview</x:v>
      </x:c>
    </x:row>
    <x:row r="500" ht="210" customHeight="1">
      <x:c r="A500" s="37" t="str">
        <x:v>Poongsan</x:v>
      </x:c>
      <x:c r="B500" s="32" t="str">
        <x:v>Ammunition</x:v>
      </x:c>
      <x:c r="C500" s="32" t="str">
        <x:v>105 mm Tank Ammunition</x:v>
      </x:c>
      <x:c r="D500" s="32" t="str">
        <x:v>• Calibre: 105 mm; tank-gun ammunition family; publicly documented shipment of 105 mm tank ammunition.</x:v>
      </x:c>
      <x:c r="E500" s="32" t="str">
        <x:v>• Tank-gun ammunition.</x:v>
      </x:c>
      <x:c r="F500" s="38" t="str">
        <x:v>https://www.poongsan.co.kr/kor/pswebzine/202302.php?p=newsline%7Cnews_3
https://www.poongsan.co.kr/en/product/special/military
https://www.poongsanhc.co.kr/en/product/special/ammunition
https://www.poongsan.co.kr/en/product/special/overview
https://poongsan.co.kr/en/include/images/ir/2024_Annual_Report%28F%29.pdf</x:v>
      </x:c>
    </x:row>
    <x:row r="501" ht="210" customHeight="1">
      <x:c r="A501" s="37" t="str">
        <x:v>Poongsan</x:v>
      </x:c>
      <x:c r="B501" s="32" t="str">
        <x:v>Ammunition</x:v>
      </x:c>
      <x:c r="C501" s="32" t="str">
        <x:v>12.7×99 mm</x:v>
      </x:c>
      <x:c r="D501" s="32" t="str">
        <x:v>• 12.7×99 mm / .50-cal class cartridge family.
• Calibre: 12.7 mm / .50 class
• Heavy-machine-gun ammunition family</x:v>
      </x:c>
      <x:c r="E501" s="32" t="str">
        <x:v>• Heavy machine-gun ammunition.
• Combat and specialised heavy small-calibre ammunition</x:v>
      </x:c>
      <x:c r="F501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
https://www.poongsan.co.kr/en/product/special/military
https://poongsan.co.kr/en/product/special/overview</x:v>
      </x:c>
    </x:row>
    <x:row r="502" ht="210" customHeight="1">
      <x:c r="A502" s="37" t="str">
        <x:v>Poongsan</x:v>
      </x:c>
      <x:c r="B502" s="32" t="str">
        <x:v>Ammunition</x:v>
      </x:c>
      <x:c r="C502" s="32" t="str">
        <x:v>120 mm APFSDS-T K276</x:v>
      </x:c>
      <x:c r="D502" s="32" t="str">
        <x:v>• 120 mm; approx. 19.7 kg
• 973 mm max length; tungsten-alloy penetrator; combustible case
• K683 triple-base propellant; muzzle velocity 1,700 m/s
• M256 gun.</x:v>
      </x:c>
      <x:c r="E502" s="32" t="str">
        <x:v>• Kinetic-energy anti-tank tank ammunition.</x:v>
      </x:c>
      <x:c r="F502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3" ht="210" customHeight="1">
      <x:c r="A503" s="37" t="str">
        <x:v>Poongsan</x:v>
      </x:c>
      <x:c r="B503" s="32" t="str">
        <x:v>Ammunition</x:v>
      </x:c>
      <x:c r="C503" s="32" t="str">
        <x:v>120 mm APFSDS-T K279</x:v>
      </x:c>
      <x:c r="D503" s="32" t="str">
        <x:v>• 120 mm
• 21.3 kg
• 998 mm length; muzzle velocity 1,760 m/s
• SCDB propellant; electric primer.</x:v>
      </x:c>
      <x:c r="E503" s="32" t="str">
        <x:v>• Kinetic-energy tank round.</x:v>
      </x:c>
      <x:c r="F503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4" ht="210" customHeight="1">
      <x:c r="A504" s="37" t="str">
        <x:v>Poongsan</x:v>
      </x:c>
      <x:c r="B504" s="32" t="str">
        <x:v>Ammunition</x:v>
      </x:c>
      <x:c r="C504" s="32" t="str">
        <x:v>120 mm HEAT-MP-T K277 / TP-T K282</x:v>
      </x:c>
      <x:c r="D504" s="32" t="str">
        <x:v>• 120 mm; approx. 24.5 kg
• 989 mm max length; muzzle velocity 1,130 m/s; combustible case
• M256 gun.</x:v>
      </x:c>
      <x:c r="E504" s="32" t="str">
        <x:v>• Multipurpose shaped-charge and practice variants.</x:v>
      </x:c>
      <x:c r="F504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5" ht="210" customHeight="1">
      <x:c r="A505" s="37" t="str">
        <x:v>Poongsan</x:v>
      </x:c>
      <x:c r="B505" s="32" t="str">
        <x:v>Ammunition</x:v>
      </x:c>
      <x:c r="C505" s="32" t="str">
        <x:v>120 mm HEAT-MP-T K280</x:v>
      </x:c>
      <x:c r="D505" s="32" t="str">
        <x:v>• 120 mm; legacy catalogue lists HEAT-MP-T with Comp-B filler, K595 fuze, combustible case and K684 propellant.</x:v>
      </x:c>
      <x:c r="E505" s="32" t="str">
        <x:v>• Multipurpose tank round.</x:v>
      </x:c>
      <x:c r="F505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6" ht="210" customHeight="1">
      <x:c r="A506" s="37" t="str">
        <x:v>Poongsan</x:v>
      </x:c>
      <x:c r="B506" s="32" t="str">
        <x:v>Ammunition</x:v>
      </x:c>
      <x:c r="C506" s="32" t="str">
        <x:v>127 mm/54 cal K300/K301</x:v>
      </x:c>
      <x:c r="D506" s="32" t="str">
        <x:v>• 127 mm/54 cal
• HE point-detonating and HE proximity-fuzed variants.</x:v>
      </x:c>
      <x:c r="E506" s="32" t="str">
        <x:v>• Naval gun ammunition.</x:v>
      </x:c>
      <x:c r="F506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7" ht="210" customHeight="1">
      <x:c r="A507" s="37" t="str">
        <x:v>Poongsan</x:v>
      </x:c>
      <x:c r="B507" s="32" t="str">
        <x:v>Ammunition</x:v>
      </x:c>
      <x:c r="C507" s="32" t="str">
        <x:v>155 mm Base-Bleed HE K307</x:v>
      </x:c>
      <x:c r="D507" s="32" t="str">
        <x:v>• 155 mm; approx. 46.4 kg
• 945 mm with fuze / 895 mm with lifting plug; reference muzzle velocity 928 m/s; reference K9 range 40.6 km with K676 propellant.</x:v>
      </x:c>
      <x:c r="E507" s="32" t="str">
        <x:v>• Extended-range base-bleed artillery projectile.</x:v>
      </x:c>
      <x:c r="F507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8" ht="210" customHeight="1">
      <x:c r="A508" s="37" t="str">
        <x:v>Poongsan</x:v>
      </x:c>
      <x:c r="B508" s="32" t="str">
        <x:v>Ammunition</x:v>
      </x:c>
      <x:c r="C508" s="32" t="str">
        <x:v>155 mm HE M107</x:v>
      </x:c>
      <x:c r="D508" s="32" t="str">
        <x:v>• 155 mm; projectile approx. 41.86 kg; max length 684 mm with lifting plug; muzzle velocity 562 m/s with M4A2 and 684 m/s with M119A1; reference range 14.6–18.8 km depending gun/charge.</x:v>
      </x:c>
      <x:c r="E508" s="32" t="str">
        <x:v>• HE artillery projectile; compatible with M114A1/A2, KH179, K55, K9, M198 and M109-family guns.</x:v>
      </x:c>
      <x:c r="F508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09" ht="210" customHeight="1">
      <x:c r="A509" s="37" t="str">
        <x:v>Poongsan</x:v>
      </x:c>
      <x:c r="B509" s="32" t="str">
        <x:v>Ammunition</x:v>
      </x:c>
      <x:c r="C509" s="32" t="str">
        <x:v>155 mm Howitzer Ammunition</x:v>
      </x:c>
      <x:c r="D509" s="32" t="str">
        <x:v>• Calibre: 155 mm; projectile family for howitzers; range includes standard and extended-range development work. Poongsan states supply of 155 mm projectiles and publicly reports 155 mm extended-range ammunition R&amp;D.
• Calibre: 155 mm
• Includes conventional and extended-range projectiles; exact mass/range depends on projectile and gun system</x:v>
      </x:c>
      <x:c r="E509" s="32" t="str">
        <x:v>• Large-calibre artillery ammunition; extended-range development.
• Poongsan produces 155 mm projectiles for howitzers
• Extended-range munition development highlighted by company</x:v>
      </x:c>
      <x:c r="F509" s="38" t="str">
        <x:v>https://www.poongsan.co.kr/kor/pswebzine/202302.php?p=newsline%7Cnews_3
https://www.poongsan.co.kr/kor/pswebzine/202608.php?p=newsline%7Cnews_3
https://www.poongsan.co.kr/en/product/special/military
https://www.poongsanhc.co.kr/en/product/special/ammunition
https://www.poongsan.co.kr/en/product/special/overview
https://poongsan.co.kr/en/include/images/ir/2024_Annual_Report%28F%29.pdf
https://www.poongsan.co.kr/en/include/images/cs/2024_ESG_REPORT_EN.pdf</x:v>
      </x:c>
    </x:row>
    <x:row r="510" ht="210" customHeight="1">
      <x:c r="A510" s="37" t="str">
        <x:v>Poongsan</x:v>
      </x:c>
      <x:c r="B510" s="32" t="str">
        <x:v>Ammunition</x:v>
      </x:c>
      <x:c r="C510" s="32" t="str">
        <x:v>155 mm Ramjet / Extended-Range Ammunition R&amp;D</x:v>
      </x:c>
      <x:c r="D510" s="32" t="str">
        <x:v>• Calibre: 155 mm; ramjet-powered / range-extension research publicly reported; detailed performance figures not publicly disclosed in the cited source.</x:v>
      </x:c>
      <x:c r="E510" s="32" t="str">
        <x:v>• Very-long-range artillery R&amp;D.</x:v>
      </x:c>
      <x:c r="F510" s="38" t="str">
        <x:v>https://www.poongsan.co.kr/kor/pswebzine/202405.php?p=newsline%7Cnews_7</x:v>
      </x:c>
    </x:row>
    <x:row r="511" ht="210" customHeight="1">
      <x:c r="A511" s="37" t="str">
        <x:v>Poongsan</x:v>
      </x:c>
      <x:c r="B511" s="32" t="str">
        <x:v>Ammunition</x:v>
      </x:c>
      <x:c r="C511" s="32" t="str">
        <x:v>20 mm MPT-SD K163</x:v>
      </x:c>
      <x:c r="D511" s="32" t="str">
        <x:v>• 20 mm; multipurpose tracer/self-destruct ammunition.</x:v>
      </x:c>
      <x:c r="E511" s="32" t="str">
        <x:v>• Anti-aircraft/cannon ammunition.</x:v>
      </x:c>
      <x:c r="F511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12" ht="210" customHeight="1">
      <x:c r="A512" s="37" t="str">
        <x:v>Poongsan</x:v>
      </x:c>
      <x:c r="B512" s="32" t="str">
        <x:v>Ammunition</x:v>
      </x:c>
      <x:c r="C512" s="32" t="str">
        <x:v>20×102 mm M246/M56A3/M200/M55A2/STP K159</x:v>
      </x:c>
      <x:c r="D512" s="32" t="str">
        <x:v>• 20×102 mm
• HEI/SD, HEI, TP-T, TP and STP variants listed; detailed variant-specific dimensions/load data are catalogue-dependent.</x:v>
      </x:c>
      <x:c r="E512" s="32" t="str">
        <x:v>• Anti-aircraft/cannon ammunition.</x:v>
      </x:c>
      <x:c r="F512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13" ht="210" customHeight="1">
      <x:c r="A513" s="37" t="str">
        <x:v>Poongsan</x:v>
      </x:c>
      <x:c r="B513" s="32" t="str">
        <x:v>Ammunition</x:v>
      </x:c>
      <x:c r="C513" s="32" t="str">
        <x:v>30 mm Anti-Drone / Advanced Naval Ammunition R&amp;D</x:v>
      </x:c>
      <x:c r="D513" s="32" t="str">
        <x:v>• Calibre: 30 mm
• Poongsan reported development work on forward-dispersing 30 mm ammunition for anti-drone use.</x:v>
      </x:c>
      <x:c r="E513" s="32" t="str">
        <x:v>• Counter-UAS ammunition concept; naval application.</x:v>
      </x:c>
      <x:c r="F513" s="38" t="str">
        <x:v>https://www.poongsan.co.kr/kor/pswebzine/202405.php?p=newsline%7Cnews_7</x:v>
      </x:c>
    </x:row>
    <x:row r="514" ht="210" customHeight="1">
      <x:c r="A514" s="37" t="str">
        <x:v>Poongsan</x:v>
      </x:c>
      <x:c r="B514" s="32" t="str">
        <x:v>Ammunition</x:v>
      </x:c>
      <x:c r="C514" s="32" t="str">
        <x:v>30 mm Goalkeeper MPDS K164 / FMPDS K165</x:v>
      </x:c>
      <x:c r="D514" s="32" t="str">
        <x:v>• 30 mm; approx. 625 g cartridge
• 290 mm max length; projectile approx. 314 g; max chamber pressure 64,525 psi; muzzle velocity &gt;=1,150 m/s; max range 12 km
• 4,200 rpm gun reference in legacy catalogue.
• Calibre: 30 mm
• Poongsan ESG report specifically identifies Goalkeeper ammunition for South Korean destroyers</x:v>
      </x:c>
      <x:c r="E514" s="32" t="str">
        <x:v>• Tungsten heavy-alloy piercing/frangible close-in defence ammunition.
• Naval close-in weapon / medium-calibre ammunition
• Enhanced-penetration and multipurpose munition development</x:v>
      </x:c>
      <x:c r="F514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
https://www.poongsan.co.kr/en/product/special/military</x:v>
      </x:c>
    </x:row>
    <x:row r="515" ht="210" customHeight="1">
      <x:c r="A515" s="37" t="str">
        <x:v>Poongsan</x:v>
      </x:c>
      <x:c r="B515" s="32" t="str">
        <x:v>Ammunition</x:v>
      </x:c>
      <x:c r="C515" s="32" t="str">
        <x:v>30 mm Oerlikon K154/K155/K156/K162/K160/K161</x:v>
      </x:c>
      <x:c r="D515" s="32" t="str">
        <x:v>• 30 mm Oerlikon
• TEIT-SD, HEI-SD, TP-T, TP, HEI-T and HEI variants.</x:v>
      </x:c>
      <x:c r="E515" s="32" t="str">
        <x:v>• Anti-aircraft/aircraft cannon ammunition.</x:v>
      </x:c>
      <x:c r="F515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16" ht="210" customHeight="1">
      <x:c r="A516" s="37" t="str">
        <x:v>Poongsan</x:v>
      </x:c>
      <x:c r="B516" s="32" t="str">
        <x:v>Ammunition</x:v>
      </x:c>
      <x:c r="C516" s="32" t="str">
        <x:v>35 mm Oerlikon K202/K203</x:v>
      </x:c>
      <x:c r="D516" s="32" t="str">
        <x:v>• 35 mm Oerlikon
• HEI-SD and TP-T variants.</x:v>
      </x:c>
      <x:c r="E516" s="32" t="str">
        <x:v>• Anti-aircraft gun ammunition.</x:v>
      </x:c>
      <x:c r="F516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17" ht="210" customHeight="1">
      <x:c r="A517" s="37" t="str">
        <x:v>Poongsan</x:v>
      </x:c>
      <x:c r="B517" s="32" t="str">
        <x:v>Ammunition</x:v>
      </x:c>
      <x:c r="C517" s="32" t="str">
        <x:v>40 mm APFSDS-T K237</x:v>
      </x:c>
      <x:c r="D517" s="32" t="str">
        <x:v>• 40 mm
• 2.2 kg
• 525 mm
• 60,000 psi; muzzle velocity 1,380 m/s; tungsten heavy-alloy penetrator
• K40 gun.</x:v>
      </x:c>
      <x:c r="E517" s="32" t="str">
        <x:v>• Kinetic anti-armour automatic-cannon round.</x:v>
      </x:c>
      <x:c r="F517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18" ht="210" customHeight="1">
      <x:c r="A518" s="37" t="str">
        <x:v>Poongsan</x:v>
      </x:c>
      <x:c r="B518" s="32" t="str">
        <x:v>Ammunition</x:v>
      </x:c>
      <x:c r="C518" s="32" t="str">
        <x:v>40 mm L/70 K216/K217/K218/K219</x:v>
      </x:c>
      <x:c r="D518" s="32" t="str">
        <x:v>• 40 mm L/70; approx. 2.4–2.5 kg; max length 502.5–534.4 mm; pressure 53,100 psi; muzzle velocity about 1,005–1,025 m/s; max range 12 km
• Bofors/Breda 40 mm guns.</x:v>
      </x:c>
      <x:c r="E518" s="32" t="str">
        <x:v>• HEI-T, TP-T, PFHE and AP-T naval/AA ammunition.</x:v>
      </x:c>
      <x:c r="F518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19" ht="210" customHeight="1">
      <x:c r="A519" s="37" t="str">
        <x:v>Poongsan</x:v>
      </x:c>
      <x:c r="B519" s="32" t="str">
        <x:v>Ammunition</x:v>
      </x:c>
      <x:c r="C519" s="32" t="str">
        <x:v>40 mm MMFA K236</x:v>
      </x:c>
      <x:c r="D519" s="32" t="str">
        <x:v>• 40 mm
• 2.54 kg
• 534 mm; chamber pressure 57,000 psi; muzzle velocity 1,025 m/s; max range 12 km
• K40 automatic gun; programmable impact/time/proximity fuze functions listed.</x:v>
      </x:c>
      <x:c r="E519" s="32" t="str">
        <x:v>• Multipurpose naval/automatic-gun ammunition.</x:v>
      </x:c>
      <x:c r="F519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0" ht="210" customHeight="1">
      <x:c r="A520" s="37" t="str">
        <x:v>Poongsan</x:v>
      </x:c>
      <x:c r="B520" s="32" t="str">
        <x:v>Ammunition</x:v>
      </x:c>
      <x:c r="C520" s="32" t="str">
        <x:v>5.56×45 mm</x:v>
      </x:c>
      <x:c r="D520" s="32" t="str">
        <x:v>• 5.56×45 mm small-arms cartridge family.
• Calibre: 5.56 mm
• Military small-arms cartridge family; exact projectile/velocity values vary by ball, tracer and other load</x:v>
      </x:c>
      <x:c r="E520" s="32" t="str">
        <x:v>• Rifle/carbine ammunition.
• Vertically integrated production
• Used by Korean military and export customers</x:v>
      </x:c>
      <x:c r="F520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
https://www.poongsan.co.kr/en/product/special/military
https://poongsan.co.kr/en/product/special/overview</x:v>
      </x:c>
    </x:row>
    <x:row r="521" ht="210" customHeight="1">
      <x:c r="A521" s="37" t="str">
        <x:v>Poongsan</x:v>
      </x:c>
      <x:c r="B521" s="32" t="str">
        <x:v>Ammunition</x:v>
      </x:c>
      <x:c r="C521" s="32" t="str">
        <x:v>60 mm HE K207</x:v>
      </x:c>
      <x:c r="D521" s="32" t="str">
        <x:v>• 60 mm; approx. 1.77 kg
• 373 mm with fuze; reference muzzle velocity 241 m/s; maximum range 3,590 m
• M19/M181/M224 mortars.</x:v>
      </x:c>
      <x:c r="E521" s="32" t="str">
        <x:v>• HE mortar round.</x:v>
      </x:c>
      <x:c r="F521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2" ht="210" customHeight="1">
      <x:c r="A522" s="37" t="str">
        <x:v>Poongsan</x:v>
      </x:c>
      <x:c r="B522" s="32" t="str">
        <x:v>Ammunition</x:v>
      </x:c>
      <x:c r="C522" s="32" t="str">
        <x:v>7.62×39 mm</x:v>
      </x:c>
      <x:c r="D522" s="32" t="str">
        <x:v>• 7.62×39 mm small-arms cartridge family.</x:v>
      </x:c>
      <x:c r="E522" s="32" t="str">
        <x:v>• Assault-rifle ammunition.</x:v>
      </x:c>
      <x:c r="F522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3" ht="210" customHeight="1">
      <x:c r="A523" s="37" t="str">
        <x:v>Poongsan</x:v>
      </x:c>
      <x:c r="B523" s="32" t="str">
        <x:v>Ammunition</x:v>
      </x:c>
      <x:c r="C523" s="32" t="str">
        <x:v>7.62×51 mm</x:v>
      </x:c>
      <x:c r="D523" s="32" t="str">
        <x:v>• 7.62×51 mm small-arms cartridge family.</x:v>
      </x:c>
      <x:c r="E523" s="32" t="str">
        <x:v>• Rifle/machine-gun ammunition.</x:v>
      </x:c>
      <x:c r="F523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4" ht="210" customHeight="1">
      <x:c r="A524" s="37" t="str">
        <x:v>Poongsan</x:v>
      </x:c>
      <x:c r="B524" s="32" t="str">
        <x:v>Ammunition</x:v>
      </x:c>
      <x:c r="C524" s="32" t="str">
        <x:v>76 mm L/62 PFF-HE K246</x:v>
      </x:c>
      <x:c r="D524" s="32" t="str">
        <x:v>• 76 mm; programmable/fragmentation-focused naval ammunition family item listed in Poongsan catalogue.</x:v>
      </x:c>
      <x:c r="E524" s="32" t="str">
        <x:v>• Naval gun ammunition.</x:v>
      </x:c>
      <x:c r="F524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5" ht="210" customHeight="1">
      <x:c r="A525" s="37" t="str">
        <x:v>Poongsan</x:v>
      </x:c>
      <x:c r="B525" s="32" t="str">
        <x:v>Ammunition</x:v>
      </x:c>
      <x:c r="C525" s="32" t="str">
        <x:v>76 mm Naval Gun Ammunition</x:v>
      </x:c>
      <x:c r="D525" s="32" t="str">
        <x:v>• Calibre: 76 mm class
• Poongsan FNS and Poongsan materials identify naval-gun ammunition and 76 mm L/62-related components/fuzes.</x:v>
      </x:c>
      <x:c r="E525" s="32" t="str">
        <x:v>• Naval gun ammunition.</x:v>
      </x:c>
      <x:c r="F525" s="38" t="str">
        <x:v>https://www.scribd.com/document/366074442/Poongsan-Ammo-Catalogue
https://www.poongsan.co.kr/kor/pswebzine/202405.php?p=newsline%7Cnews_7</x:v>
      </x:c>
    </x:row>
    <x:row r="526" ht="210" customHeight="1">
      <x:c r="A526" s="37" t="str">
        <x:v>Poongsan</x:v>
      </x:c>
      <x:c r="B526" s="32" t="str">
        <x:v>Ammunition</x:v>
      </x:c>
      <x:c r="C526" s="32" t="str">
        <x:v>76 mm/62 cal K243/K244/K245</x:v>
      </x:c>
      <x:c r="D526" s="32" t="str">
        <x:v>• 76 mm/62
• HE, HE-VT and TP variants; alloy-steel projectile
• K508 point detonator / K586 proximity fuze on applicable variants.</x:v>
      </x:c>
      <x:c r="E526" s="32" t="str">
        <x:v>• Naval gun ammunition.</x:v>
      </x:c>
      <x:c r="F526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7" ht="210" customHeight="1">
      <x:c r="A527" s="37" t="str">
        <x:v>Poongsan</x:v>
      </x:c>
      <x:c r="B527" s="32" t="str">
        <x:v>Ammunition</x:v>
      </x:c>
      <x:c r="C527" s="32" t="str">
        <x:v>8-inch / 203 mm Howitzer Projectile Family</x:v>
      </x:c>
      <x:c r="D527" s="32" t="str">
        <x:v>• Calibre: 8-inch / 203 mm class
• Poongsan publicly describes production ranging up to eight-inch howitzer projectiles.</x:v>
      </x:c>
      <x:c r="E527" s="32" t="str">
        <x:v>• Large-calibre artillery ammunition.</x:v>
      </x:c>
      <x:c r="F527" s="38" t="str">
        <x:v>https://www.poongsan.co.kr/en/product/special/military
https://www.poongsanhc.co.kr/en/product/special/ammunition
https://www.poongsan.co.kr/en/product/special/overview
https://poongsan.co.kr/en/include/images/ir/2024_Annual_Report%28F%29.pdf</x:v>
      </x:c>
    </x:row>
    <x:row r="528" ht="210" customHeight="1">
      <x:c r="A528" s="37" t="str">
        <x:v>Poongsan</x:v>
      </x:c>
      <x:c r="B528" s="32" t="str">
        <x:v>Ammunition</x:v>
      </x:c>
      <x:c r="C528" s="32" t="str">
        <x:v>81 mm HE K247</x:v>
      </x:c>
      <x:c r="D528" s="32" t="str">
        <x:v>• 81 mm; approx. 4.35 kg
• 532 mm max; reference muzzle velocity 320 m/s; maximum range 6,350 m
• M29/M29A1/K187 mortars.</x:v>
      </x:c>
      <x:c r="E528" s="32" t="str">
        <x:v>• HE mortar round.</x:v>
      </x:c>
      <x:c r="F528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29" ht="210" customHeight="1">
      <x:c r="A529" s="37" t="str">
        <x:v>Poongsan</x:v>
      </x:c>
      <x:c r="B529" s="32" t="str">
        <x:v>Ammunition</x:v>
      </x:c>
      <x:c r="C529" s="32" t="str">
        <x:v>Depth Charge</x:v>
      </x:c>
      <x:c r="D529" s="32" t="str">
        <x:v>• Naval depth-charge ammunition product listed in Poongsan catalogue; detailed current dimensions/charge data not publicly exposed in the source reviewed.</x:v>
      </x:c>
      <x:c r="E529" s="32" t="str">
        <x:v>• Anti-submarine/naval ammunition.</x:v>
      </x:c>
      <x:c r="F529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</x:v>
      </x:c>
    </x:row>
    <x:row r="530" ht="210" customHeight="1">
      <x:c r="A530" s="37" t="str">
        <x:v>Poongsan</x:v>
      </x:c>
      <x:c r="B530" s="32" t="str">
        <x:v>Ammunition</x:v>
      </x:c>
      <x:c r="C530" s="32" t="str">
        <x:v>MLRS Warhead / Submunition Assemblies</x:v>
      </x:c>
      <x:c r="D530" s="32" t="str">
        <x:v>• Multiple-launch rocket-system warhead assemblies
• Poongsan reports responsibility for warhead assemblies including submunitions in joint MLRS development</x:v>
      </x:c>
      <x:c r="E530" s="32" t="str">
        <x:v>• Rocket-artillery warhead production</x:v>
      </x:c>
      <x:c r="F530" s="38" t="str">
        <x:v>https://www.poongsan.co.kr/en/include/images/cs/2024_ESG_REPORT_EN.pdf
https://poongsan.co.kr/en/product/special/overview</x:v>
      </x:c>
    </x:row>
    <x:row r="531" ht="210" customHeight="1">
      <x:c r="A531" s="37" t="str">
        <x:v>Poongsan</x:v>
      </x:c>
      <x:c r="B531" s="32" t="str">
        <x:v>Ammunition</x:v>
      </x:c>
      <x:c r="C531" s="32" t="str">
        <x:v>Pistol &amp; Revolver Ammunition</x:v>
      </x:c>
      <x:c r="D531" s="32" t="str">
        <x:v>• Poongsan catalogue includes pistol/revolver ammunition; current contact page identifies 9 mm, .38 and .45 calibre technical support.
• Calibre: 9 mm
• Service-pistol ammunition family</x:v>
      </x:c>
      <x:c r="E531" s="32" t="str">
        <x:v>• Handgun ammunition.
• Military/law-enforcement small-arms ammunition</x:v>
      </x:c>
      <x:c r="F531" s="38" t="str">
        <x:v>https://www.poongsan.co.kr/en/product/special/overview
https://www.poongsan.co.kr/en/include/images/cs/2024_ESG_REPORT_EN.pdf
https://www.scribd.com/document/366074442/Poongsan-Ammo-Catalogue
https://www.expodefensa.com.co/wp-content/uploads/2017/07/EXPODEFENSA15_CATALOGUE-BD.pdf
https://www.poongsan.co.kr/en/product/special/military
https://poongsan.co.kr/en/product/special/overview</x:v>
      </x:c>
    </x:row>
    <x:row r="532" ht="210" customHeight="1">
      <x:c r="A532" s="37" t="str">
        <x:v>Nammo</x:v>
      </x:c>
      <x:c r="B532" s="32" t="str">
        <x:v>Ammunition</x:v>
      </x:c>
      <x:c r="C532" s="32" t="str">
        <x:v>12.7 mm x 99 AP-S (.50 Cal)</x:v>
      </x:c>
      <x:c r="D532" s="32" t="str">
        <x:v>• Poongsan portfolio includes fuzes, primers and propellants; dedicated component production lines.</x:v>
      </x:c>
      <x:c r="E532" s="32" t="str">
        <x:v>• Named product from Nammo's 2024 Ammunition Handbook; combat/training/propulsion role depends on product.</x:v>
      </x:c>
      <x:c r="F532" s="38" t="str">
        <x:v>https://www.nammo.com/wp-content/uploads/2020/08/nammo-handbook-2023.pdf
https://www.nammo.com/products/
https://www.nammo.com/products/ammunition/</x:v>
      </x:c>
    </x:row>
    <x:row r="533" ht="210" customHeight="1">
      <x:c r="A533" s="37" t="str">
        <x:v>Nammo</x:v>
      </x:c>
      <x:c r="B533" s="32" t="str">
        <x:v>Ammunition</x:v>
      </x:c>
      <x:c r="C533" s="32" t="str">
        <x:v>12.7 mm x 99 API (.50 Cal)</x:v>
      </x:c>
      <x:c r="D533" s="32" t="str">
        <x:v>• Poongsan portfolio includes fuzes, primers and propellants; dedicated component production lines.</x:v>
      </x:c>
      <x:c r="E533" s="32" t="str">
        <x:v>• Named product from Nammo's 2024 Ammunition Handbook; combat/training/propulsion role depends on product.</x:v>
      </x:c>
      <x:c r="F533" s="38" t="str">
        <x:v>https://www.nammo.com/wp-content/uploads/2020/08/nammo-handbook-2023.pdf
https://www.nammo.com/products/
https://www.nammo.com/products/ammunition/</x:v>
      </x:c>
    </x:row>
    <x:row r="534" ht="210" customHeight="1">
      <x:c r="A534" s="37" t="str">
        <x:v>Nammo</x:v>
      </x:c>
      <x:c r="B534" s="32" t="str">
        <x:v>Ammunition</x:v>
      </x:c>
      <x:c r="C534" s="32" t="str">
        <x:v>12.7 mm x 99 API-S (.50 Cal)</x:v>
      </x:c>
      <x:c r="D534" s="32" t="str">
        <x:v>• Poongsan portfolio includes fuzes, primers and propellants; dedicated component production lines.</x:v>
      </x:c>
      <x:c r="E534" s="32" t="str">
        <x:v>• Named product from Nammo's 2024 Ammunition Handbook; combat/training/propulsion role depends on product.</x:v>
      </x:c>
      <x:c r="F534" s="38" t="str">
        <x:v>https://www.nammo.com/wp-content/uploads/2020/08/nammo-handbook-2023.pdf
https://www.nammo.com/products/
https://www.nammo.com/products/ammunition/</x:v>
      </x:c>
    </x:row>
    <x:row r="535" ht="210" customHeight="1">
      <x:c r="A535" s="37" t="str">
        <x:v>Nammo</x:v>
      </x:c>
      <x:c r="B535" s="32" t="str">
        <x:v>Ammunition</x:v>
      </x:c>
      <x:c r="C535" s="32" t="str">
        <x:v>12.7 mm x 99 API-T (.50 Cal)</x:v>
      </x:c>
      <x:c r="D535" s="32" t="str">
        <x:v>• Poongsan portfolio includes fuzes, primers and propellants; dedicated component production lines.</x:v>
      </x:c>
      <x:c r="E535" s="32" t="str">
        <x:v>• Named product from Nammo's 2024 Ammunition Handbook; combat/training/propulsion role depends on product.</x:v>
      </x:c>
      <x:c r="F535" s="38" t="str">
        <x:v>https://www.nammo.com/wp-content/uploads/2020/08/nammo-handbook-2023.pdf
https://www.nammo.com/products/
https://www.nammo.com/products/ammunition/</x:v>
      </x:c>
    </x:row>
    <x:row r="536" ht="210" customHeight="1">
      <x:c r="A536" s="37" t="str">
        <x:v>Nammo</x:v>
      </x:c>
      <x:c r="B536" s="32" t="str">
        <x:v>Ammunition</x:v>
      </x:c>
      <x:c r="C536" s="32" t="str">
        <x:v>12.7 mm x 99 Ball (.50 Cal)</x:v>
      </x:c>
      <x:c r="D536" s="32" t="str">
        <x:v>• Poongsan portfolio includes fuzes, primers and propellants; dedicated component production lines.</x:v>
      </x:c>
      <x:c r="E536" s="32" t="str">
        <x:v>• Named product from Nammo's 2024 Ammunition Handbook; combat/training/propulsion role depends on product.</x:v>
      </x:c>
      <x:c r="F536" s="38" t="str">
        <x:v>https://www.nammo.com/wp-content/uploads/2020/08/nammo-handbook-2023.pdf
https://www.nammo.com/products/
https://www.nammo.com/products/ammunition/</x:v>
      </x:c>
    </x:row>
    <x:row r="537" ht="210" customHeight="1">
      <x:c r="A537" s="37" t="str">
        <x:v>Nammo</x:v>
      </x:c>
      <x:c r="B537" s="32" t="str">
        <x:v>Ammunition</x:v>
      </x:c>
      <x:c r="C537" s="32" t="str">
        <x:v>12.7 mm x 99 MP (.50 Cal)</x:v>
      </x:c>
      <x:c r="D537" s="32" t="str">
        <x:v>• Poongsan portfolio includes fuzes, primers and propellants; dedicated component production lines.</x:v>
      </x:c>
      <x:c r="E537" s="32" t="str">
        <x:v>• Named product from Nammo's 2024 Ammunition Handbook; combat/training/propulsion role depends on product.</x:v>
      </x:c>
      <x:c r="F537" s="38" t="str">
        <x:v>https://www.nammo.com/wp-content/uploads/2020/08/nammo-handbook-2023.pdf
https://www.nammo.com/products/
https://www.nammo.com/products/ammunition/</x:v>
      </x:c>
    </x:row>
    <x:row r="538" ht="210" customHeight="1">
      <x:c r="A538" s="37" t="str">
        <x:v>Nammo</x:v>
      </x:c>
      <x:c r="B538" s="32" t="str">
        <x:v>Ammunition</x:v>
      </x:c>
      <x:c r="C538" s="32" t="str">
        <x:v>12.7 mm x 99 MP-T (.50 Cal)</x:v>
      </x:c>
      <x:c r="D538" s="32" t="str">
        <x:v>• Poongsan portfolio includes fuzes, primers and propellants; dedicated component production lines.</x:v>
      </x:c>
      <x:c r="E538" s="32" t="str">
        <x:v>• Named product from Nammo's 2024 Ammunition Handbook; combat/training/propulsion role depends on product.</x:v>
      </x:c>
      <x:c r="F538" s="38" t="str">
        <x:v>https://www.nammo.com/wp-content/uploads/2020/08/nammo-handbook-2023.pdf
https://www.nammo.com/products/
https://www.nammo.com/products/ammunition/</x:v>
      </x:c>
    </x:row>
    <x:row r="539" ht="210" customHeight="1">
      <x:c r="A539" s="37" t="str">
        <x:v>Nammo</x:v>
      </x:c>
      <x:c r="B539" s="32" t="str">
        <x:v>Ammunition</x:v>
      </x:c>
      <x:c r="C539" s="32" t="str">
        <x:v>12.7 mm x 99 Plastic Blank Ammunition (.50 Cal)</x:v>
      </x:c>
      <x:c r="D539" s="32" t="str">
        <x:v>• Poongsan portfolio includes fuzes, primers and propellants; dedicated component production lines.</x:v>
      </x:c>
      <x:c r="E539" s="32" t="str">
        <x:v>• Named product from Nammo's 2024 Ammunition Handbook; combat/training/propulsion role depends on product.</x:v>
      </x:c>
      <x:c r="F539" s="38" t="str">
        <x:v>https://www.nammo.com/wp-content/uploads/2020/08/nammo-handbook-2023.pdf
https://www.nammo.com/products/
https://www.nammo.com/products/ammunition/</x:v>
      </x:c>
    </x:row>
    <x:row r="540" ht="210" customHeight="1">
      <x:c r="A540" s="37" t="str">
        <x:v>Nammo</x:v>
      </x:c>
      <x:c r="B540" s="32" t="str">
        <x:v>Ammunition</x:v>
      </x:c>
      <x:c r="C540" s="32" t="str">
        <x:v>12.7 mm x 99 Polymer Cased Ammunition (.50 Cal)</x:v>
      </x:c>
      <x:c r="D540" s="32" t="str">
        <x:v>• Poongsan portfolio includes fuzes, primers and propellants; dedicated component production lines.</x:v>
      </x:c>
      <x:c r="E540" s="32" t="str">
        <x:v>• Named product from Nammo's 2024 Ammunition Handbook; combat/training/propulsion role depends on product.</x:v>
      </x:c>
      <x:c r="F540" s="38" t="str">
        <x:v>https://www.nammo.com/wp-content/uploads/2020/08/nammo-handbook-2023.pdf
https://www.nammo.com/products/
https://www.nammo.com/products/ammunition/</x:v>
      </x:c>
    </x:row>
    <x:row r="541" ht="210" customHeight="1">
      <x:c r="A541" s="37" t="str">
        <x:v>Nammo</x:v>
      </x:c>
      <x:c r="B541" s="32" t="str">
        <x:v>Ammunition</x:v>
      </x:c>
      <x:c r="C541" s="32" t="str">
        <x:v>12.7 mm x 99 PSRTA-T (.50 Cal)</x:v>
      </x:c>
      <x:c r="D541" s="32" t="str">
        <x:v>• Poongsan portfolio includes fuzes, primers and propellants; dedicated component production lines.</x:v>
      </x:c>
      <x:c r="E541" s="32" t="str">
        <x:v>• Named product from Nammo's 2024 Ammunition Handbook; combat/training/propulsion role depends on product.</x:v>
      </x:c>
      <x:c r="F541" s="38" t="str">
        <x:v>https://www.nammo.com/wp-content/uploads/2020/08/nammo-handbook-2023.pdf
https://www.nammo.com/products/
https://www.nammo.com/products/ammunition/</x:v>
      </x:c>
    </x:row>
    <x:row r="542" ht="210" customHeight="1">
      <x:c r="A542" s="37" t="str">
        <x:v>Nammo</x:v>
      </x:c>
      <x:c r="B542" s="32" t="str">
        <x:v>Ammunition</x:v>
      </x:c>
      <x:c r="C542" s="32" t="str">
        <x:v>12.7 mm x 99 RR (.50 Cal)</x:v>
      </x:c>
      <x:c r="D542" s="32" t="str">
        <x:v>• Poongsan portfolio includes fuzes, primers and propellants; dedicated component production lines.</x:v>
      </x:c>
      <x:c r="E542" s="32" t="str">
        <x:v>• Named product from Nammo's 2024 Ammunition Handbook; combat/training/propulsion role depends on product.</x:v>
      </x:c>
      <x:c r="F542" s="38" t="str">
        <x:v>https://www.nammo.com/wp-content/uploads/2020/08/nammo-handbook-2023.pdf
https://www.nammo.com/products/
https://www.nammo.com/products/ammunition/</x:v>
      </x:c>
    </x:row>
    <x:row r="543" ht="210" customHeight="1">
      <x:c r="A543" s="37" t="str">
        <x:v>Nammo</x:v>
      </x:c>
      <x:c r="B543" s="32" t="str">
        <x:v>Ammunition</x:v>
      </x:c>
      <x:c r="C543" s="32" t="str">
        <x:v>12.7 mm x 99 RR-T (.50 Cal)</x:v>
      </x:c>
      <x:c r="D543" s="32" t="str">
        <x:v>• Poongsan portfolio includes fuzes, primers and propellants; dedicated component production lines.</x:v>
      </x:c>
      <x:c r="E543" s="32" t="str">
        <x:v>• Named product from Nammo's 2024 Ammunition Handbook; combat/training/propulsion role depends on product.</x:v>
      </x:c>
      <x:c r="F543" s="38" t="str">
        <x:v>https://www.nammo.com/wp-content/uploads/2020/08/nammo-handbook-2023.pdf
https://www.nammo.com/products/
https://www.nammo.com/products/ammunition/</x:v>
      </x:c>
    </x:row>
    <x:row r="544" ht="210" customHeight="1">
      <x:c r="A544" s="37" t="str">
        <x:v>Nammo</x:v>
      </x:c>
      <x:c r="B544" s="32" t="str">
        <x:v>Ammunition</x:v>
      </x:c>
      <x:c r="C544" s="32" t="str">
        <x:v>12.7 mm x 99 SG Ball (.50 Cal)</x:v>
      </x:c>
      <x:c r="D544" s="32" t="str">
        <x:v>• Poongsan portfolio includes fuzes, primers and propellants; dedicated component production lines.</x:v>
      </x:c>
      <x:c r="E544" s="32" t="str">
        <x:v>• Named product from Nammo's 2024 Ammunition Handbook; combat/training/propulsion role depends on product.</x:v>
      </x:c>
      <x:c r="F544" s="38" t="str">
        <x:v>https://www.nammo.com/wp-content/uploads/2020/08/nammo-handbook-2023.pdf
https://www.nammo.com/products/
https://www.nammo.com/products/ammunition/</x:v>
      </x:c>
    </x:row>
    <x:row r="545" ht="210" customHeight="1">
      <x:c r="A545" s="37" t="str">
        <x:v>Nammo</x:v>
      </x:c>
      <x:c r="B545" s="32" t="str">
        <x:v>Ammunition</x:v>
      </x:c>
      <x:c r="C545" s="32" t="str">
        <x:v>12.7 mm x 99 SG-M (.50 Cal)</x:v>
      </x:c>
      <x:c r="D545" s="32" t="str">
        <x:v>• Poongsan portfolio includes fuzes, primers and propellants; dedicated component production lines.</x:v>
      </x:c>
      <x:c r="E545" s="32" t="str">
        <x:v>• Named product from Nammo's 2024 Ammunition Handbook; combat/training/propulsion role depends on product.</x:v>
      </x:c>
      <x:c r="F545" s="38" t="str">
        <x:v>https://www.nammo.com/wp-content/uploads/2020/08/nammo-handbook-2023.pdf
https://www.nammo.com/products/
https://www.nammo.com/products/ammunition/</x:v>
      </x:c>
    </x:row>
    <x:row r="546" ht="210" customHeight="1">
      <x:c r="A546" s="37" t="str">
        <x:v>Nammo</x:v>
      </x:c>
      <x:c r="B546" s="32" t="str">
        <x:v>Ammunition</x:v>
      </x:c>
      <x:c r="C546" s="32" t="str">
        <x:v>12.7 mm x 99 SG-T Ball Tracer (.50 Cal)</x:v>
      </x:c>
      <x:c r="D546" s="32" t="str">
        <x:v>• Poongsan portfolio includes fuzes, primers and propellants; dedicated component production lines.</x:v>
      </x:c>
      <x:c r="E546" s="32" t="str">
        <x:v>• Named product from Nammo's 2024 Ammunition Handbook; combat/training/propulsion role depends on product.</x:v>
      </x:c>
      <x:c r="F546" s="38" t="str">
        <x:v>https://www.nammo.com/wp-content/uploads/2020/08/nammo-handbook-2023.pdf
https://www.nammo.com/products/
https://www.nammo.com/products/ammunition/</x:v>
      </x:c>
    </x:row>
    <x:row r="547" ht="210" customHeight="1">
      <x:c r="A547" s="37" t="str">
        <x:v>Nammo</x:v>
      </x:c>
      <x:c r="B547" s="32" t="str">
        <x:v>Ammunition</x:v>
      </x:c>
      <x:c r="C547" s="32" t="str">
        <x:v>12.7 mm x 99 Tracer (.50 Cal)</x:v>
      </x:c>
      <x:c r="D547" s="32" t="str">
        <x:v>• Poongsan portfolio includes fuzes, primers and propellants; dedicated component production lines.</x:v>
      </x:c>
      <x:c r="E547" s="32" t="str">
        <x:v>• Named product from Nammo's 2024 Ammunition Handbook; combat/training/propulsion role depends on product.</x:v>
      </x:c>
      <x:c r="F547" s="38" t="str">
        <x:v>https://www.nammo.com/wp-content/uploads/2020/08/nammo-handbook-2023.pdf
https://www.nammo.com/products/
https://www.nammo.com/products/ammunition/</x:v>
      </x:c>
    </x:row>
    <x:row r="548" ht="210" customHeight="1">
      <x:c r="A548" s="37" t="str">
        <x:v>Nammo</x:v>
      </x:c>
      <x:c r="B548" s="32" t="str">
        <x:v>Ammunition</x:v>
      </x:c>
      <x:c r="C548" s="32" t="str">
        <x:v>120 mm IM Canister</x:v>
      </x:c>
      <x:c r="D548" s="32" t="str">
        <x:v>• Poongsan portfolio includes fuzes, primers and propellants; dedicated component production lines.</x:v>
      </x:c>
      <x:c r="E548" s="32" t="str">
        <x:v>• Named product from Nammo's 2024 Ammunition Handbook; combat/training/propulsion role depends on product.</x:v>
      </x:c>
      <x:c r="F548" s="38" t="str">
        <x:v>https://www.nammo.com/wp-content/uploads/2020/08/nammo-handbook-2023.pdf
https://www.nammo.com/products/
https://www.nammo.com/products/ammunition/</x:v>
      </x:c>
    </x:row>
    <x:row r="549" ht="210" customHeight="1">
      <x:c r="A549" s="37" t="str">
        <x:v>Nammo</x:v>
      </x:c>
      <x:c r="B549" s="32" t="str">
        <x:v>Ammunition</x:v>
      </x:c>
      <x:c r="C549" s="32" t="str">
        <x:v>120 mm IM HE-T</x:v>
      </x:c>
      <x:c r="D549" s="32" t="str">
        <x:v>• Poongsan portfolio includes fuzes, primers and propellants; dedicated component production lines.</x:v>
      </x:c>
      <x:c r="E549" s="32" t="str">
        <x:v>• Named product from Nammo's 2024 Ammunition Handbook; combat/training/propulsion role depends on product.</x:v>
      </x:c>
      <x:c r="F549" s="38" t="str">
        <x:v>https://www.nammo.com/wp-content/uploads/2020/08/nammo-handbook-2023.pdf
https://www.nammo.com/products/
https://www.nammo.com/products/ammunition/</x:v>
      </x:c>
    </x:row>
    <x:row r="550" ht="210" customHeight="1">
      <x:c r="A550" s="37" t="str">
        <x:v>Nammo</x:v>
      </x:c>
      <x:c r="B550" s="32" t="str">
        <x:v>Ammunition</x:v>
      </x:c>
      <x:c r="C550" s="32" t="str">
        <x:v>120 mm IM TP-T</x:v>
      </x:c>
      <x:c r="D550" s="32" t="str">
        <x:v>• Poongsan portfolio includes fuzes, primers and propellants; dedicated component production lines.</x:v>
      </x:c>
      <x:c r="E550" s="32" t="str">
        <x:v>• Named product from Nammo's 2024 Ammunition Handbook; combat/training/propulsion role depends on product.</x:v>
      </x:c>
      <x:c r="F550" s="38" t="str">
        <x:v>https://www.nammo.com/wp-content/uploads/2020/08/nammo-handbook-2023.pdf
https://www.nammo.com/products/
https://www.nammo.com/products/ammunition/</x:v>
      </x:c>
    </x:row>
    <x:row r="551" ht="210" customHeight="1">
      <x:c r="A551" s="37" t="str">
        <x:v>Nammo</x:v>
      </x:c>
      <x:c r="B551" s="32" t="str">
        <x:v>Ammunition</x:v>
      </x:c>
      <x:c r="C551" s="32" t="str">
        <x:v>120 mm KE-TP</x:v>
      </x:c>
      <x:c r="D551" s="32" t="str">
        <x:v>• Poongsan portfolio includes fuzes, primers and propellants; dedicated component production lines.</x:v>
      </x:c>
      <x:c r="E551" s="32" t="str">
        <x:v>• Named product from Nammo's 2024 Ammunition Handbook; combat/training/propulsion role depends on product.</x:v>
      </x:c>
      <x:c r="F551" s="38" t="str">
        <x:v>https://www.nammo.com/wp-content/uploads/2020/08/nammo-handbook-2023.pdf
https://www.nammo.com/products/
https://www.nammo.com/products/ammunition/</x:v>
      </x:c>
    </x:row>
    <x:row r="552" ht="210" customHeight="1">
      <x:c r="A552" s="37" t="str">
        <x:v>Nammo</x:v>
      </x:c>
      <x:c r="B552" s="32" t="str">
        <x:v>Ammunition</x:v>
      </x:c>
      <x:c r="C552" s="32" t="str">
        <x:v>120 mm Mortar HE</x:v>
      </x:c>
      <x:c r="D552" s="32" t="str">
        <x:v>• 120 mm; high explosive mortar round.</x:v>
      </x:c>
      <x:c r="E552" s="32" t="str">
        <x:v>• Mortar ammunition family.</x:v>
      </x:c>
      <x:c r="F552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553" ht="210" customHeight="1">
      <x:c r="A553" s="37" t="str">
        <x:v>Nammo</x:v>
      </x:c>
      <x:c r="B553" s="32" t="str">
        <x:v>Ammunition</x:v>
      </x:c>
      <x:c r="C553" s="32" t="str">
        <x:v>120 mm Mortar Illuminating</x:v>
      </x:c>
      <x:c r="D553" s="32" t="str">
        <x:v>• 120 mm; illuminating mortar round.</x:v>
      </x:c>
      <x:c r="E553" s="32" t="str">
        <x:v>• Mortar ammunition family.</x:v>
      </x:c>
      <x:c r="F553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554" ht="210" customHeight="1">
      <x:c r="A554" s="37" t="str">
        <x:v>Nammo</x:v>
      </x:c>
      <x:c r="B554" s="32" t="str">
        <x:v>Ammunition</x:v>
      </x:c>
      <x:c r="C554" s="32" t="str">
        <x:v>120 mm Mortar Illuminating Round</x:v>
      </x:c>
      <x:c r="D554" s="32" t="str">
        <x:v>• Poongsan portfolio includes fuzes, primers and propellants; dedicated component production lines.</x:v>
      </x:c>
      <x:c r="E554" s="32" t="str">
        <x:v>• Named product from Nammo's 2024 Ammunition Handbook; combat/training/propulsion role depends on product.</x:v>
      </x:c>
      <x:c r="F554" s="38" t="str">
        <x:v>https://www.nammo.com/wp-content/uploads/2020/08/nammo-handbook-2023.pdf
https://www.nammo.com/products/
https://www.nammo.com/products/ammunition/</x:v>
      </x:c>
    </x:row>
    <x:row r="555" ht="210" customHeight="1">
      <x:c r="A555" s="37" t="str">
        <x:v>Nammo</x:v>
      </x:c>
      <x:c r="B555" s="32" t="str">
        <x:v>Ammunition</x:v>
      </x:c>
      <x:c r="C555" s="32" t="str">
        <x:v>120 mm Mortar IR-SMK</x:v>
      </x:c>
      <x:c r="D555" s="32" t="str">
        <x:v>• 120 mm; infrared/smoke mortar round.</x:v>
      </x:c>
      <x:c r="E555" s="32" t="str">
        <x:v>• Mortar ammunition family.</x:v>
      </x:c>
      <x:c r="F555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556" ht="210" customHeight="1">
      <x:c r="A556" s="37" t="str">
        <x:v>Nammo</x:v>
      </x:c>
      <x:c r="B556" s="32" t="str">
        <x:v>Ammunition</x:v>
      </x:c>
      <x:c r="C556" s="32" t="str">
        <x:v>155 mm HE</x:v>
      </x:c>
      <x:c r="D556" s="32" t="str">
        <x:v>• Poongsan portfolio includes fuzes, primers and propellants; dedicated component production lines.
• Calibre: 155 mm
• STANAG 2916 fuze compatibility
• Live and inert ballistic-match configurations</x:v>
      </x:c>
      <x:c r="E556" s="32" t="str">
        <x:v>• Named product from Nammo's 2024 Ammunition Handbook; combat/training/propulsion role depends on product.
• General-purpose HE against soft/light-armoured targets</x:v>
      </x:c>
      <x:c r="F556" s="38" t="str">
        <x:v>https://www.nammo.com/wp-content/uploads/2020/08/nammo-handbook-2023.pdf
https://www.nammo.com/products/
https://www.nammo.com/products/ammunition/
https://www.nammo.com/products/ammunition/large-caliber-ammunition/155-mm-series/</x:v>
      </x:c>
    </x:row>
    <x:row r="557" ht="210" customHeight="1">
      <x:c r="A557" s="37" t="str">
        <x:v>Nammo</x:v>
      </x:c>
      <x:c r="B557" s="32" t="str">
        <x:v>Ammunition</x:v>
      </x:c>
      <x:c r="C557" s="32" t="str">
        <x:v>155 mm HE-ER</x:v>
      </x:c>
      <x:c r="D557" s="32" t="str">
        <x:v>• Poongsan portfolio includes fuzes, primers and propellants; dedicated component production lines.</x:v>
      </x:c>
      <x:c r="E557" s="32" t="str">
        <x:v>• Named product from Nammo's 2024 Ammunition Handbook; combat/training/propulsion role depends on product.</x:v>
      </x:c>
      <x:c r="F557" s="38" t="str">
        <x:v>https://www.nammo.com/wp-content/uploads/2020/08/nammo-handbook-2023.pdf
https://www.nammo.com/products/
https://www.nammo.com/products/ammunition/</x:v>
      </x:c>
    </x:row>
    <x:row r="558" ht="210" customHeight="1">
      <x:c r="A558" s="37" t="str">
        <x:v>Nammo</x:v>
      </x:c>
      <x:c r="B558" s="32" t="str">
        <x:v>Ammunition</x:v>
      </x:c>
      <x:c r="C558" s="32" t="str">
        <x:v>155 mm IM HE-ER</x:v>
      </x:c>
      <x:c r="D558" s="32" t="str">
        <x:v>• Poongsan portfolio includes fuzes, primers and propellants; dedicated component production lines.
• Calibre: 155 mm
• Verified range: &gt;40 km from modern L52 JBMoU gun
• Interchangeable base-bleed / hollow-base design</x:v>
      </x:c>
      <x:c r="E558" s="32" t="str">
        <x:v>• Named product from Nammo's 2024 Ammunition Handbook; combat/training/propulsion role depends on product.
• Insensitive-munition HE extended-range projectile
• Low dispersion and enhanced blast/fragmentation</x:v>
      </x:c>
      <x:c r="F558" s="38" t="str">
        <x:v>https://www.nammo.com/wp-content/uploads/2020/08/nammo-handbook-2023.pdf
https://www.nammo.com/products/
https://www.nammo.com/products/ammunition/
https://www.nammo.com/products/ammunition/large-caliber-ammunition/155-mm-series/</x:v>
      </x:c>
    </x:row>
    <x:row r="559" ht="210" customHeight="1">
      <x:c r="A559" s="37" t="str">
        <x:v>Nammo</x:v>
      </x:c>
      <x:c r="B559" s="32" t="str">
        <x:v>Ammunition</x:v>
      </x:c>
      <x:c r="C559" s="32" t="str">
        <x:v>155 mm Ramjet Projectile</x:v>
      </x:c>
      <x:c r="D559" s="32" t="str">
        <x:v>• Calibre: 155 mm
• Ramjet-powered extended-range artillery projectile
• Exact current qualified maximum range is programme/configuration dependent</x:v>
      </x:c>
      <x:c r="E559" s="32" t="str">
        <x:v>• Very-long-range artillery munition</x:v>
      </x:c>
      <x:c r="F559" s="38" t="str">
        <x:v>https://www.nammo.com/products/ammunition/large-caliber-ammunition/155-mm-series/
https://www.nammo.com/products/ammunition/</x:v>
      </x:c>
    </x:row>
    <x:row r="560" ht="210" customHeight="1">
      <x:c r="A560" s="37" t="str">
        <x:v>Nammo</x:v>
      </x:c>
      <x:c r="B560" s="32" t="str">
        <x:v>Ammunition</x:v>
      </x:c>
      <x:c r="C560" s="32" t="str">
        <x:v>155 mm TP-ER</x:v>
      </x:c>
      <x:c r="D560" s="32" t="str">
        <x:v>• Poongsan portfolio includes fuzes, primers and propellants; dedicated component production lines.</x:v>
      </x:c>
      <x:c r="E560" s="32" t="str">
        <x:v>• Named product from Nammo's 2024 Ammunition Handbook; combat/training/propulsion role depends on product.</x:v>
      </x:c>
      <x:c r="F560" s="38" t="str">
        <x:v>https://www.nammo.com/wp-content/uploads/2020/08/nammo-handbook-2023.pdf
https://www.nammo.com/products/
https://www.nammo.com/products/ammunition/</x:v>
      </x:c>
    </x:row>
    <x:row r="561" ht="210" customHeight="1">
      <x:c r="A561" s="37" t="str">
        <x:v>Nammo</x:v>
      </x:c>
      <x:c r="B561" s="32" t="str">
        <x:v>Ammunition</x:v>
      </x:c>
      <x:c r="C561" s="32" t="str">
        <x:v>20 mm x 102 MP LD M70 and MP LD M70 A1</x:v>
      </x:c>
      <x:c r="D561" s="32" t="str">
        <x:v>• Poongsan portfolio includes fuzes, primers and propellants; dedicated component production lines.</x:v>
      </x:c>
      <x:c r="E561" s="32" t="str">
        <x:v>• Named product from Nammo's 2024 Ammunition Handbook; combat/training/propulsion role depends on product.</x:v>
      </x:c>
      <x:c r="F561" s="38" t="str">
        <x:v>https://www.nammo.com/wp-content/uploads/2020/08/nammo-handbook-2023.pdf
https://www.nammo.com/products/
https://www.nammo.com/products/ammunition/</x:v>
      </x:c>
    </x:row>
    <x:row r="562" ht="210" customHeight="1">
      <x:c r="A562" s="37" t="str">
        <x:v>Nammo</x:v>
      </x:c>
      <x:c r="B562" s="32" t="str">
        <x:v>Ammunition</x:v>
      </x:c>
      <x:c r="C562" s="32" t="str">
        <x:v>20 mm x 102 MP M70 A2</x:v>
      </x:c>
      <x:c r="D562" s="32" t="str">
        <x:v>• Poongsan portfolio includes fuzes, primers and propellants; dedicated component production lines.</x:v>
      </x:c>
      <x:c r="E562" s="32" t="str">
        <x:v>• Named product from Nammo's 2024 Ammunition Handbook; combat/training/propulsion role depends on product.</x:v>
      </x:c>
      <x:c r="F562" s="38" t="str">
        <x:v>https://www.nammo.com/wp-content/uploads/2020/08/nammo-handbook-2023.pdf
https://www.nammo.com/products/
https://www.nammo.com/products/ammunition/</x:v>
      </x:c>
    </x:row>
    <x:row r="563" ht="210" customHeight="1">
      <x:c r="A563" s="37" t="str">
        <x:v>Nammo</x:v>
      </x:c>
      <x:c r="B563" s="32" t="str">
        <x:v>Ammunition</x:v>
      </x:c>
      <x:c r="C563" s="32" t="str">
        <x:v>20 mm x 102 TP and TP-T</x:v>
      </x:c>
      <x:c r="D563" s="32" t="str">
        <x:v>• Poongsan portfolio includes fuzes, primers and propellants; dedicated component production lines.</x:v>
      </x:c>
      <x:c r="E563" s="32" t="str">
        <x:v>• Named product from Nammo's 2024 Ammunition Handbook; combat/training/propulsion role depends on product.</x:v>
      </x:c>
      <x:c r="F563" s="38" t="str">
        <x:v>https://www.nammo.com/wp-content/uploads/2020/08/nammo-handbook-2023.pdf
https://www.nammo.com/products/
https://www.nammo.com/products/ammunition/</x:v>
      </x:c>
    </x:row>
    <x:row r="564" ht="210" customHeight="1">
      <x:c r="A564" s="37" t="str">
        <x:v>Nammo</x:v>
      </x:c>
      <x:c r="B564" s="32" t="str">
        <x:v>Ammunition</x:v>
      </x:c>
      <x:c r="C564" s="32" t="str">
        <x:v>20 mm x 102 TP LD M12 and TP-T LD M13</x:v>
      </x:c>
      <x:c r="D564" s="32" t="str">
        <x:v>• Poongsan portfolio includes fuzes, primers and propellants; dedicated component production lines.</x:v>
      </x:c>
      <x:c r="E564" s="32" t="str">
        <x:v>• Named product from Nammo's 2024 Ammunition Handbook; combat/training/propulsion role depends on product.</x:v>
      </x:c>
      <x:c r="F564" s="38" t="str">
        <x:v>https://www.nammo.com/wp-content/uploads/2020/08/nammo-handbook-2023.pdf
https://www.nammo.com/products/
https://www.nammo.com/products/ammunition/</x:v>
      </x:c>
    </x:row>
    <x:row r="565" ht="210" customHeight="1">
      <x:c r="A565" s="37" t="str">
        <x:v>Nammo</x:v>
      </x:c>
      <x:c r="B565" s="32" t="str">
        <x:v>Ammunition</x:v>
      </x:c>
      <x:c r="C565" s="32" t="str">
        <x:v>20 mm x 102 TP-M</x:v>
      </x:c>
      <x:c r="D565" s="32" t="str">
        <x:v>• Poongsan portfolio includes fuzes, primers and propellants; dedicated component production lines.</x:v>
      </x:c>
      <x:c r="E565" s="32" t="str">
        <x:v>• Named product from Nammo's 2024 Ammunition Handbook; combat/training/propulsion role depends on product.</x:v>
      </x:c>
      <x:c r="F565" s="38" t="str">
        <x:v>https://www.nammo.com/wp-content/uploads/2020/08/nammo-handbook-2023.pdf
https://www.nammo.com/products/
https://www.nammo.com/products/ammunition/</x:v>
      </x:c>
    </x:row>
    <x:row r="566" ht="210" customHeight="1">
      <x:c r="A566" s="37" t="str">
        <x:v>Nammo</x:v>
      </x:c>
      <x:c r="B566" s="32" t="str">
        <x:v>Ammunition</x:v>
      </x:c>
      <x:c r="C566" s="32" t="str">
        <x:v>20 mm x 102 TP-RRR LD and TP-RRR LD M2</x:v>
      </x:c>
      <x:c r="D566" s="32" t="str">
        <x:v>• Poongsan portfolio includes fuzes, primers and propellants; dedicated component production lines.</x:v>
      </x:c>
      <x:c r="E566" s="32" t="str">
        <x:v>• Named product from Nammo's 2024 Ammunition Handbook; combat/training/propulsion role depends on product.</x:v>
      </x:c>
      <x:c r="F566" s="38" t="str">
        <x:v>https://www.nammo.com/wp-content/uploads/2020/08/nammo-handbook-2023.pdf
https://www.nammo.com/products/
https://www.nammo.com/products/ammunition/</x:v>
      </x:c>
    </x:row>
    <x:row r="567" ht="210" customHeight="1">
      <x:c r="A567" s="37" t="str">
        <x:v>Nammo</x:v>
      </x:c>
      <x:c r="B567" s="32" t="str">
        <x:v>Ammunition</x:v>
      </x:c>
      <x:c r="C567" s="32" t="str">
        <x:v>20 mm x 128 API-T</x:v>
      </x:c>
      <x:c r="D567" s="32" t="str">
        <x:v>• Poongsan portfolio includes fuzes, primers and propellants; dedicated component production lines.</x:v>
      </x:c>
      <x:c r="E567" s="32" t="str">
        <x:v>• Named product from Nammo's 2024 Ammunition Handbook; combat/training/propulsion role depends on product.</x:v>
      </x:c>
      <x:c r="F567" s="38" t="str">
        <x:v>https://www.nammo.com/wp-content/uploads/2020/08/nammo-handbook-2023.pdf
https://www.nammo.com/products/
https://www.nammo.com/products/ammunition/</x:v>
      </x:c>
    </x:row>
    <x:row r="568" ht="210" customHeight="1">
      <x:c r="A568" s="37" t="str">
        <x:v>Nammo</x:v>
      </x:c>
      <x:c r="B568" s="32" t="str">
        <x:v>Ammunition</x:v>
      </x:c>
      <x:c r="C568" s="32" t="str">
        <x:v>20 mm x 128 HEI/SD and HEI-T/SD</x:v>
      </x:c>
      <x:c r="D568" s="32" t="str">
        <x:v>• Poongsan portfolio includes fuzes, primers and propellants; dedicated component production lines.</x:v>
      </x:c>
      <x:c r="E568" s="32" t="str">
        <x:v>• Named product from Nammo's 2024 Ammunition Handbook; combat/training/propulsion role depends on product.</x:v>
      </x:c>
      <x:c r="F568" s="38" t="str">
        <x:v>https://www.nammo.com/wp-content/uploads/2020/08/nammo-handbook-2023.pdf
https://www.nammo.com/products/
https://www.nammo.com/products/ammunition/</x:v>
      </x:c>
    </x:row>
    <x:row r="569" ht="210" customHeight="1">
      <x:c r="A569" s="37" t="str">
        <x:v>Nammo</x:v>
      </x:c>
      <x:c r="B569" s="32" t="str">
        <x:v>Ammunition</x:v>
      </x:c>
      <x:c r="C569" s="32" t="str">
        <x:v>20 mm x 128 TP and TP-T</x:v>
      </x:c>
      <x:c r="D569" s="32" t="str">
        <x:v>• Poongsan portfolio includes fuzes, primers and propellants; dedicated component production lines.</x:v>
      </x:c>
      <x:c r="E569" s="32" t="str">
        <x:v>• Named product from Nammo's 2024 Ammunition Handbook; combat/training/propulsion role depends on product.</x:v>
      </x:c>
      <x:c r="F569" s="38" t="str">
        <x:v>https://www.nammo.com/wp-content/uploads/2020/08/nammo-handbook-2023.pdf
https://www.nammo.com/products/
https://www.nammo.com/products/ammunition/</x:v>
      </x:c>
    </x:row>
    <x:row r="570" ht="210" customHeight="1">
      <x:c r="A570" s="37" t="str">
        <x:v>Nammo</x:v>
      </x:c>
      <x:c r="B570" s="32" t="str">
        <x:v>Ammunition</x:v>
      </x:c>
      <x:c r="C570" s="32" t="str">
        <x:v>20 mm x 139 MP-T SD</x:v>
      </x:c>
      <x:c r="D570" s="32" t="str">
        <x:v>• Poongsan portfolio includes fuzes, primers and propellants; dedicated component production lines.</x:v>
      </x:c>
      <x:c r="E570" s="32" t="str">
        <x:v>• Named product from Nammo's 2024 Ammunition Handbook; combat/training/propulsion role depends on product.</x:v>
      </x:c>
      <x:c r="F570" s="38" t="str">
        <x:v>https://www.nammo.com/wp-content/uploads/2020/08/nammo-handbook-2023.pdf
https://www.nammo.com/products/
https://www.nammo.com/products/ammunition/</x:v>
      </x:c>
    </x:row>
    <x:row r="571" ht="210" customHeight="1">
      <x:c r="A571" s="37" t="str">
        <x:v>Nammo</x:v>
      </x:c>
      <x:c r="B571" s="32" t="str">
        <x:v>Ammunition</x:v>
      </x:c>
      <x:c r="C571" s="32" t="str">
        <x:v>25 mm x 137 APEX</x:v>
      </x:c>
      <x:c r="D571" s="32" t="str">
        <x:v>• Poongsan portfolio includes fuzes, primers and propellants; dedicated component production lines.
• Calibre: 25×137 mm
• Explosive-filled warhead with delayed initiation and nose penetrator
• Designed for F-35; also usable in M242 Bushmaster-class weapons</x:v>
      </x:c>
      <x:c r="E571" s="32" t="str">
        <x:v>• Named product from Nammo's 2024 Ammunition Handbook; combat/training/propulsion role depends on product.
• Multi-purpose air/ground target ammunition
• Penetration followed by blast/fragment/incendiary effect</x:v>
      </x:c>
      <x:c r="F571" s="38" t="str">
        <x:v>https://www.nammo.com/wp-content/uploads/2020/08/nammo-handbook-2023.pdf
https://www.nammo.com/products/
https://www.nammo.com/products/ammunition/
https://www.nammo.com/products/ammunition/medium-caliber-ammunition/25-mm-series/</x:v>
      </x:c>
    </x:row>
    <x:row r="572" ht="210" customHeight="1">
      <x:c r="A572" s="37" t="str">
        <x:v>Nammo</x:v>
      </x:c>
      <x:c r="B572" s="32" t="str">
        <x:v>Ammunition</x:v>
      </x:c>
      <x:c r="C572" s="32" t="str">
        <x:v>25 mm x 137 HEI and HEI-T</x:v>
      </x:c>
      <x:c r="D572" s="32" t="str">
        <x:v>• Poongsan portfolio includes fuzes, primers and propellants; dedicated component production lines.
• Calibre: 25×137 mm
• Steel-case HE/incendiary ammunition</x:v>
      </x:c>
      <x:c r="E572" s="32" t="str">
        <x:v>• Named product from Nammo's 2024 Ammunition Handbook; combat/training/propulsion role depends on product.
• Anti-personnel / anti-materiel use in Bushmaster and Oerlikon KBA guns</x:v>
      </x:c>
      <x:c r="F572" s="38" t="str">
        <x:v>https://www.nammo.com/wp-content/uploads/2020/08/nammo-handbook-2023.pdf
https://www.nammo.com/products/
https://www.nammo.com/products/ammunition/
https://www.nammo.com/products/ammunition/medium-caliber-ammunition/25-mm-series/</x:v>
      </x:c>
    </x:row>
    <x:row r="573" ht="210" customHeight="1">
      <x:c r="A573" s="37" t="str">
        <x:v>Nammo</x:v>
      </x:c>
      <x:c r="B573" s="32" t="str">
        <x:v>Ammunition</x:v>
      </x:c>
      <x:c r="C573" s="32" t="str">
        <x:v>25 mm x 137 HEI/SD and HEI-T/SD</x:v>
      </x:c>
      <x:c r="D573" s="32" t="str">
        <x:v>• Poongsan portfolio includes fuzes, primers and propellants; dedicated component production lines.</x:v>
      </x:c>
      <x:c r="E573" s="32" t="str">
        <x:v>• Named product from Nammo's 2024 Ammunition Handbook; combat/training/propulsion role depends on product.</x:v>
      </x:c>
      <x:c r="F573" s="38" t="str">
        <x:v>https://www.nammo.com/wp-content/uploads/2020/08/nammo-handbook-2023.pdf
https://www.nammo.com/products/
https://www.nammo.com/products/ammunition/</x:v>
      </x:c>
    </x:row>
    <x:row r="574" ht="210" customHeight="1">
      <x:c r="A574" s="37" t="str">
        <x:v>Nammo</x:v>
      </x:c>
      <x:c r="B574" s="32" t="str">
        <x:v>Ammunition</x:v>
      </x:c>
      <x:c r="C574" s="32" t="str">
        <x:v>25 mm x 137 MP-T SD</x:v>
      </x:c>
      <x:c r="D574" s="32" t="str">
        <x:v>• Poongsan portfolio includes fuzes, primers and propellants; dedicated component production lines.</x:v>
      </x:c>
      <x:c r="E574" s="32" t="str">
        <x:v>• Named product from Nammo's 2024 Ammunition Handbook; combat/training/propulsion role depends on product.</x:v>
      </x:c>
      <x:c r="F574" s="38" t="str">
        <x:v>https://www.nammo.com/wp-content/uploads/2020/08/nammo-handbook-2023.pdf
https://www.nammo.com/products/
https://www.nammo.com/products/ammunition/</x:v>
      </x:c>
    </x:row>
    <x:row r="575" ht="210" customHeight="1">
      <x:c r="A575" s="37" t="str">
        <x:v>Nammo</x:v>
      </x:c>
      <x:c r="B575" s="32" t="str">
        <x:v>Ammunition</x:v>
      </x:c>
      <x:c r="C575" s="32" t="str">
        <x:v>25 mm x 137 Plastic Blank Ammunition</x:v>
      </x:c>
      <x:c r="D575" s="32" t="str">
        <x:v>• Poongsan portfolio includes fuzes, primers and propellants; dedicated component production lines.</x:v>
      </x:c>
      <x:c r="E575" s="32" t="str">
        <x:v>• Named product from Nammo's 2024 Ammunition Handbook; combat/training/propulsion role depends on product.</x:v>
      </x:c>
      <x:c r="F575" s="38" t="str">
        <x:v>https://www.nammo.com/wp-content/uploads/2020/08/nammo-handbook-2023.pdf
https://www.nammo.com/products/
https://www.nammo.com/products/ammunition/</x:v>
      </x:c>
    </x:row>
    <x:row r="576" ht="210" customHeight="1">
      <x:c r="A576" s="37" t="str">
        <x:v>Nammo</x:v>
      </x:c>
      <x:c r="B576" s="32" t="str">
        <x:v>Ammunition</x:v>
      </x:c>
      <x:c r="C576" s="32" t="str">
        <x:v>25 mm x 137 SAPHEI-T</x:v>
      </x:c>
      <x:c r="D576" s="32" t="str">
        <x:v>• Poongsan portfolio includes fuzes, primers and propellants; dedicated component production lines.</x:v>
      </x:c>
      <x:c r="E576" s="32" t="str">
        <x:v>• Named product from Nammo's 2024 Ammunition Handbook; combat/training/propulsion role depends on product.</x:v>
      </x:c>
      <x:c r="F576" s="38" t="str">
        <x:v>https://www.nammo.com/wp-content/uploads/2020/08/nammo-handbook-2023.pdf
https://www.nammo.com/products/
https://www.nammo.com/products/ammunition/</x:v>
      </x:c>
    </x:row>
    <x:row r="577" ht="210" customHeight="1">
      <x:c r="A577" s="37" t="str">
        <x:v>Nammo</x:v>
      </x:c>
      <x:c r="B577" s="32" t="str">
        <x:v>Ammunition</x:v>
      </x:c>
      <x:c r="C577" s="32" t="str">
        <x:v>25 mm x 137 SAPHEI/SD and SAPHEI-T/SD</x:v>
      </x:c>
      <x:c r="D577" s="32" t="str">
        <x:v>• Poongsan portfolio includes fuzes, primers and propellants; dedicated component production lines.</x:v>
      </x:c>
      <x:c r="E577" s="32" t="str">
        <x:v>• Named product from Nammo's 2024 Ammunition Handbook; combat/training/propulsion role depends on product.</x:v>
      </x:c>
      <x:c r="F577" s="38" t="str">
        <x:v>https://www.nammo.com/wp-content/uploads/2020/08/nammo-handbook-2023.pdf
https://www.nammo.com/products/
https://www.nammo.com/products/ammunition/</x:v>
      </x:c>
    </x:row>
    <x:row r="578" ht="210" customHeight="1">
      <x:c r="A578" s="37" t="str">
        <x:v>Nammo</x:v>
      </x:c>
      <x:c r="B578" s="32" t="str">
        <x:v>Ammunition</x:v>
      </x:c>
      <x:c r="C578" s="32" t="str">
        <x:v>25 mm x 137 TP and TP-T</x:v>
      </x:c>
      <x:c r="D578" s="32" t="str">
        <x:v>• Poongsan portfolio includes fuzes, primers and propellants; dedicated component production lines.</x:v>
      </x:c>
      <x:c r="E578" s="32" t="str">
        <x:v>• Named product from Nammo's 2024 Ammunition Handbook; combat/training/propulsion role depends on product.</x:v>
      </x:c>
      <x:c r="F578" s="38" t="str">
        <x:v>https://www.nammo.com/wp-content/uploads/2020/08/nammo-handbook-2023.pdf
https://www.nammo.com/products/
https://www.nammo.com/products/ammunition/</x:v>
      </x:c>
    </x:row>
    <x:row r="579" ht="210" customHeight="1">
      <x:c r="A579" s="37" t="str">
        <x:v>Nammo</x:v>
      </x:c>
      <x:c r="B579" s="32" t="str">
        <x:v>Ammunition</x:v>
      </x:c>
      <x:c r="C579" s="32" t="str">
        <x:v>25 mm x 137 TP-RRR and TP-T RRR</x:v>
      </x:c>
      <x:c r="D579" s="32" t="str">
        <x:v>• Poongsan portfolio includes fuzes, primers and propellants; dedicated component production lines.</x:v>
      </x:c>
      <x:c r="E579" s="32" t="str">
        <x:v>• Named product from Nammo's 2024 Ammunition Handbook; combat/training/propulsion role depends on product.</x:v>
      </x:c>
      <x:c r="F579" s="38" t="str">
        <x:v>https://www.nammo.com/wp-content/uploads/2020/08/nammo-handbook-2023.pdf
https://www.nammo.com/products/
https://www.nammo.com/products/ammunition/</x:v>
      </x:c>
    </x:row>
    <x:row r="580" ht="210" customHeight="1">
      <x:c r="A580" s="37" t="str">
        <x:v>Nammo</x:v>
      </x:c>
      <x:c r="B580" s="32" t="str">
        <x:v>Ammunition</x:v>
      </x:c>
      <x:c r="C580" s="32" t="str">
        <x:v>27 mm x 145 MP</x:v>
      </x:c>
      <x:c r="D580" s="32" t="str">
        <x:v>• Poongsan portfolio includes fuzes, primers and propellants; dedicated component production lines.</x:v>
      </x:c>
      <x:c r="E580" s="32" t="str">
        <x:v>• Named product from Nammo's 2024 Ammunition Handbook; combat/training/propulsion role depends on product.</x:v>
      </x:c>
      <x:c r="F580" s="38" t="str">
        <x:v>https://www.nammo.com/wp-content/uploads/2020/08/nammo-handbook-2023.pdf
https://www.nammo.com/products/
https://www.nammo.com/products/ammunition/</x:v>
      </x:c>
    </x:row>
    <x:row r="581" ht="210" customHeight="1">
      <x:c r="A581" s="37" t="str">
        <x:v>Nammo</x:v>
      </x:c>
      <x:c r="B581" s="32" t="str">
        <x:v>Ammunition</x:v>
      </x:c>
      <x:c r="C581" s="32" t="str">
        <x:v>27 mm x 145 TP-RRR</x:v>
      </x:c>
      <x:c r="D581" s="32" t="str">
        <x:v>• Poongsan portfolio includes fuzes, primers and propellants; dedicated component production lines.</x:v>
      </x:c>
      <x:c r="E581" s="32" t="str">
        <x:v>• Named product from Nammo's 2024 Ammunition Handbook; combat/training/propulsion role depends on product.</x:v>
      </x:c>
      <x:c r="F581" s="38" t="str">
        <x:v>https://www.nammo.com/wp-content/uploads/2020/08/nammo-handbook-2023.pdf
https://www.nammo.com/products/
https://www.nammo.com/products/ammunition/</x:v>
      </x:c>
    </x:row>
    <x:row r="582" ht="210" customHeight="1">
      <x:c r="A582" s="37" t="str">
        <x:v>Nammo</x:v>
      </x:c>
      <x:c r="B582" s="32" t="str">
        <x:v>Ammunition</x:v>
      </x:c>
      <x:c r="C582" s="32" t="str">
        <x:v>30 mm x 113 TP and TP-T</x:v>
      </x:c>
      <x:c r="D582" s="32" t="str">
        <x:v>• Poongsan portfolio includes fuzes, primers and propellants; dedicated component production lines.</x:v>
      </x:c>
      <x:c r="E582" s="32" t="str">
        <x:v>• Named product from Nammo's 2024 Ammunition Handbook; combat/training/propulsion role depends on product.</x:v>
      </x:c>
      <x:c r="F582" s="38" t="str">
        <x:v>https://www.nammo.com/wp-content/uploads/2020/08/nammo-handbook-2023.pdf
https://www.nammo.com/products/
https://www.nammo.com/products/ammunition/</x:v>
      </x:c>
    </x:row>
    <x:row r="583" ht="210" customHeight="1">
      <x:c r="A583" s="37" t="str">
        <x:v>Nammo</x:v>
      </x:c>
      <x:c r="B583" s="32" t="str">
        <x:v>Ammunition</x:v>
      </x:c>
      <x:c r="C583" s="32" t="str">
        <x:v>30 mm x 173 APFSDS-T</x:v>
      </x:c>
      <x:c r="D583" s="32" t="str">
        <x:v>• Poongsan portfolio includes fuzes, primers and propellants; dedicated component production lines.
• Calibre: 30×173 mm
• Armour-piercing fin-stabilised discarding-sabot tracer</x:v>
      </x:c>
      <x:c r="E583" s="32" t="str">
        <x:v>• Named product from Nammo's 2024 Ammunition Handbook; combat/training/propulsion role depends on product.
• Anti-armour ammunition for modern IFV cannon</x:v>
      </x:c>
      <x:c r="F583" s="38" t="str">
        <x:v>https://www.nammo.com/wp-content/uploads/2020/08/nammo-handbook-2023.pdf
https://www.nammo.com/products/
https://www.nammo.com/products/ammunition/
https://www.nammo.com/products/ammunition/medium-caliber-ammunition/30-mm-series/</x:v>
      </x:c>
    </x:row>
    <x:row r="584" ht="210" customHeight="1">
      <x:c r="A584" s="37" t="str">
        <x:v>Nammo</x:v>
      </x:c>
      <x:c r="B584" s="32" t="str">
        <x:v>Ammunition</x:v>
      </x:c>
      <x:c r="C584" s="32" t="str">
        <x:v>30 mm x 173 HEI and HEI-T</x:v>
      </x:c>
      <x:c r="D584" s="32" t="str">
        <x:v>• Poongsan portfolio includes fuzes, primers and propellants; dedicated component production lines.
• Calibre: 30×173 mm
• For Bushmaster II / Mauser MK30-class guns</x:v>
      </x:c>
      <x:c r="E584" s="32" t="str">
        <x:v>• Named product from Nammo's 2024 Ammunition Handbook; combat/training/propulsion role depends on product.
• Anti-materiel and anti-personnel HE/incendiary ammunition</x:v>
      </x:c>
      <x:c r="F584" s="38" t="str">
        <x:v>https://www.nammo.com/wp-content/uploads/2020/08/nammo-handbook-2023.pdf
https://www.nammo.com/products/
https://www.nammo.com/products/ammunition/
https://www.nammo.com/products/ammunition/medium-caliber-ammunition/30-mm-series/</x:v>
      </x:c>
    </x:row>
    <x:row r="585" ht="210" customHeight="1">
      <x:c r="A585" s="37" t="str">
        <x:v>Nammo</x:v>
      </x:c>
      <x:c r="B585" s="32" t="str">
        <x:v>Ammunition</x:v>
      </x:c>
      <x:c r="C585" s="32" t="str">
        <x:v>30 mm x 173 HEI/SD and HEI-T/SD</x:v>
      </x:c>
      <x:c r="D585" s="32" t="str">
        <x:v>• Poongsan portfolio includes fuzes, primers and propellants; dedicated component production lines.</x:v>
      </x:c>
      <x:c r="E585" s="32" t="str">
        <x:v>• Named product from Nammo's 2024 Ammunition Handbook; combat/training/propulsion role depends on product.</x:v>
      </x:c>
      <x:c r="F585" s="38" t="str">
        <x:v>https://www.nammo.com/wp-content/uploads/2020/08/nammo-handbook-2023.pdf
https://www.nammo.com/products/
https://www.nammo.com/products/ammunition/</x:v>
      </x:c>
    </x:row>
    <x:row r="586" ht="210" customHeight="1">
      <x:c r="A586" s="37" t="str">
        <x:v>Nammo</x:v>
      </x:c>
      <x:c r="B586" s="32" t="str">
        <x:v>Ammunition</x:v>
      </x:c>
      <x:c r="C586" s="32" t="str">
        <x:v>30 mm x 173 MP-T/SD</x:v>
      </x:c>
      <x:c r="D586" s="32" t="str">
        <x:v>• Poongsan portfolio includes fuzes, primers and propellants; dedicated component production lines.</x:v>
      </x:c>
      <x:c r="E586" s="32" t="str">
        <x:v>• Named product from Nammo's 2024 Ammunition Handbook; combat/training/propulsion role depends on product.</x:v>
      </x:c>
      <x:c r="F586" s="38" t="str">
        <x:v>https://www.nammo.com/wp-content/uploads/2020/08/nammo-handbook-2023.pdf
https://www.nammo.com/products/
https://www.nammo.com/products/ammunition/</x:v>
      </x:c>
    </x:row>
    <x:row r="587" ht="210" customHeight="1">
      <x:c r="A587" s="37" t="str">
        <x:v>Nammo</x:v>
      </x:c>
      <x:c r="B587" s="32" t="str">
        <x:v>Ammunition</x:v>
      </x:c>
      <x:c r="C587" s="32" t="str">
        <x:v>30 mm x 173 Plastic Blank Ammunition</x:v>
      </x:c>
      <x:c r="D587" s="32" t="str">
        <x:v>• Poongsan portfolio includes fuzes, primers and propellants; dedicated component production lines.</x:v>
      </x:c>
      <x:c r="E587" s="32" t="str">
        <x:v>• Named product from Nammo's 2024 Ammunition Handbook; combat/training/propulsion role depends on product.</x:v>
      </x:c>
      <x:c r="F587" s="38" t="str">
        <x:v>https://www.nammo.com/wp-content/uploads/2020/08/nammo-handbook-2023.pdf
https://www.nammo.com/products/
https://www.nammo.com/products/ammunition/</x:v>
      </x:c>
    </x:row>
    <x:row r="588" ht="210" customHeight="1">
      <x:c r="A588" s="37" t="str">
        <x:v>Nammo</x:v>
      </x:c>
      <x:c r="B588" s="32" t="str">
        <x:v>Ammunition</x:v>
      </x:c>
      <x:c r="C588" s="32" t="str">
        <x:v>30 mm x 173 PSRTA-T</x:v>
      </x:c>
      <x:c r="D588" s="32" t="str">
        <x:v>• Poongsan portfolio includes fuzes, primers and propellants; dedicated component production lines.</x:v>
      </x:c>
      <x:c r="E588" s="32" t="str">
        <x:v>• Named product from Nammo's 2024 Ammunition Handbook; combat/training/propulsion role depends on product.</x:v>
      </x:c>
      <x:c r="F588" s="38" t="str">
        <x:v>https://www.nammo.com/wp-content/uploads/2020/08/nammo-handbook-2023.pdf
https://www.nammo.com/products/
https://www.nammo.com/products/ammunition/</x:v>
      </x:c>
    </x:row>
    <x:row r="589" ht="210" customHeight="1">
      <x:c r="A589" s="37" t="str">
        <x:v>Nammo</x:v>
      </x:c>
      <x:c r="B589" s="32" t="str">
        <x:v>Ammunition</x:v>
      </x:c>
      <x:c r="C589" s="32" t="str">
        <x:v>30 mm x 173 SAPHEI/SD and SAPHEI-T/SD</x:v>
      </x:c>
      <x:c r="D589" s="32" t="str">
        <x:v>• Poongsan portfolio includes fuzes, primers and propellants; dedicated component production lines.</x:v>
      </x:c>
      <x:c r="E589" s="32" t="str">
        <x:v>• Named product from Nammo's 2024 Ammunition Handbook; combat/training/propulsion role depends on product.</x:v>
      </x:c>
      <x:c r="F589" s="38" t="str">
        <x:v>https://www.nammo.com/wp-content/uploads/2020/08/nammo-handbook-2023.pdf
https://www.nammo.com/products/
https://www.nammo.com/products/ammunition/</x:v>
      </x:c>
    </x:row>
    <x:row r="590" ht="210" customHeight="1">
      <x:c r="A590" s="37" t="str">
        <x:v>Nammo</x:v>
      </x:c>
      <x:c r="B590" s="32" t="str">
        <x:v>Ammunition</x:v>
      </x:c>
      <x:c r="C590" s="32" t="str">
        <x:v>30 mm x 173 TP-T</x:v>
      </x:c>
      <x:c r="D590" s="32" t="str">
        <x:v>• Poongsan portfolio includes fuzes, primers and propellants; dedicated component production lines.</x:v>
      </x:c>
      <x:c r="E590" s="32" t="str">
        <x:v>• Named product from Nammo's 2024 Ammunition Handbook; combat/training/propulsion role depends on product.</x:v>
      </x:c>
      <x:c r="F590" s="38" t="str">
        <x:v>https://www.nammo.com/wp-content/uploads/2020/08/nammo-handbook-2023.pdf
https://www.nammo.com/products/
https://www.nammo.com/products/ammunition/</x:v>
      </x:c>
    </x:row>
    <x:row r="591" ht="210" customHeight="1">
      <x:c r="A591" s="37" t="str">
        <x:v>Nammo</x:v>
      </x:c>
      <x:c r="B591" s="32" t="str">
        <x:v>Ammunition</x:v>
      </x:c>
      <x:c r="C591" s="32" t="str">
        <x:v>30 mm x 173 TPDS-T and APDS-T</x:v>
      </x:c>
      <x:c r="D591" s="32" t="str">
        <x:v>• Poongsan portfolio includes fuzes, primers and propellants; dedicated component production lines.</x:v>
      </x:c>
      <x:c r="E591" s="32" t="str">
        <x:v>• Named product from Nammo's 2024 Ammunition Handbook; combat/training/propulsion role depends on product.</x:v>
      </x:c>
      <x:c r="F591" s="38" t="str">
        <x:v>https://www.nammo.com/wp-content/uploads/2020/08/nammo-handbook-2023.pdf
https://www.nammo.com/products/
https://www.nammo.com/products/ammunition/</x:v>
      </x:c>
    </x:row>
    <x:row r="592" ht="210" customHeight="1">
      <x:c r="A592" s="37" t="str">
        <x:v>Nammo</x:v>
      </x:c>
      <x:c r="B592" s="32" t="str">
        <x:v>Ammunition</x:v>
      </x:c>
      <x:c r="C592" s="32" t="str">
        <x:v>30 mm × 173 APFSDS-T Swimmer</x:v>
      </x:c>
      <x:c r="D592" s="32" t="str">
        <x:v>• Calibre: 30×173 mm
• Specialised 'Swimmer' APFSDS-T variant</x:v>
      </x:c>
      <x:c r="E592" s="32" t="str">
        <x:v>• Underwater / littoral target-penetration special-purpose round</x:v>
      </x:c>
      <x:c r="F592" s="38" t="str">
        <x:v>https://www.nammo.com/products/ammunition/medium-caliber-ammunition/30-mm-series/</x:v>
      </x:c>
    </x:row>
    <x:row r="593" ht="210" customHeight="1">
      <x:c r="A593" s="37" t="str">
        <x:v>Nammo</x:v>
      </x:c>
      <x:c r="B593" s="32" t="str">
        <x:v>Ammunition</x:v>
      </x:c>
      <x:c r="C593" s="32" t="str">
        <x:v>35 mm x 228 HEI/SD and HEI-T/SD</x:v>
      </x:c>
      <x:c r="D593" s="32" t="str">
        <x:v>• Poongsan portfolio includes fuzes, primers and propellants; dedicated component production lines.
• Calibre: 35×228 mm
• For Oerlikon and Bushmaster III class weapons</x:v>
      </x:c>
      <x:c r="E593" s="32" t="str">
        <x:v>• Named product from Nammo's 2024 Ammunition Handbook; combat/training/propulsion role depends on product.
• HE/incendiary anti-materiel / anti-personnel ammunition</x:v>
      </x:c>
      <x:c r="F593" s="38" t="str">
        <x:v>https://www.nammo.com/wp-content/uploads/2020/08/nammo-handbook-2023.pdf
https://www.nammo.com/products/
https://www.nammo.com/products/ammunition/
https://www.nammo.com/products/ammunition/medium-caliber-ammunition/35-mm-series/</x:v>
      </x:c>
    </x:row>
    <x:row r="594" ht="210" customHeight="1">
      <x:c r="A594" s="37" t="str">
        <x:v>Nammo</x:v>
      </x:c>
      <x:c r="B594" s="32" t="str">
        <x:v>Ammunition</x:v>
      </x:c>
      <x:c r="C594" s="32" t="str">
        <x:v>35 mm x 228 SAPHEI/SD</x:v>
      </x:c>
      <x:c r="D594" s="32" t="str">
        <x:v>• Poongsan portfolio includes fuzes, primers and propellants; dedicated component production lines.
• Calibre: 35×228 mm
• Semi-armour-piercing HE incendiary ammunition</x:v>
      </x:c>
      <x:c r="E594" s="32" t="str">
        <x:v>• Named product from Nammo's 2024 Ammunition Handbook; combat/training/propulsion role depends on product.
• Against light armour and materiel</x:v>
      </x:c>
      <x:c r="F594" s="38" t="str">
        <x:v>https://www.nammo.com/wp-content/uploads/2020/08/nammo-handbook-2023.pdf
https://www.nammo.com/products/
https://www.nammo.com/products/ammunition/
https://www.nammo.com/products/ammunition/medium-caliber-ammunition/35-mm-series/</x:v>
      </x:c>
    </x:row>
    <x:row r="595" ht="210" customHeight="1">
      <x:c r="A595" s="37" t="str">
        <x:v>Nammo</x:v>
      </x:c>
      <x:c r="B595" s="32" t="str">
        <x:v>Ammunition</x:v>
      </x:c>
      <x:c r="C595" s="32" t="str">
        <x:v>35 mm x 228 TP and TP-T</x:v>
      </x:c>
      <x:c r="D595" s="32" t="str">
        <x:v>• Poongsan portfolio includes fuzes, primers and propellants; dedicated component production lines.</x:v>
      </x:c>
      <x:c r="E595" s="32" t="str">
        <x:v>• Named product from Nammo's 2024 Ammunition Handbook; combat/training/propulsion role depends on product.</x:v>
      </x:c>
      <x:c r="F595" s="38" t="str">
        <x:v>https://www.nammo.com/wp-content/uploads/2020/08/nammo-handbook-2023.pdf
https://www.nammo.com/products/
https://www.nammo.com/products/ammunition/</x:v>
      </x:c>
    </x:row>
    <x:row r="596" ht="210" customHeight="1">
      <x:c r="A596" s="37" t="str">
        <x:v>Nammo</x:v>
      </x:c>
      <x:c r="B596" s="32" t="str">
        <x:v>Ammunition</x:v>
      </x:c>
      <x:c r="C596" s="32" t="str">
        <x:v>4.6 mm x 30 Plastic Blank Ammunition</x:v>
      </x:c>
      <x:c r="D596" s="32" t="str">
        <x:v>• Poongsan portfolio includes fuzes, primers and propellants; dedicated component production lines.</x:v>
      </x:c>
      <x:c r="E596" s="32" t="str">
        <x:v>• Named product from Nammo's 2024 Ammunition Handbook; combat/training/propulsion role depends on product.</x:v>
      </x:c>
      <x:c r="F596" s="38" t="str">
        <x:v>https://www.nammo.com/wp-content/uploads/2020/08/nammo-handbook-2023.pdf
https://www.nammo.com/products/
https://www.nammo.com/products/ammunition/</x:v>
      </x:c>
    </x:row>
    <x:row r="597" ht="210" customHeight="1">
      <x:c r="A597" s="37" t="str">
        <x:v>Nammo</x:v>
      </x:c>
      <x:c r="B597" s="32" t="str">
        <x:v>Ammunition</x:v>
      </x:c>
      <x:c r="C597" s="32" t="str">
        <x:v>4.6 mm x 30 PSRTA</x:v>
      </x:c>
      <x:c r="D597" s="32" t="str">
        <x:v>• Poongsan portfolio includes fuzes, primers and propellants; dedicated component production lines.</x:v>
      </x:c>
      <x:c r="E597" s="32" t="str">
        <x:v>• Named product from Nammo's 2024 Ammunition Handbook; combat/training/propulsion role depends on product.</x:v>
      </x:c>
      <x:c r="F597" s="38" t="str">
        <x:v>https://www.nammo.com/wp-content/uploads/2020/08/nammo-handbook-2023.pdf
https://www.nammo.com/products/
https://www.nammo.com/products/ammunition/</x:v>
      </x:c>
    </x:row>
    <x:row r="598" ht="210" customHeight="1">
      <x:c r="A598" s="37" t="str">
        <x:v>Nammo</x:v>
      </x:c>
      <x:c r="B598" s="32" t="str">
        <x:v>Ammunition</x:v>
      </x:c>
      <x:c r="C598" s="32" t="str">
        <x:v>40 mm L/70 HE-T</x:v>
      </x:c>
      <x:c r="D598" s="32" t="str">
        <x:v>• Poongsan portfolio includes fuzes, primers and propellants; dedicated component production lines.
• Calibre: 40 mm L/70
• High-explosive tracer ammunition for Bofors gun systems</x:v>
      </x:c>
      <x:c r="E598" s="32" t="str">
        <x:v>• Named product from Nammo's 2024 Ammunition Handbook; combat/training/propulsion role depends on product.
• Anti-air / anti-surface tactical ammunition</x:v>
      </x:c>
      <x:c r="F598" s="38" t="str">
        <x:v>https://www.nammo.com/wp-content/uploads/2020/08/nammo-handbook-2023.pdf
https://www.nammo.com/products/
https://www.nammo.com/products/ammunition/
https://www.nammo.com/products/ammunition/medium-caliber-ammunition/40-mm-products/</x:v>
      </x:c>
    </x:row>
    <x:row r="599" ht="210" customHeight="1">
      <x:c r="A599" s="37" t="str">
        <x:v>Nammo</x:v>
      </x:c>
      <x:c r="B599" s="32" t="str">
        <x:v>Ammunition</x:v>
      </x:c>
      <x:c r="C599" s="32" t="str">
        <x:v>40 mm L/70 TP-T</x:v>
      </x:c>
      <x:c r="D599" s="32" t="str">
        <x:v>• Poongsan portfolio includes fuzes, primers and propellants; dedicated component production lines.</x:v>
      </x:c>
      <x:c r="E599" s="32" t="str">
        <x:v>• Named product from Nammo's 2024 Ammunition Handbook; combat/training/propulsion role depends on product.</x:v>
      </x:c>
      <x:c r="F599" s="38" t="str">
        <x:v>https://www.nammo.com/wp-content/uploads/2020/08/nammo-handbook-2023.pdf
https://www.nammo.com/products/
https://www.nammo.com/products/ammunition/</x:v>
      </x:c>
    </x:row>
    <x:row r="600" ht="210" customHeight="1">
      <x:c r="A600" s="37" t="str">
        <x:v>Nammo</x:v>
      </x:c>
      <x:c r="B600" s="32" t="str">
        <x:v>Ammunition</x:v>
      </x:c>
      <x:c r="C600" s="32" t="str">
        <x:v>40 mm L60 Salute Plastic Blank Ammunition</x:v>
      </x:c>
      <x:c r="D600" s="32" t="str">
        <x:v>• Poongsan portfolio includes fuzes, primers and propellants; dedicated component production lines.</x:v>
      </x:c>
      <x:c r="E600" s="32" t="str">
        <x:v>• Named product from Nammo's 2024 Ammunition Handbook; combat/training/propulsion role depends on product.</x:v>
      </x:c>
      <x:c r="F600" s="38" t="str">
        <x:v>https://www.nammo.com/wp-content/uploads/2020/08/nammo-handbook-2023.pdf
https://www.nammo.com/products/
https://www.nammo.com/products/ammunition/</x:v>
      </x:c>
    </x:row>
    <x:row r="601" ht="210" customHeight="1">
      <x:c r="A601" s="37" t="str">
        <x:v>Nammo</x:v>
      </x:c>
      <x:c r="B601" s="32" t="str">
        <x:v>Ammunition</x:v>
      </x:c>
      <x:c r="C601" s="32" t="str">
        <x:v>40 mm x 53 HE and HE/SD</x:v>
      </x:c>
      <x:c r="D601" s="32" t="str">
        <x:v>• Poongsan portfolio includes fuzes, primers and propellants; dedicated component production lines.</x:v>
      </x:c>
      <x:c r="E601" s="32" t="str">
        <x:v>• Named product from Nammo's 2024 Ammunition Handbook; combat/training/propulsion role depends on product.</x:v>
      </x:c>
      <x:c r="F601" s="38" t="str">
        <x:v>https://www.nammo.com/wp-content/uploads/2020/08/nammo-handbook-2023.pdf
https://www.nammo.com/products/
https://www.nammo.com/products/ammunition/</x:v>
      </x:c>
    </x:row>
    <x:row r="602" ht="210" customHeight="1">
      <x:c r="A602" s="37" t="str">
        <x:v>Nammo</x:v>
      </x:c>
      <x:c r="B602" s="32" t="str">
        <x:v>Ammunition</x:v>
      </x:c>
      <x:c r="C602" s="32" t="str">
        <x:v>40 mm x 53 HEDP and HEDP-SD</x:v>
      </x:c>
      <x:c r="D602" s="32" t="str">
        <x:v>• Poongsan portfolio includes fuzes, primers and propellants; dedicated component production lines.
• Calibre: 40×53 mm
• High-velocity AGL ammunition
• Point-detonating or self-destruct fuze variants</x:v>
      </x:c>
      <x:c r="E602" s="32" t="str">
        <x:v>• Named product from Nammo's 2024 Ammunition Handbook; combat/training/propulsion role depends on product.
• Dual-purpose against light armour, materiel and infantry</x:v>
      </x:c>
      <x:c r="F602" s="38" t="str">
        <x:v>https://www.nammo.com/wp-content/uploads/2020/08/nammo-handbook-2023.pdf
https://www.nammo.com/products/
https://www.nammo.com/products/ammunition/
https://www.nammo.com/products/ammunition/medium-caliber-ammunition/40-mm-products/</x:v>
      </x:c>
    </x:row>
    <x:row r="603" ht="210" customHeight="1">
      <x:c r="A603" s="37" t="str">
        <x:v>Nammo</x:v>
      </x:c>
      <x:c r="B603" s="32" t="str">
        <x:v>Ammunition</x:v>
      </x:c>
      <x:c r="C603" s="32" t="str">
        <x:v>40 mm x 53 HEDP-AB</x:v>
      </x:c>
      <x:c r="D603" s="32" t="str">
        <x:v>• Poongsan portfolio includes fuzes, primers and propellants; dedicated component production lines.
• Calibre: 40×53 mm
• Designed for Mk47 system
• Airburst HEDP projectile</x:v>
      </x:c>
      <x:c r="E603" s="32" t="str">
        <x:v>• Named product from Nammo's 2024 Ammunition Handbook; combat/training/propulsion role depends on product.
• Airburst, fragmentation, penetration, blast and incendiary effects</x:v>
      </x:c>
      <x:c r="F603" s="38" t="str">
        <x:v>https://www.nammo.com/wp-content/uploads/2020/08/nammo-handbook-2023.pdf
https://www.nammo.com/products/
https://www.nammo.com/products/ammunition/
https://www.nammo.com/products/ammunition/medium-caliber-ammunition/40-mm-products/</x:v>
      </x:c>
    </x:row>
    <x:row r="604" ht="210" customHeight="1">
      <x:c r="A604" s="37" t="str">
        <x:v>Nammo</x:v>
      </x:c>
      <x:c r="B604" s="32" t="str">
        <x:v>Ammunition</x:v>
      </x:c>
      <x:c r="C604" s="32" t="str">
        <x:v>40 mm x 53 HEDP-RF</x:v>
      </x:c>
      <x:c r="D604" s="32" t="str">
        <x:v>• Poongsan portfolio includes fuzes, primers and propellants; dedicated component production lines.</x:v>
      </x:c>
      <x:c r="E604" s="32" t="str">
        <x:v>• Named product from Nammo's 2024 Ammunition Handbook; combat/training/propulsion role depends on product.</x:v>
      </x:c>
      <x:c r="F604" s="38" t="str">
        <x:v>https://www.nammo.com/wp-content/uploads/2020/08/nammo-handbook-2023.pdf
https://www.nammo.com/products/
https://www.nammo.com/products/ammunition/</x:v>
      </x:c>
    </x:row>
    <x:row r="605" ht="210" customHeight="1">
      <x:c r="A605" s="37" t="str">
        <x:v>Nammo</x:v>
      </x:c>
      <x:c r="B605" s="32" t="str">
        <x:v>Ammunition</x:v>
      </x:c>
      <x:c r="C605" s="32" t="str">
        <x:v>40 mm x 53 TP and TP-T</x:v>
      </x:c>
      <x:c r="D605" s="32" t="str">
        <x:v>• Poongsan portfolio includes fuzes, primers and propellants; dedicated component production lines.</x:v>
      </x:c>
      <x:c r="E605" s="32" t="str">
        <x:v>• Named product from Nammo's 2024 Ammunition Handbook; combat/training/propulsion role depends on product.</x:v>
      </x:c>
      <x:c r="F605" s="38" t="str">
        <x:v>https://www.nammo.com/wp-content/uploads/2020/08/nammo-handbook-2023.pdf
https://www.nammo.com/products/
https://www.nammo.com/products/ammunition/</x:v>
      </x:c>
    </x:row>
    <x:row r="606" ht="210" customHeight="1">
      <x:c r="A606" s="37" t="str">
        <x:v>Nammo</x:v>
      </x:c>
      <x:c r="B606" s="32" t="str">
        <x:v>Ammunition</x:v>
      </x:c>
      <x:c r="C606" s="32" t="str">
        <x:v>40 mm x 53 TPM-T</x:v>
      </x:c>
      <x:c r="D606" s="32" t="str">
        <x:v>• Poongsan portfolio includes fuzes, primers and propellants; dedicated component production lines.</x:v>
      </x:c>
      <x:c r="E606" s="32" t="str">
        <x:v>• Named product from Nammo's 2024 Ammunition Handbook; combat/training/propulsion role depends on product.</x:v>
      </x:c>
      <x:c r="F606" s="38" t="str">
        <x:v>https://www.nammo.com/wp-content/uploads/2020/08/nammo-handbook-2023.pdf
https://www.nammo.com/products/
https://www.nammo.com/products/ammunition/</x:v>
      </x:c>
    </x:row>
    <x:row r="607" ht="210" customHeight="1">
      <x:c r="A607" s="37" t="str">
        <x:v>Nammo</x:v>
      </x:c>
      <x:c r="B607" s="32" t="str">
        <x:v>Ammunition</x:v>
      </x:c>
      <x:c r="C607" s="32" t="str">
        <x:v>5.56 mm x 45 AP 3 M995</x:v>
      </x:c>
      <x:c r="D607" s="32" t="str">
        <x:v>• Poongsan portfolio includes fuzes, primers and propellants; dedicated component production lines.</x:v>
      </x:c>
      <x:c r="E607" s="32" t="str">
        <x:v>• Named product from Nammo's 2024 Ammunition Handbook; combat/training/propulsion role depends on product.</x:v>
      </x:c>
      <x:c r="F607" s="38" t="str">
        <x:v>https://www.nammo.com/wp-content/uploads/2020/08/nammo-handbook-2023.pdf
https://www.nammo.com/products/
https://www.nammo.com/products/ammunition/</x:v>
      </x:c>
    </x:row>
    <x:row r="608" ht="210" customHeight="1">
      <x:c r="A608" s="37" t="str">
        <x:v>Nammo</x:v>
      </x:c>
      <x:c r="B608" s="32" t="str">
        <x:v>Ammunition</x:v>
      </x:c>
      <x:c r="C608" s="32" t="str">
        <x:v>5.56 mm x 45 AP 45</x:v>
      </x:c>
      <x:c r="D608" s="32" t="str">
        <x:v>• Poongsan portfolio includes fuzes, primers and propellants; dedicated component production lines.</x:v>
      </x:c>
      <x:c r="E608" s="32" t="str">
        <x:v>• Named product from Nammo's 2024 Ammunition Handbook; combat/training/propulsion role depends on product.</x:v>
      </x:c>
      <x:c r="F608" s="38" t="str">
        <x:v>https://www.nammo.com/wp-content/uploads/2020/08/nammo-handbook-2023.pdf
https://www.nammo.com/products/
https://www.nammo.com/products/ammunition/</x:v>
      </x:c>
    </x:row>
    <x:row r="609" ht="210" customHeight="1">
      <x:c r="A609" s="37" t="str">
        <x:v>Nammo</x:v>
      </x:c>
      <x:c r="B609" s="32" t="str">
        <x:v>Ammunition</x:v>
      </x:c>
      <x:c r="C609" s="32" t="str">
        <x:v>5.56 mm x 45 Ball Non Toxic 4 HP Mk2</x:v>
      </x:c>
      <x:c r="D609" s="32" t="str">
        <x:v>• Poongsan portfolio includes fuzes, primers and propellants; dedicated component production lines.</x:v>
      </x:c>
      <x:c r="E609" s="32" t="str">
        <x:v>• Named product from Nammo's 2024 Ammunition Handbook; combat/training/propulsion role depends on product.</x:v>
      </x:c>
      <x:c r="F609" s="38" t="str">
        <x:v>https://www.nammo.com/wp-content/uploads/2020/08/nammo-handbook-2023.pdf
https://www.nammo.com/products/
https://www.nammo.com/products/ammunition/</x:v>
      </x:c>
    </x:row>
    <x:row r="610" ht="210" customHeight="1">
      <x:c r="A610" s="37" t="str">
        <x:v>Nammo</x:v>
      </x:c>
      <x:c r="B610" s="32" t="str">
        <x:v>Ammunition</x:v>
      </x:c>
      <x:c r="C610" s="32" t="str">
        <x:v>5.56 mm x 45 DIM Tracer (IR) Mk301 Mod 0</x:v>
      </x:c>
      <x:c r="D610" s="32" t="str">
        <x:v>• Poongsan portfolio includes fuzes, primers and propellants; dedicated component production lines.</x:v>
      </x:c>
      <x:c r="E610" s="32" t="str">
        <x:v>• Named product from Nammo's 2024 Ammunition Handbook; combat/training/propulsion role depends on product.</x:v>
      </x:c>
      <x:c r="F610" s="38" t="str">
        <x:v>https://www.nammo.com/wp-content/uploads/2020/08/nammo-handbook-2023.pdf
https://www.nammo.com/products/
https://www.nammo.com/products/ammunition/</x:v>
      </x:c>
    </x:row>
    <x:row r="611" ht="210" customHeight="1">
      <x:c r="A611" s="37" t="str">
        <x:v>Nammo</x:v>
      </x:c>
      <x:c r="B611" s="32" t="str">
        <x:v>Ammunition</x:v>
      </x:c>
      <x:c r="C611" s="32" t="str">
        <x:v>5.56 mm x 45 Frangible Non Toxic 4 Semi-Jacketed</x:v>
      </x:c>
      <x:c r="D611" s="32" t="str">
        <x:v>• Poongsan portfolio includes fuzes, primers and propellants; dedicated component production lines.</x:v>
      </x:c>
      <x:c r="E611" s="32" t="str">
        <x:v>• Named product from Nammo's 2024 Ammunition Handbook; combat/training/propulsion role depends on product.</x:v>
      </x:c>
      <x:c r="F611" s="38" t="str">
        <x:v>https://www.nammo.com/wp-content/uploads/2020/08/nammo-handbook-2023.pdf
https://www.nammo.com/products/
https://www.nammo.com/products/ammunition/</x:v>
      </x:c>
    </x:row>
    <x:row r="612" ht="210" customHeight="1">
      <x:c r="A612" s="37" t="str">
        <x:v>Nammo</x:v>
      </x:c>
      <x:c r="B612" s="32" t="str">
        <x:v>Ammunition</x:v>
      </x:c>
      <x:c r="C612" s="32" t="str">
        <x:v>5.56 mm x 45 NATO Ball M855</x:v>
      </x:c>
      <x:c r="D612" s="32" t="str">
        <x:v>• Poongsan portfolio includes fuzes, primers and propellants; dedicated component production lines.</x:v>
      </x:c>
      <x:c r="E612" s="32" t="str">
        <x:v>• Named product from Nammo's 2024 Ammunition Handbook; combat/training/propulsion role depends on product.</x:v>
      </x:c>
      <x:c r="F612" s="38" t="str">
        <x:v>https://www.nammo.com/wp-content/uploads/2020/08/nammo-handbook-2023.pdf
https://www.nammo.com/products/
https://www.nammo.com/products/ammunition/</x:v>
      </x:c>
    </x:row>
    <x:row r="613" ht="210" customHeight="1">
      <x:c r="A613" s="37" t="str">
        <x:v>Nammo</x:v>
      </x:c>
      <x:c r="B613" s="32" t="str">
        <x:v>Ammunition</x:v>
      </x:c>
      <x:c r="C613" s="32" t="str">
        <x:v>5.56 mm x 45 NATO Tracer</x:v>
      </x:c>
      <x:c r="D613" s="32" t="str">
        <x:v>• Poongsan portfolio includes fuzes, primers and propellants; dedicated component production lines.</x:v>
      </x:c>
      <x:c r="E613" s="32" t="str">
        <x:v>• Named product from Nammo's 2024 Ammunition Handbook; combat/training/propulsion role depends on product.</x:v>
      </x:c>
      <x:c r="F613" s="38" t="str">
        <x:v>https://www.nammo.com/wp-content/uploads/2020/08/nammo-handbook-2023.pdf
https://www.nammo.com/products/
https://www.nammo.com/products/ammunition/</x:v>
      </x:c>
    </x:row>
    <x:row r="614" ht="210" customHeight="1">
      <x:c r="A614" s="37" t="str">
        <x:v>Nammo</x:v>
      </x:c>
      <x:c r="B614" s="32" t="str">
        <x:v>Ammunition</x:v>
      </x:c>
      <x:c r="C614" s="32" t="str">
        <x:v>5.56 mm x 45 Plastic Blank Ammunition</x:v>
      </x:c>
      <x:c r="D614" s="32" t="str">
        <x:v>• Poongsan portfolio includes fuzes, primers and propellants; dedicated component production lines.</x:v>
      </x:c>
      <x:c r="E614" s="32" t="str">
        <x:v>• Named product from Nammo's 2024 Ammunition Handbook; combat/training/propulsion role depends on product.</x:v>
      </x:c>
      <x:c r="F614" s="38" t="str">
        <x:v>https://www.nammo.com/wp-content/uploads/2020/08/nammo-handbook-2023.pdf
https://www.nammo.com/products/
https://www.nammo.com/products/ammunition/</x:v>
      </x:c>
    </x:row>
    <x:row r="615" ht="210" customHeight="1">
      <x:c r="A615" s="37" t="str">
        <x:v>Nammo</x:v>
      </x:c>
      <x:c r="B615" s="32" t="str">
        <x:v>Ammunition</x:v>
      </x:c>
      <x:c r="C615" s="32" t="str">
        <x:v>5.56 mm x 45 PSRTA</x:v>
      </x:c>
      <x:c r="D615" s="32" t="str">
        <x:v>• Poongsan portfolio includes fuzes, primers and propellants; dedicated component production lines.</x:v>
      </x:c>
      <x:c r="E615" s="32" t="str">
        <x:v>• Named product from Nammo's 2024 Ammunition Handbook; combat/training/propulsion role depends on product.</x:v>
      </x:c>
      <x:c r="F615" s="38" t="str">
        <x:v>https://www.nammo.com/wp-content/uploads/2020/08/nammo-handbook-2023.pdf
https://www.nammo.com/products/
https://www.nammo.com/products/ammunition/</x:v>
      </x:c>
    </x:row>
    <x:row r="616" ht="210" customHeight="1">
      <x:c r="A616" s="37" t="str">
        <x:v>Nammo</x:v>
      </x:c>
      <x:c r="B616" s="32" t="str">
        <x:v>Ammunition</x:v>
      </x:c>
      <x:c r="C616" s="32" t="str">
        <x:v>5.56 mm x 45 Tracer Non Toxic 4</x:v>
      </x:c>
      <x:c r="D616" s="32" t="str">
        <x:v>• Poongsan portfolio includes fuzes, primers and propellants; dedicated component production lines.</x:v>
      </x:c>
      <x:c r="E616" s="32" t="str">
        <x:v>• Named product from Nammo's 2024 Ammunition Handbook; combat/training/propulsion role depends on product.</x:v>
      </x:c>
      <x:c r="F616" s="38" t="str">
        <x:v>https://www.nammo.com/wp-content/uploads/2020/08/nammo-handbook-2023.pdf
https://www.nammo.com/products/
https://www.nammo.com/products/ammunition/</x:v>
      </x:c>
    </x:row>
    <x:row r="617" ht="210" customHeight="1">
      <x:c r="A617" s="37" t="str">
        <x:v>Nammo</x:v>
      </x:c>
      <x:c r="B617" s="32" t="str">
        <x:v>Ammunition</x:v>
      </x:c>
      <x:c r="C617" s="32" t="str">
        <x:v>57 mm L/70 HE</x:v>
      </x:c>
      <x:c r="D617" s="32" t="str">
        <x:v>• Poongsan portfolio includes fuzes, primers and propellants; dedicated component production lines.
• Calibre: 57 mm L/70
• For Bofors 57 mm naval gun system</x:v>
      </x:c>
      <x:c r="E617" s="32" t="str">
        <x:v>• Named product from Nammo's 2024 Ammunition Handbook; combat/training/propulsion role depends on product.
• Tactical high-explosive naval-gun ammunition
• Nammo identifies itself as original OEM for conventional 57 mm L/70 ammunition</x:v>
      </x:c>
      <x:c r="F617" s="38" t="str">
        <x:v>https://www.nammo.com/wp-content/uploads/2020/08/nammo-handbook-2023.pdf
https://www.nammo.com/products/
https://www.nammo.com/products/ammunition/
https://www.nammo.com/products/ammunition/medium-caliber-ammunition/57-mm-series/</x:v>
      </x:c>
    </x:row>
    <x:row r="618" ht="210" customHeight="1">
      <x:c r="A618" s="37" t="str">
        <x:v>Nammo</x:v>
      </x:c>
      <x:c r="B618" s="32" t="str">
        <x:v>Ammunition</x:v>
      </x:c>
      <x:c r="C618" s="32" t="str">
        <x:v>57 mm L/70 TP</x:v>
      </x:c>
      <x:c r="D618" s="32" t="str">
        <x:v>• Poongsan portfolio includes fuzes, primers and propellants; dedicated component production lines.
• Calibre: 57 mm L/70
• Training round ballistically matched for Bofors 57 mm systems</x:v>
      </x:c>
      <x:c r="E618" s="32" t="str">
        <x:v>• Named product from Nammo's 2024 Ammunition Handbook; combat/training/propulsion role depends on product.
• Target-practice naval ammunition</x:v>
      </x:c>
      <x:c r="F618" s="38" t="str">
        <x:v>https://www.nammo.com/wp-content/uploads/2020/08/nammo-handbook-2023.pdf
https://www.nammo.com/products/
https://www.nammo.com/products/ammunition/
https://www.nammo.com/products/ammunition/medium-caliber-ammunition/57-mm-series/</x:v>
      </x:c>
    </x:row>
    <x:row r="619" ht="210" customHeight="1">
      <x:c r="A619" s="37" t="str">
        <x:v>Nammo</x:v>
      </x:c>
      <x:c r="B619" s="32" t="str">
        <x:v>Ammunition</x:v>
      </x:c>
      <x:c r="C619" s="32" t="str">
        <x:v>57 mm Salute Plastic Blank Ammunition</x:v>
      </x:c>
      <x:c r="D619" s="32" t="str">
        <x:v>• Poongsan portfolio includes fuzes, primers and propellants; dedicated component production lines.</x:v>
      </x:c>
      <x:c r="E619" s="32" t="str">
        <x:v>• Named product from Nammo's 2024 Ammunition Handbook; combat/training/propulsion role depends on product.</x:v>
      </x:c>
      <x:c r="F619" s="38" t="str">
        <x:v>https://www.nammo.com/wp-content/uploads/2020/08/nammo-handbook-2023.pdf
https://www.nammo.com/products/
https://www.nammo.com/products/ammunition/</x:v>
      </x:c>
    </x:row>
    <x:row r="620" ht="210" customHeight="1">
      <x:c r="A620" s="37" t="str">
        <x:v>Nammo</x:v>
      </x:c>
      <x:c r="B620" s="32" t="str">
        <x:v>Ammunition</x:v>
      </x:c>
      <x:c r="C620" s="32" t="str">
        <x:v>60 mm, 81 mm and 120 mm Mortar Practice Ammunition</x:v>
      </x:c>
      <x:c r="D620" s="32" t="str">
        <x:v>• Poongsan portfolio includes fuzes, primers and propellants; dedicated component production lines.</x:v>
      </x:c>
      <x:c r="E620" s="32" t="str">
        <x:v>• Named product from Nammo's 2024 Ammunition Handbook; combat/training/propulsion role depends on product.</x:v>
      </x:c>
      <x:c r="F620" s="38" t="str">
        <x:v>https://www.nammo.com/wp-content/uploads/2020/08/nammo-handbook-2023.pdf
https://www.nammo.com/products/
https://www.nammo.com/products/ammunition/</x:v>
      </x:c>
    </x:row>
    <x:row r="621" ht="210" customHeight="1">
      <x:c r="A621" s="37" t="str">
        <x:v>Nammo</x:v>
      </x:c>
      <x:c r="B621" s="32" t="str">
        <x:v>Ammunition</x:v>
      </x:c>
      <x:c r="C621" s="32" t="str">
        <x:v>7.62 mm x 35 (300 BLK) Ball Subsonic Special Purpose</x:v>
      </x:c>
      <x:c r="D621" s="32" t="str">
        <x:v>• Poongsan portfolio includes fuzes, primers and propellants; dedicated component production lines.</x:v>
      </x:c>
      <x:c r="E621" s="32" t="str">
        <x:v>• Named product from Nammo's 2024 Ammunition Handbook; combat/training/propulsion role depends on product.</x:v>
      </x:c>
      <x:c r="F621" s="38" t="str">
        <x:v>https://www.nammo.com/wp-content/uploads/2020/08/nammo-handbook-2023.pdf
https://www.nammo.com/products/
https://www.nammo.com/products/ammunition/</x:v>
      </x:c>
    </x:row>
    <x:row r="622" ht="210" customHeight="1">
      <x:c r="A622" s="37" t="str">
        <x:v>Nammo</x:v>
      </x:c>
      <x:c r="B622" s="32" t="str">
        <x:v>Ammunition</x:v>
      </x:c>
      <x:c r="C622" s="32" t="str">
        <x:v>7.62 mm x 35 (300 BLK) Frangible Open Tip</x:v>
      </x:c>
      <x:c r="D622" s="32" t="str">
        <x:v>• Poongsan portfolio includes fuzes, primers and propellants; dedicated component production lines.</x:v>
      </x:c>
      <x:c r="E622" s="32" t="str">
        <x:v>• Named product from Nammo's 2024 Ammunition Handbook; combat/training/propulsion role depends on product.</x:v>
      </x:c>
      <x:c r="F622" s="38" t="str">
        <x:v>https://www.nammo.com/wp-content/uploads/2020/08/nammo-handbook-2023.pdf
https://www.nammo.com/products/
https://www.nammo.com/products/ammunition/</x:v>
      </x:c>
    </x:row>
    <x:row r="623" ht="210" customHeight="1">
      <x:c r="A623" s="37" t="str">
        <x:v>Nammo</x:v>
      </x:c>
      <x:c r="B623" s="32" t="str">
        <x:v>Ammunition</x:v>
      </x:c>
      <x:c r="C623" s="32" t="str">
        <x:v>7.62 mm x 51 .308 Winchester AP</x:v>
      </x:c>
      <x:c r="D623" s="32" t="str">
        <x:v>• Poongsan portfolio includes fuzes, primers and propellants; dedicated component production lines.</x:v>
      </x:c>
      <x:c r="E623" s="32" t="str">
        <x:v>• Named product from Nammo's 2024 Ammunition Handbook; combat/training/propulsion role depends on product.</x:v>
      </x:c>
      <x:c r="F623" s="38" t="str">
        <x:v>https://www.nammo.com/wp-content/uploads/2020/08/nammo-handbook-2023.pdf
https://www.nammo.com/products/
https://www.nammo.com/products/ammunition/</x:v>
      </x:c>
    </x:row>
    <x:row r="624" ht="210" customHeight="1">
      <x:c r="A624" s="37" t="str">
        <x:v>Nammo</x:v>
      </x:c>
      <x:c r="B624" s="32" t="str">
        <x:v>Ammunition</x:v>
      </x:c>
      <x:c r="C624" s="32" t="str">
        <x:v>7.62 mm x 51 .308 Winchester D46</x:v>
      </x:c>
      <x:c r="D624" s="32" t="str">
        <x:v>• Poongsan portfolio includes fuzes, primers and propellants; dedicated component production lines.</x:v>
      </x:c>
      <x:c r="E624" s="32" t="str">
        <x:v>• Named product from Nammo's 2024 Ammunition Handbook; combat/training/propulsion role depends on product.</x:v>
      </x:c>
      <x:c r="F624" s="38" t="str">
        <x:v>https://www.nammo.com/wp-content/uploads/2020/08/nammo-handbook-2023.pdf
https://www.nammo.com/products/
https://www.nammo.com/products/ammunition/</x:v>
      </x:c>
    </x:row>
    <x:row r="625" ht="210" customHeight="1">
      <x:c r="A625" s="37" t="str">
        <x:v>Nammo</x:v>
      </x:c>
      <x:c r="B625" s="32" t="str">
        <x:v>Ammunition</x:v>
      </x:c>
      <x:c r="C625" s="32" t="str">
        <x:v>7.62 mm x 51 .308 Winchester Lock Base</x:v>
      </x:c>
      <x:c r="D625" s="32" t="str">
        <x:v>• Poongsan portfolio includes fuzes, primers and propellants; dedicated component production lines.</x:v>
      </x:c>
      <x:c r="E625" s="32" t="str">
        <x:v>• Named product from Nammo's 2024 Ammunition Handbook; combat/training/propulsion role depends on product.</x:v>
      </x:c>
      <x:c r="F625" s="38" t="str">
        <x:v>https://www.nammo.com/wp-content/uploads/2020/08/nammo-handbook-2023.pdf
https://www.nammo.com/products/
https://www.nammo.com/products/ammunition/</x:v>
      </x:c>
    </x:row>
    <x:row r="626" ht="210" customHeight="1">
      <x:c r="A626" s="37" t="str">
        <x:v>Nammo</x:v>
      </x:c>
      <x:c r="B626" s="32" t="str">
        <x:v>Ammunition</x:v>
      </x:c>
      <x:c r="C626" s="32" t="str">
        <x:v>7.62 mm x 51 .308 Winchester Scenar</x:v>
      </x:c>
      <x:c r="D626" s="32" t="str">
        <x:v>• Poongsan portfolio includes fuzes, primers and propellants; dedicated component production lines.</x:v>
      </x:c>
      <x:c r="E626" s="32" t="str">
        <x:v>• Named product from Nammo's 2024 Ammunition Handbook; combat/training/propulsion role depends on product.</x:v>
      </x:c>
      <x:c r="F626" s="38" t="str">
        <x:v>https://www.nammo.com/wp-content/uploads/2020/08/nammo-handbook-2023.pdf
https://www.nammo.com/products/
https://www.nammo.com/products/ammunition/</x:v>
      </x:c>
    </x:row>
    <x:row r="627" ht="210" customHeight="1">
      <x:c r="A627" s="37" t="str">
        <x:v>Nammo</x:v>
      </x:c>
      <x:c r="B627" s="32" t="str">
        <x:v>Ammunition</x:v>
      </x:c>
      <x:c r="C627" s="32" t="str">
        <x:v>7.62 mm x 51 .308 Winchester Semi-Auto</x:v>
      </x:c>
      <x:c r="D627" s="32" t="str">
        <x:v>• Poongsan portfolio includes fuzes, primers and propellants; dedicated component production lines.</x:v>
      </x:c>
      <x:c r="E627" s="32" t="str">
        <x:v>• Named product from Nammo's 2024 Ammunition Handbook; combat/training/propulsion role depends on product.</x:v>
      </x:c>
      <x:c r="F627" s="38" t="str">
        <x:v>https://www.nammo.com/wp-content/uploads/2020/08/nammo-handbook-2023.pdf
https://www.nammo.com/products/
https://www.nammo.com/products/ammunition/</x:v>
      </x:c>
    </x:row>
    <x:row r="628" ht="210" customHeight="1">
      <x:c r="A628" s="37" t="str">
        <x:v>Nammo</x:v>
      </x:c>
      <x:c r="B628" s="32" t="str">
        <x:v>Ammunition</x:v>
      </x:c>
      <x:c r="C628" s="32" t="str">
        <x:v>7.62 mm x 51 .308 Winchester Subsonic</x:v>
      </x:c>
      <x:c r="D628" s="32" t="str">
        <x:v>• Poongsan portfolio includes fuzes, primers and propellants; dedicated component production lines.</x:v>
      </x:c>
      <x:c r="E628" s="32" t="str">
        <x:v>• Named product from Nammo's 2024 Ammunition Handbook; combat/training/propulsion role depends on product.</x:v>
      </x:c>
      <x:c r="F628" s="38" t="str">
        <x:v>https://www.nammo.com/wp-content/uploads/2020/08/nammo-handbook-2023.pdf
https://www.nammo.com/products/
https://www.nammo.com/products/ammunition/</x:v>
      </x:c>
    </x:row>
    <x:row r="629" ht="210" customHeight="1">
      <x:c r="A629" s="37" t="str">
        <x:v>Nammo</x:v>
      </x:c>
      <x:c r="B629" s="32" t="str">
        <x:v>Ammunition</x:v>
      </x:c>
      <x:c r="C629" s="32" t="str">
        <x:v>7.62 mm x 51 AP 10</x:v>
      </x:c>
      <x:c r="D629" s="32" t="str">
        <x:v>• Poongsan portfolio includes fuzes, primers and propellants; dedicated component production lines.</x:v>
      </x:c>
      <x:c r="E629" s="32" t="str">
        <x:v>• Named product from Nammo's 2024 Ammunition Handbook; combat/training/propulsion role depends on product.</x:v>
      </x:c>
      <x:c r="F629" s="38" t="str">
        <x:v>https://www.nammo.com/wp-content/uploads/2020/08/nammo-handbook-2023.pdf
https://www.nammo.com/products/
https://www.nammo.com/products/ammunition/</x:v>
      </x:c>
    </x:row>
    <x:row r="630" ht="210" customHeight="1">
      <x:c r="A630" s="37" t="str">
        <x:v>Nammo</x:v>
      </x:c>
      <x:c r="B630" s="32" t="str">
        <x:v>Ammunition</x:v>
      </x:c>
      <x:c r="C630" s="32" t="str">
        <x:v>7.62 mm x 51 AP 8</x:v>
      </x:c>
      <x:c r="D630" s="32" t="str">
        <x:v>• Poongsan portfolio includes fuzes, primers and propellants; dedicated component production lines.</x:v>
      </x:c>
      <x:c r="E630" s="32" t="str">
        <x:v>• Named product from Nammo's 2024 Ammunition Handbook; combat/training/propulsion role depends on product.</x:v>
      </x:c>
      <x:c r="F630" s="38" t="str">
        <x:v>https://www.nammo.com/wp-content/uploads/2020/08/nammo-handbook-2023.pdf
https://www.nammo.com/products/
https://www.nammo.com/products/ammunition/</x:v>
      </x:c>
    </x:row>
    <x:row r="631" ht="210" customHeight="1">
      <x:c r="A631" s="37" t="str">
        <x:v>Nammo</x:v>
      </x:c>
      <x:c r="B631" s="32" t="str">
        <x:v>Ammunition</x:v>
      </x:c>
      <x:c r="C631" s="32" t="str">
        <x:v>7.62 mm x 51 Ball 11 Long Range</x:v>
      </x:c>
      <x:c r="D631" s="32" t="str">
        <x:v>• Poongsan portfolio includes fuzes, primers and propellants; dedicated component production lines.</x:v>
      </x:c>
      <x:c r="E631" s="32" t="str">
        <x:v>• Named product from Nammo's 2024 Ammunition Handbook; combat/training/propulsion role depends on product.</x:v>
      </x:c>
      <x:c r="F631" s="38" t="str">
        <x:v>https://www.nammo.com/wp-content/uploads/2020/08/nammo-handbook-2023.pdf
https://www.nammo.com/products/
https://www.nammo.com/products/ammunition/</x:v>
      </x:c>
    </x:row>
    <x:row r="632" ht="210" customHeight="1">
      <x:c r="A632" s="37" t="str">
        <x:v>Nammo</x:v>
      </x:c>
      <x:c r="B632" s="32" t="str">
        <x:v>Ammunition</x:v>
      </x:c>
      <x:c r="C632" s="32" t="str">
        <x:v>7.62 mm x 51 Ball Non Toxic 6 RR</x:v>
      </x:c>
      <x:c r="D632" s="32" t="str">
        <x:v>• Poongsan portfolio includes fuzes, primers and propellants; dedicated component production lines.</x:v>
      </x:c>
      <x:c r="E632" s="32" t="str">
        <x:v>• Named product from Nammo's 2024 Ammunition Handbook; combat/training/propulsion role depends on product.</x:v>
      </x:c>
      <x:c r="F632" s="38" t="str">
        <x:v>https://www.nammo.com/wp-content/uploads/2020/08/nammo-handbook-2023.pdf
https://www.nammo.com/products/
https://www.nammo.com/products/ammunition/</x:v>
      </x:c>
    </x:row>
    <x:row r="633" ht="210" customHeight="1">
      <x:c r="A633" s="37" t="str">
        <x:v>Nammo</x:v>
      </x:c>
      <x:c r="B633" s="32" t="str">
        <x:v>Ammunition</x:v>
      </x:c>
      <x:c r="C633" s="32" t="str">
        <x:v>7.62 mm x 51 Ball Non Toxic 9 HP</x:v>
      </x:c>
      <x:c r="D633" s="32" t="str">
        <x:v>• Poongsan portfolio includes fuzes, primers and propellants; dedicated component production lines.</x:v>
      </x:c>
      <x:c r="E633" s="32" t="str">
        <x:v>• Named product from Nammo's 2024 Ammunition Handbook; combat/training/propulsion role depends on product.</x:v>
      </x:c>
      <x:c r="F633" s="38" t="str">
        <x:v>https://www.nammo.com/wp-content/uploads/2020/08/nammo-handbook-2023.pdf
https://www.nammo.com/products/
https://www.nammo.com/products/ammunition/</x:v>
      </x:c>
    </x:row>
    <x:row r="634" ht="210" customHeight="1">
      <x:c r="A634" s="37" t="str">
        <x:v>Nammo</x:v>
      </x:c>
      <x:c r="B634" s="32" t="str">
        <x:v>Ammunition</x:v>
      </x:c>
      <x:c r="C634" s="32" t="str">
        <x:v>7.62 mm x 51 DIM Tracer (IR) 9</x:v>
      </x:c>
      <x:c r="D634" s="32" t="str">
        <x:v>• Poongsan portfolio includes fuzes, primers and propellants; dedicated component production lines.</x:v>
      </x:c>
      <x:c r="E634" s="32" t="str">
        <x:v>• Named product from Nammo's 2024 Ammunition Handbook; combat/training/propulsion role depends on product.</x:v>
      </x:c>
      <x:c r="F634" s="38" t="str">
        <x:v>https://www.nammo.com/wp-content/uploads/2020/08/nammo-handbook-2023.pdf
https://www.nammo.com/products/
https://www.nammo.com/products/ammunition/</x:v>
      </x:c>
    </x:row>
    <x:row r="635" ht="210" customHeight="1">
      <x:c r="A635" s="37" t="str">
        <x:v>Nammo</x:v>
      </x:c>
      <x:c r="B635" s="32" t="str">
        <x:v>Ammunition</x:v>
      </x:c>
      <x:c r="C635" s="32" t="str">
        <x:v>7.62 mm x 51 Frangible Non Toxic 9 Open Tip</x:v>
      </x:c>
      <x:c r="D635" s="32" t="str">
        <x:v>• Poongsan portfolio includes fuzes, primers and propellants; dedicated component production lines.</x:v>
      </x:c>
      <x:c r="E635" s="32" t="str">
        <x:v>• Named product from Nammo's 2024 Ammunition Handbook; combat/training/propulsion role depends on product.</x:v>
      </x:c>
      <x:c r="F635" s="38" t="str">
        <x:v>https://www.nammo.com/wp-content/uploads/2020/08/nammo-handbook-2023.pdf
https://www.nammo.com/products/
https://www.nammo.com/products/ammunition/</x:v>
      </x:c>
    </x:row>
    <x:row r="636" ht="210" customHeight="1">
      <x:c r="A636" s="37" t="str">
        <x:v>Nammo</x:v>
      </x:c>
      <x:c r="B636" s="32" t="str">
        <x:v>Ammunition</x:v>
      </x:c>
      <x:c r="C636" s="32" t="str">
        <x:v>7.62 mm x 51 NATO Ball</x:v>
      </x:c>
      <x:c r="D636" s="32" t="str">
        <x:v>• Poongsan portfolio includes fuzes, primers and propellants; dedicated component production lines.</x:v>
      </x:c>
      <x:c r="E636" s="32" t="str">
        <x:v>• Named product from Nammo's 2024 Ammunition Handbook; combat/training/propulsion role depends on product.</x:v>
      </x:c>
      <x:c r="F636" s="38" t="str">
        <x:v>https://www.nammo.com/wp-content/uploads/2020/08/nammo-handbook-2023.pdf
https://www.nammo.com/products/
https://www.nammo.com/products/ammunition/</x:v>
      </x:c>
    </x:row>
    <x:row r="637" ht="210" customHeight="1">
      <x:c r="A637" s="37" t="str">
        <x:v>Nammo</x:v>
      </x:c>
      <x:c r="B637" s="32" t="str">
        <x:v>Ammunition</x:v>
      </x:c>
      <x:c r="C637" s="32" t="str">
        <x:v>7.62 mm x 51 NATO Tracer</x:v>
      </x:c>
      <x:c r="D637" s="32" t="str">
        <x:v>• Poongsan portfolio includes fuzes, primers and propellants; dedicated component production lines.</x:v>
      </x:c>
      <x:c r="E637" s="32" t="str">
        <x:v>• Named product from Nammo's 2024 Ammunition Handbook; combat/training/propulsion role depends on product.</x:v>
      </x:c>
      <x:c r="F637" s="38" t="str">
        <x:v>https://www.nammo.com/wp-content/uploads/2020/08/nammo-handbook-2023.pdf
https://www.nammo.com/products/
https://www.nammo.com/products/ammunition/</x:v>
      </x:c>
    </x:row>
    <x:row r="638" ht="210" customHeight="1">
      <x:c r="A638" s="37" t="str">
        <x:v>Nammo</x:v>
      </x:c>
      <x:c r="B638" s="32" t="str">
        <x:v>Ammunition</x:v>
      </x:c>
      <x:c r="C638" s="32" t="str">
        <x:v>7.62 mm x 51 Plastic Blank Ammunition</x:v>
      </x:c>
      <x:c r="D638" s="32" t="str">
        <x:v>• Poongsan portfolio includes fuzes, primers and propellants; dedicated component production lines.</x:v>
      </x:c>
      <x:c r="E638" s="32" t="str">
        <x:v>• Named product from Nammo's 2024 Ammunition Handbook; combat/training/propulsion role depends on product.</x:v>
      </x:c>
      <x:c r="F638" s="38" t="str">
        <x:v>https://www.nammo.com/wp-content/uploads/2020/08/nammo-handbook-2023.pdf
https://www.nammo.com/products/
https://www.nammo.com/products/ammunition/</x:v>
      </x:c>
    </x:row>
    <x:row r="639" ht="210" customHeight="1">
      <x:c r="A639" s="37" t="str">
        <x:v>Nammo</x:v>
      </x:c>
      <x:c r="B639" s="32" t="str">
        <x:v>Ammunition</x:v>
      </x:c>
      <x:c r="C639" s="32" t="str">
        <x:v>7.62 mm x 51 PSRTA</x:v>
      </x:c>
      <x:c r="D639" s="32" t="str">
        <x:v>• Poongsan portfolio includes fuzes, primers and propellants; dedicated component production lines.</x:v>
      </x:c>
      <x:c r="E639" s="32" t="str">
        <x:v>• Named product from Nammo's 2024 Ammunition Handbook; combat/training/propulsion role depends on product.</x:v>
      </x:c>
      <x:c r="F639" s="38" t="str">
        <x:v>https://www.nammo.com/wp-content/uploads/2020/08/nammo-handbook-2023.pdf
https://www.nammo.com/products/
https://www.nammo.com/products/ammunition/</x:v>
      </x:c>
    </x:row>
    <x:row r="640" ht="210" customHeight="1">
      <x:c r="A640" s="37" t="str">
        <x:v>Nammo</x:v>
      </x:c>
      <x:c r="B640" s="32" t="str">
        <x:v>Ammunition</x:v>
      </x:c>
      <x:c r="C640" s="32" t="str">
        <x:v>7.62 mm x 51 Tracer Non Toxic 6 RR</x:v>
      </x:c>
      <x:c r="D640" s="32" t="str">
        <x:v>• Poongsan portfolio includes fuzes, primers and propellants; dedicated component production lines.</x:v>
      </x:c>
      <x:c r="E640" s="32" t="str">
        <x:v>• Named product from Nammo's 2024 Ammunition Handbook; combat/training/propulsion role depends on product.</x:v>
      </x:c>
      <x:c r="F640" s="38" t="str">
        <x:v>https://www.nammo.com/wp-content/uploads/2020/08/nammo-handbook-2023.pdf
https://www.nammo.com/products/
https://www.nammo.com/products/ammunition/</x:v>
      </x:c>
    </x:row>
    <x:row r="641" ht="210" customHeight="1">
      <x:c r="A641" s="37" t="str">
        <x:v>Nammo</x:v>
      </x:c>
      <x:c r="B641" s="32" t="str">
        <x:v>Ammunition</x:v>
      </x:c>
      <x:c r="C641" s="32" t="str">
        <x:v>7.62 mm x 51 Tracer Non Toxic 9</x:v>
      </x:c>
      <x:c r="D641" s="32" t="str">
        <x:v>• Poongsan portfolio includes fuzes, primers and propellants; dedicated component production lines.</x:v>
      </x:c>
      <x:c r="E641" s="32" t="str">
        <x:v>• Named product from Nammo's 2024 Ammunition Handbook; combat/training/propulsion role depends on product.</x:v>
      </x:c>
      <x:c r="F641" s="38" t="str">
        <x:v>https://www.nammo.com/wp-content/uploads/2020/08/nammo-handbook-2023.pdf
https://www.nammo.com/products/
https://www.nammo.com/products/ammunition/</x:v>
      </x:c>
    </x:row>
    <x:row r="642" ht="210" customHeight="1">
      <x:c r="A642" s="37" t="str">
        <x:v>Nammo</x:v>
      </x:c>
      <x:c r="B642" s="32" t="str">
        <x:v>Ammunition</x:v>
      </x:c>
      <x:c r="C642" s="32" t="str">
        <x:v>75 mm Salute Plastic Blank Ammunition</x:v>
      </x:c>
      <x:c r="D642" s="32" t="str">
        <x:v>• Poongsan portfolio includes fuzes, primers and propellants; dedicated component production lines.</x:v>
      </x:c>
      <x:c r="E642" s="32" t="str">
        <x:v>• Named product from Nammo's 2024 Ammunition Handbook; combat/training/propulsion role depends on product.</x:v>
      </x:c>
      <x:c r="F642" s="38" t="str">
        <x:v>https://www.nammo.com/wp-content/uploads/2020/08/nammo-handbook-2023.pdf
https://www.nammo.com/products/
https://www.nammo.com/products/ammunition/</x:v>
      </x:c>
    </x:row>
    <x:row r="643" ht="210" customHeight="1">
      <x:c r="A643" s="37" t="str">
        <x:v>Nammo</x:v>
      </x:c>
      <x:c r="B643" s="32" t="str">
        <x:v>Ammunition</x:v>
      </x:c>
      <x:c r="C643" s="32" t="str">
        <x:v>8.6 mm x 70 .338 Lapua Magnum AP</x:v>
      </x:c>
      <x:c r="D643" s="32" t="str">
        <x:v>• Poongsan portfolio includes fuzes, primers and propellants; dedicated component production lines.</x:v>
      </x:c>
      <x:c r="E643" s="32" t="str">
        <x:v>• Named product from Nammo's 2024 Ammunition Handbook; combat/training/propulsion role depends on product.</x:v>
      </x:c>
      <x:c r="F643" s="38" t="str">
        <x:v>https://www.nammo.com/wp-content/uploads/2020/08/nammo-handbook-2023.pdf
https://www.nammo.com/products/
https://www.nammo.com/products/ammunition/</x:v>
      </x:c>
    </x:row>
    <x:row r="644" ht="210" customHeight="1">
      <x:c r="A644" s="37" t="str">
        <x:v>Nammo</x:v>
      </x:c>
      <x:c r="B644" s="32" t="str">
        <x:v>Ammunition</x:v>
      </x:c>
      <x:c r="C644" s="32" t="str">
        <x:v>8.6 mm x 70 .338 Lapua Magnum API</x:v>
      </x:c>
      <x:c r="D644" s="32" t="str">
        <x:v>• Poongsan portfolio includes fuzes, primers and propellants; dedicated component production lines.</x:v>
      </x:c>
      <x:c r="E644" s="32" t="str">
        <x:v>• Named product from Nammo's 2024 Ammunition Handbook; combat/training/propulsion role depends on product.</x:v>
      </x:c>
      <x:c r="F644" s="38" t="str">
        <x:v>https://www.nammo.com/wp-content/uploads/2020/08/nammo-handbook-2023.pdf
https://www.nammo.com/products/
https://www.nammo.com/products/ammunition/</x:v>
      </x:c>
    </x:row>
    <x:row r="645" ht="210" customHeight="1">
      <x:c r="A645" s="37" t="str">
        <x:v>Nammo</x:v>
      </x:c>
      <x:c r="B645" s="32" t="str">
        <x:v>Ammunition</x:v>
      </x:c>
      <x:c r="C645" s="32" t="str">
        <x:v>8.6 mm x 70 .338 Lapua Magnum Lock Base</x:v>
      </x:c>
      <x:c r="D645" s="32" t="str">
        <x:v>• Poongsan portfolio includes fuzes, primers and propellants; dedicated component production lines.</x:v>
      </x:c>
      <x:c r="E645" s="32" t="str">
        <x:v>• Named product from Nammo's 2024 Ammunition Handbook; combat/training/propulsion role depends on product.</x:v>
      </x:c>
      <x:c r="F645" s="38" t="str">
        <x:v>https://www.nammo.com/wp-content/uploads/2020/08/nammo-handbook-2023.pdf
https://www.nammo.com/products/
https://www.nammo.com/products/ammunition/</x:v>
      </x:c>
    </x:row>
    <x:row r="646" ht="210" customHeight="1">
      <x:c r="A646" s="37" t="str">
        <x:v>Nammo</x:v>
      </x:c>
      <x:c r="B646" s="32" t="str">
        <x:v>Ammunition</x:v>
      </x:c>
      <x:c r="C646" s="32" t="str">
        <x:v>8.6 mm x 70 .338 Lapua Magnum Proof, Drill and Blank</x:v>
      </x:c>
      <x:c r="D646" s="32" t="str">
        <x:v>• Poongsan portfolio includes fuzes, primers and propellants; dedicated component production lines.</x:v>
      </x:c>
      <x:c r="E646" s="32" t="str">
        <x:v>• Named product from Nammo's 2024 Ammunition Handbook; combat/training/propulsion role depends on product.</x:v>
      </x:c>
      <x:c r="F646" s="38" t="str">
        <x:v>https://www.nammo.com/wp-content/uploads/2020/08/nammo-handbook-2023.pdf
https://www.nammo.com/products/
https://www.nammo.com/products/ammunition/</x:v>
      </x:c>
    </x:row>
    <x:row r="647" ht="210" customHeight="1">
      <x:c r="A647" s="37" t="str">
        <x:v>Nammo</x:v>
      </x:c>
      <x:c r="B647" s="32" t="str">
        <x:v>Ammunition</x:v>
      </x:c>
      <x:c r="C647" s="32" t="str">
        <x:v>8.6 mm x 70 .338 Lapua Magnum Scenar</x:v>
      </x:c>
      <x:c r="D647" s="32" t="str">
        <x:v>• Poongsan portfolio includes fuzes, primers and propellants; dedicated component production lines.</x:v>
      </x:c>
      <x:c r="E647" s="32" t="str">
        <x:v>• Named product from Nammo's 2024 Ammunition Handbook; combat/training/propulsion role depends on product.</x:v>
      </x:c>
      <x:c r="F647" s="38" t="str">
        <x:v>https://www.nammo.com/wp-content/uploads/2020/08/nammo-handbook-2023.pdf
https://www.nammo.com/products/
https://www.nammo.com/products/ammunition/</x:v>
      </x:c>
    </x:row>
    <x:row r="648" ht="210" customHeight="1">
      <x:c r="A648" s="37" t="str">
        <x:v>Nammo</x:v>
      </x:c>
      <x:c r="B648" s="32" t="str">
        <x:v>Ammunition</x:v>
      </x:c>
      <x:c r="C648" s="32" t="str">
        <x:v>8.6 mm x 70 .338 Lapua Magnum Solid</x:v>
      </x:c>
      <x:c r="D648" s="32" t="str">
        <x:v>• Poongsan portfolio includes fuzes, primers and propellants; dedicated component production lines.</x:v>
      </x:c>
      <x:c r="E648" s="32" t="str">
        <x:v>• Named product from Nammo's 2024 Ammunition Handbook; combat/training/propulsion role depends on product.</x:v>
      </x:c>
      <x:c r="F648" s="38" t="str">
        <x:v>https://www.nammo.com/wp-content/uploads/2020/08/nammo-handbook-2023.pdf
https://www.nammo.com/products/
https://www.nammo.com/products/ammunition/</x:v>
      </x:c>
    </x:row>
    <x:row r="649" ht="210" customHeight="1">
      <x:c r="A649" s="37" t="str">
        <x:v>Nammo</x:v>
      </x:c>
      <x:c r="B649" s="32" t="str">
        <x:v>Ammunition</x:v>
      </x:c>
      <x:c r="C649" s="32" t="str">
        <x:v>81 mm Mortar HE</x:v>
      </x:c>
      <x:c r="D649" s="32" t="str">
        <x:v>• 81 mm; high explosive mortar round.</x:v>
      </x:c>
      <x:c r="E649" s="32" t="str">
        <x:v>• Mortar ammunition family.</x:v>
      </x:c>
      <x:c r="F649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50" ht="210" customHeight="1">
      <x:c r="A650" s="37" t="str">
        <x:v>Nammo</x:v>
      </x:c>
      <x:c r="B650" s="32" t="str">
        <x:v>Ammunition</x:v>
      </x:c>
      <x:c r="C650" s="32" t="str">
        <x:v>81 mm Mortar Illuminating</x:v>
      </x:c>
      <x:c r="D650" s="32" t="str">
        <x:v>• 81 mm; illuminating mortar round.</x:v>
      </x:c>
      <x:c r="E650" s="32" t="str">
        <x:v>• Mortar ammunition family.</x:v>
      </x:c>
      <x:c r="F650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51" ht="210" customHeight="1">
      <x:c r="A651" s="37" t="str">
        <x:v>Nammo</x:v>
      </x:c>
      <x:c r="B651" s="32" t="str">
        <x:v>Ammunition</x:v>
      </x:c>
      <x:c r="C651" s="32" t="str">
        <x:v>81 mm Mortar Illuminating Round</x:v>
      </x:c>
      <x:c r="D651" s="32" t="str">
        <x:v>• Poongsan portfolio includes fuzes, primers and propellants; dedicated component production lines.</x:v>
      </x:c>
      <x:c r="E651" s="32" t="str">
        <x:v>• Named product from Nammo's 2024 Ammunition Handbook; combat/training/propulsion role depends on product.</x:v>
      </x:c>
      <x:c r="F651" s="38" t="str">
        <x:v>https://www.nammo.com/wp-content/uploads/2020/08/nammo-handbook-2023.pdf
https://www.nammo.com/products/
https://www.nammo.com/products/ammunition/</x:v>
      </x:c>
    </x:row>
    <x:row r="652" ht="210" customHeight="1">
      <x:c r="A652" s="37" t="str">
        <x:v>Nammo</x:v>
      </x:c>
      <x:c r="B652" s="32" t="str">
        <x:v>Ammunition</x:v>
      </x:c>
      <x:c r="C652" s="32" t="str">
        <x:v>81 mm Mortar IR-SMK</x:v>
      </x:c>
      <x:c r="D652" s="32" t="str">
        <x:v>• 81 mm; infrared/smoke mortar round.</x:v>
      </x:c>
      <x:c r="E652" s="32" t="str">
        <x:v>• Mortar ammunition family.</x:v>
      </x:c>
      <x:c r="F652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53" ht="210" customHeight="1">
      <x:c r="A653" s="37" t="str">
        <x:v>Nammo</x:v>
      </x:c>
      <x:c r="B653" s="32" t="str">
        <x:v>Ammunition</x:v>
      </x:c>
      <x:c r="C653" s="32" t="str">
        <x:v>Aircraft Ejector Release Cartridges</x:v>
      </x:c>
      <x:c r="D653" s="32" t="str">
        <x:v>• Poongsan portfolio includes fuzes, primers and propellants; dedicated component production lines.</x:v>
      </x:c>
      <x:c r="E653" s="32" t="str">
        <x:v>• Named product from Nammo's 2024 Ammunition Handbook; combat/training/propulsion role depends on product.</x:v>
      </x:c>
      <x:c r="F653" s="38" t="str">
        <x:v>https://www.nammo.com/wp-content/uploads/2020/08/nammo-handbook-2023.pdf
https://www.nammo.com/products/
https://www.nammo.com/products/ammunition/</x:v>
      </x:c>
    </x:row>
    <x:row r="654" ht="210" customHeight="1">
      <x:c r="A654" s="37" t="str">
        <x:v>Nammo</x:v>
      </x:c>
      <x:c r="B654" s="32" t="str">
        <x:v>Ammunition</x:v>
      </x:c>
      <x:c r="C654" s="32" t="str">
        <x:v>Anti-Personnel Obstacle Breaching System APOBS</x:v>
      </x:c>
      <x:c r="D654" s="32" t="str">
        <x:v>• Poongsan portfolio includes fuzes, primers and propellants; dedicated component production lines.</x:v>
      </x:c>
      <x:c r="E654" s="32" t="str">
        <x:v>• Named product from Nammo's 2024 Ammunition Handbook; combat/training/propulsion role depends on product.</x:v>
      </x:c>
      <x:c r="F654" s="38" t="str">
        <x:v>https://www.nammo.com/wp-content/uploads/2020/08/nammo-handbook-2023.pdf
https://www.nammo.com/products/
https://www.nammo.com/products/ammunition/</x:v>
      </x:c>
    </x:row>
    <x:row r="655" ht="210" customHeight="1">
      <x:c r="A655" s="37" t="str">
        <x:v>Nammo</x:v>
      </x:c>
      <x:c r="B655" s="32" t="str">
        <x:v>Ammunition</x:v>
      </x:c>
      <x:c r="C655" s="32" t="str">
        <x:v>Diver Recall Signal DRS</x:v>
      </x:c>
      <x:c r="D655" s="32" t="str">
        <x:v>• Poongsan portfolio includes fuzes, primers and propellants; dedicated component production lines.</x:v>
      </x:c>
      <x:c r="E655" s="32" t="str">
        <x:v>• Named product from Nammo's 2024 Ammunition Handbook; combat/training/propulsion role depends on product.</x:v>
      </x:c>
      <x:c r="F655" s="38" t="str">
        <x:v>https://www.nammo.com/wp-content/uploads/2020/08/nammo-handbook-2023.pdf
https://www.nammo.com/products/
https://www.nammo.com/products/ammunition/</x:v>
      </x:c>
    </x:row>
    <x:row r="656" ht="210" customHeight="1">
      <x:c r="A656" s="37" t="str">
        <x:v>Nammo</x:v>
      </x:c>
      <x:c r="B656" s="32" t="str">
        <x:v>Ammunition</x:v>
      </x:c>
      <x:c r="C656" s="32" t="str">
        <x:v>Flare Ignition Pellets LP2000 and FS03</x:v>
      </x:c>
      <x:c r="D656" s="32" t="str">
        <x:v>• Poongsan portfolio includes fuzes, primers and propellants; dedicated component production lines.</x:v>
      </x:c>
      <x:c r="E656" s="32" t="str">
        <x:v>• Named product from Nammo's 2024 Ammunition Handbook; combat/training/propulsion role depends on product.</x:v>
      </x:c>
      <x:c r="F656" s="38" t="str">
        <x:v>https://www.nammo.com/wp-content/uploads/2020/08/nammo-handbook-2023.pdf
https://www.nammo.com/products/
https://www.nammo.com/products/ammunition/</x:v>
      </x:c>
    </x:row>
    <x:row r="657" ht="210" customHeight="1">
      <x:c r="A657" s="37" t="str">
        <x:v>Nammo</x:v>
      </x:c>
      <x:c r="B657" s="32" t="str">
        <x:v>Ammunition</x:v>
      </x:c>
      <x:c r="C657" s="32" t="str">
        <x:v>Fragmentation Hand Grenade HGF165-3.5</x:v>
      </x:c>
      <x:c r="D657" s="32" t="str">
        <x:v>• Poongsan portfolio includes fuzes, primers and propellants; dedicated component production lines.</x:v>
      </x:c>
      <x:c r="E657" s="32" t="str">
        <x:v>• Named product from Nammo's 2024 Ammunition Handbook; combat/training/propulsion role depends on product.</x:v>
      </x:c>
      <x:c r="F657" s="38" t="str">
        <x:v>https://www.nammo.com/wp-content/uploads/2020/08/nammo-handbook-2023.pdf
https://www.nammo.com/products/
https://www.nammo.com/products/ammunition/</x:v>
      </x:c>
    </x:row>
    <x:row r="658" ht="210" customHeight="1">
      <x:c r="A658" s="37" t="str">
        <x:v>Nammo</x:v>
      </x:c>
      <x:c r="B658" s="32" t="str">
        <x:v>Ammunition</x:v>
      </x:c>
      <x:c r="C658" s="32" t="str">
        <x:v>Fragmentation Increment Sleeve for Offensive Hand Grenades</x:v>
      </x:c>
      <x:c r="D658" s="32" t="str">
        <x:v>• Poongsan portfolio includes fuzes, primers and propellants; dedicated component production lines.</x:v>
      </x:c>
      <x:c r="E658" s="32" t="str">
        <x:v>• Named product from Nammo's 2024 Ammunition Handbook; combat/training/propulsion role depends on product.</x:v>
      </x:c>
      <x:c r="F658" s="38" t="str">
        <x:v>https://www.nammo.com/wp-content/uploads/2020/08/nammo-handbook-2023.pdf
https://www.nammo.com/products/
https://www.nammo.com/products/ammunition/</x:v>
      </x:c>
    </x:row>
    <x:row r="659" ht="210" customHeight="1">
      <x:c r="A659" s="37" t="str">
        <x:v>Nammo</x:v>
      </x:c>
      <x:c r="B659" s="32" t="str">
        <x:v>Ammunition</x:v>
      </x:c>
      <x:c r="C659" s="32" t="str">
        <x:v>M141 Bunker Defeat Munition (BDM)</x:v>
      </x:c>
      <x:c r="D659" s="32" t="str">
        <x:v>• Lightweight disposable shoulder-fired system using SMAW HEDP rocket; designed for bunker/fortification defeat.
• Shoulder-fired disposable HEDP rocket system
• Uses SMAW HEDP rocket in telescoping launcher</x:v>
      </x:c>
      <x:c r="E659" s="32" t="str">
        <x:v>• Shoulder-fired rocket/munition capability; not an electronically guided missile.
• Effective against reinforced concrete, brick, adobe, caves and light vehicles</x:v>
      </x:c>
      <x:c r="F659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60" ht="210" customHeight="1">
      <x:c r="A660" s="37" t="str">
        <x:v>Nammo</x:v>
      </x:c>
      <x:c r="B660" s="32" t="str">
        <x:v>Ammunition</x:v>
      </x:c>
      <x:c r="C660" s="32" t="str">
        <x:v>M67 Grenade</x:v>
      </x:c>
      <x:c r="D660" s="32" t="str">
        <x:v>• Poongsan portfolio includes fuzes, primers and propellants; dedicated component production lines.</x:v>
      </x:c>
      <x:c r="E660" s="32" t="str">
        <x:v>• Named product from Nammo's 2024 Ammunition Handbook; combat/training/propulsion role depends on product.</x:v>
      </x:c>
      <x:c r="F660" s="38" t="str">
        <x:v>https://www.nammo.com/wp-content/uploads/2020/08/nammo-handbook-2023.pdf
https://www.nammo.com/products/
https://www.nammo.com/products/ammunition/</x:v>
      </x:c>
    </x:row>
    <x:row r="661" ht="210" customHeight="1">
      <x:c r="A661" s="37" t="str">
        <x:v>Nammo</x:v>
      </x:c>
      <x:c r="B661" s="32" t="str">
        <x:v>Ammunition</x:v>
      </x:c>
      <x:c r="C661" s="32" t="str">
        <x:v>M72 Anti-Structure A12</x:v>
      </x:c>
      <x:c r="D661" s="32" t="str">
        <x:v>• M72-series anti-structure munition.
• Poongsan portfolio includes fuzes, primers and propellants; dedicated component production lines.</x:v>
      </x:c>
      <x:c r="E661" s="32" t="str">
        <x:v>• Shoulder-fired rocket/munition capability; not an electronically guided missile.
• Named product from Nammo's 2024 Ammunition Handbook; combat/training/propulsion role depends on product.</x:v>
      </x:c>
      <x:c r="F661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62" ht="210" customHeight="1">
      <x:c r="A662" s="37" t="str">
        <x:v>Nammo</x:v>
      </x:c>
      <x:c r="B662" s="32" t="str">
        <x:v>Ammunition</x:v>
      </x:c>
      <x:c r="C662" s="32" t="str">
        <x:v>M72 Anti-Structure Munition Reduced Caliber ASM RC</x:v>
      </x:c>
      <x:c r="D662" s="32" t="str">
        <x:v>• M72-series reduced-calibre anti-structure munition.
• Poongsan portfolio includes fuzes, primers and propellants; dedicated component production lines.</x:v>
      </x:c>
      <x:c r="E662" s="32" t="str">
        <x:v>• Shoulder-fired rocket/munition capability; not an electronically guided missile.
• Named product from Nammo's 2024 Ammunition Handbook; combat/training/propulsion role depends on product.</x:v>
      </x:c>
      <x:c r="F662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63" ht="210" customHeight="1">
      <x:c r="A663" s="37" t="str">
        <x:v>Nammo</x:v>
      </x:c>
      <x:c r="B663" s="32" t="str">
        <x:v>Ammunition</x:v>
      </x:c>
      <x:c r="C663" s="32" t="str">
        <x:v>M72 Enhanced Capacity EC</x:v>
      </x:c>
      <x:c r="D663" s="32" t="str">
        <x:v>• M72-series enhanced-capacity variant.
• Poongsan portfolio includes fuzes, primers and propellants; dedicated component production lines.
• System weight: 3.4 kg
• Calibre: 66 mm
• Carry/extended length: 780 / 980 mm
• Muzzle velocity: 200 m/s at 21°C
• Dispersion: &lt;1.5 mil at 250 m
• Penetration: 450 mm RHA Mk1
• 300 mm RHA Mk2
• Minimum/effective/maximum range: 20 / 350 / 1,200 m
• Service temperature: -40°C to +60°C</x:v>
      </x:c>
      <x:c r="E663" s="32" t="str">
        <x:v>• Shoulder-fired rocket/munition capability; not an electronically guided missile.
• Named product from Nammo's 2024 Ammunition Handbook; combat/training/propulsion role depends on product.
• Disposable shoulder-fired anti-armour system
• Heavy-armour shaped-charge warhead
• Electronic piezo dual-safe fuze</x:v>
      </x:c>
      <x:c r="F663" s="38" t="str">
        <x:v>https://www.nammo.com/products/ammunition/
https://www.nammo.com/products/shoulder-fired-systems/
https://www.nammo.com/products/
https://www.nammo.com/wp-content/uploads/2020/08/nammo-handbook-2023.pdf
https://www.nammo.com/products/shoulder-fired-systems/m72-series/m72-enhanced-capacity/
https://www.nammo.com/products/shoulder-fired-systems/m72-series/</x:v>
      </x:c>
    </x:row>
    <x:row r="664" ht="210" customHeight="1">
      <x:c r="A664" s="37" t="str">
        <x:v>Nammo</x:v>
      </x:c>
      <x:c r="B664" s="32" t="str">
        <x:v>Ammunition</x:v>
      </x:c>
      <x:c r="C664" s="32" t="str">
        <x:v>M72 FFE Anti-Armor A8 / Anti-Structure A10</x:v>
      </x:c>
      <x:c r="D664" s="32" t="str">
        <x:v>• M72-series shoulder-fired system
• A8 anti-armor and A10 anti-structure configurations.
• Poongsan portfolio includes fuzes, primers and propellants; dedicated component production lines.</x:v>
      </x:c>
      <x:c r="E664" s="32" t="str">
        <x:v>• Shoulder-fired rocket/munition capability; not an electronically guided missile.
• Named product from Nammo's 2024 Ammunition Handbook; combat/training/propulsion role depends on product.</x:v>
      </x:c>
      <x:c r="F664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65" ht="210" customHeight="1">
      <x:c r="A665" s="37" t="str">
        <x:v>Nammo</x:v>
      </x:c>
      <x:c r="B665" s="32" t="str">
        <x:v>Ammunition</x:v>
      </x:c>
      <x:c r="C665" s="32" t="str">
        <x:v>M72 Training System</x:v>
      </x:c>
      <x:c r="D665" s="32" t="str">
        <x:v>• M72 training system.</x:v>
      </x:c>
      <x:c r="E665" s="32" t="str">
        <x:v>• Shoulder-fired rocket/munition capability; not an electronically guided missile.</x:v>
      </x:c>
      <x:c r="F665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66" ht="210" customHeight="1">
      <x:c r="A666" s="37" t="str">
        <x:v>Nammo</x:v>
      </x:c>
      <x:c r="B666" s="32" t="str">
        <x:v>Ammunition</x:v>
      </x:c>
      <x:c r="C666" s="32" t="str">
        <x:v>Manual Programming Unit for 40 mm RF Airburst Ammunition</x:v>
      </x:c>
      <x:c r="D666" s="32" t="str">
        <x:v>• Poongsan portfolio includes fuzes, primers and propellants; dedicated component production lines.</x:v>
      </x:c>
      <x:c r="E666" s="32" t="str">
        <x:v>• Named product from Nammo's 2024 Ammunition Handbook; combat/training/propulsion role depends on product.</x:v>
      </x:c>
      <x:c r="F666" s="38" t="str">
        <x:v>https://www.nammo.com/wp-content/uploads/2020/08/nammo-handbook-2023.pdf
https://www.nammo.com/products/
https://www.nammo.com/products/ammunition/</x:v>
      </x:c>
    </x:row>
    <x:row r="667" ht="210" customHeight="1">
      <x:c r="A667" s="37" t="str">
        <x:v>Nammo</x:v>
      </x:c>
      <x:c r="B667" s="32" t="str">
        <x:v>Ammunition</x:v>
      </x:c>
      <x:c r="C667" s="32" t="str">
        <x:v>Nammo Ignition System NIS</x:v>
      </x:c>
      <x:c r="D667" s="32" t="str">
        <x:v>• Poongsan portfolio includes fuzes, primers and propellants; dedicated component production lines.</x:v>
      </x:c>
      <x:c r="E667" s="32" t="str">
        <x:v>• Named product from Nammo's 2024 Ammunition Handbook; combat/training/propulsion role depends on product.</x:v>
      </x:c>
      <x:c r="F667" s="38" t="str">
        <x:v>https://www.nammo.com/wp-content/uploads/2020/08/nammo-handbook-2023.pdf
https://www.nammo.com/products/
https://www.nammo.com/products/ammunition/</x:v>
      </x:c>
    </x:row>
    <x:row r="668" ht="210" customHeight="1">
      <x:c r="A668" s="37" t="str">
        <x:v>Nammo</x:v>
      </x:c>
      <x:c r="B668" s="32" t="str">
        <x:v>Ammunition</x:v>
      </x:c>
      <x:c r="C668" s="32" t="str">
        <x:v>Offensive Hand Grenade HGO225-3.5</x:v>
      </x:c>
      <x:c r="D668" s="32" t="str">
        <x:v>• Poongsan portfolio includes fuzes, primers and propellants; dedicated component production lines.</x:v>
      </x:c>
      <x:c r="E668" s="32" t="str">
        <x:v>• Named product from Nammo's 2024 Ammunition Handbook; combat/training/propulsion role depends on product.</x:v>
      </x:c>
      <x:c r="F668" s="38" t="str">
        <x:v>https://www.nammo.com/wp-content/uploads/2020/08/nammo-handbook-2023.pdf
https://www.nammo.com/products/
https://www.nammo.com/products/ammunition/</x:v>
      </x:c>
    </x:row>
    <x:row r="669" ht="210" customHeight="1">
      <x:c r="A669" s="37" t="str">
        <x:v>Nammo</x:v>
      </x:c>
      <x:c r="B669" s="32" t="str">
        <x:v>Ammunition</x:v>
      </x:c>
      <x:c r="C669" s="32" t="str">
        <x:v>Offensive Hand Grenade HGO50-3.5</x:v>
      </x:c>
      <x:c r="D669" s="32" t="str">
        <x:v>• Poongsan portfolio includes fuzes, primers and propellants; dedicated component production lines.</x:v>
      </x:c>
      <x:c r="E669" s="32" t="str">
        <x:v>• Named product from Nammo's 2024 Ammunition Handbook; combat/training/propulsion role depends on product.</x:v>
      </x:c>
      <x:c r="F669" s="38" t="str">
        <x:v>https://www.nammo.com/wp-content/uploads/2020/08/nammo-handbook-2023.pdf
https://www.nammo.com/products/
https://www.nammo.com/products/ammunition/</x:v>
      </x:c>
    </x:row>
    <x:row r="670" ht="210" customHeight="1">
      <x:c r="A670" s="37" t="str">
        <x:v>Nammo</x:v>
      </x:c>
      <x:c r="B670" s="32" t="str">
        <x:v>Ammunition</x:v>
      </x:c>
      <x:c r="C670" s="32" t="str">
        <x:v>Propelling Charges</x:v>
      </x:c>
      <x:c r="D670" s="32" t="str">
        <x:v>• Poongsan portfolio includes fuzes, primers and propellants; dedicated component production lines.</x:v>
      </x:c>
      <x:c r="E670" s="32" t="str">
        <x:v>• Named product from Nammo's 2024 Ammunition Handbook; combat/training/propulsion role depends on product.</x:v>
      </x:c>
      <x:c r="F670" s="38" t="str">
        <x:v>https://www.nammo.com/wp-content/uploads/2020/08/nammo-handbook-2023.pdf
https://www.nammo.com/products/
https://www.nammo.com/products/ammunition/</x:v>
      </x:c>
    </x:row>
    <x:row r="671" ht="210" customHeight="1">
      <x:c r="A671" s="37" t="str">
        <x:v>Nammo</x:v>
      </x:c>
      <x:c r="B671" s="32" t="str">
        <x:v>Ammunition</x:v>
      </x:c>
      <x:c r="C671" s="32" t="str">
        <x:v>Scalable Offensive Hand Grenade SOHG</x:v>
      </x:c>
      <x:c r="D671" s="32" t="str">
        <x:v>• Poongsan portfolio includes fuzes, primers and propellants; dedicated component production lines.</x:v>
      </x:c>
      <x:c r="E671" s="32" t="str">
        <x:v>• Named product from Nammo's 2024 Ammunition Handbook; combat/training/propulsion role depends on product.</x:v>
      </x:c>
      <x:c r="F671" s="38" t="str">
        <x:v>https://www.nammo.com/wp-content/uploads/2020/08/nammo-handbook-2023.pdf
https://www.nammo.com/products/
https://www.nammo.com/products/ammunition/</x:v>
      </x:c>
    </x:row>
    <x:row r="672" ht="210" customHeight="1">
      <x:c r="A672" s="37" t="str">
        <x:v>Nammo</x:v>
      </x:c>
      <x:c r="B672" s="32" t="str">
        <x:v>Ammunition</x:v>
      </x:c>
      <x:c r="C672" s="32" t="str">
        <x:v>Training Hand Grenade</x:v>
      </x:c>
      <x:c r="D672" s="32" t="str">
        <x:v>• Poongsan portfolio includes fuzes, primers and propellants; dedicated component production lines.</x:v>
      </x:c>
      <x:c r="E672" s="32" t="str">
        <x:v>• Named product from Nammo's 2024 Ammunition Handbook; combat/training/propulsion role depends on product.</x:v>
      </x:c>
      <x:c r="F672" s="38" t="str">
        <x:v>https://www.nammo.com/wp-content/uploads/2020/08/nammo-handbook-2023.pdf
https://www.nammo.com/products/
https://www.nammo.com/products/ammunition/</x:v>
      </x:c>
    </x:row>
    <x:row r="673" ht="210" customHeight="1">
      <x:c r="A673" s="37" t="str">
        <x:v>Nammo</x:v>
      </x:c>
      <x:c r="B673" s="32" t="str">
        <x:v>Ammunition</x:v>
      </x:c>
      <x:c r="C673" s="32" t="str">
        <x:v>TTC Smoke Hand Grenade</x:v>
      </x:c>
      <x:c r="D673" s="32" t="str">
        <x:v>• Poongsan portfolio includes fuzes, primers and propellants; dedicated component production lines.</x:v>
      </x:c>
      <x:c r="E673" s="32" t="str">
        <x:v>• Named product from Nammo's 2024 Ammunition Handbook; combat/training/propulsion role depends on product.</x:v>
      </x:c>
      <x:c r="F673" s="38" t="str">
        <x:v>https://www.nammo.com/wp-content/uploads/2020/08/nammo-handbook-2023.pdf
https://www.nammo.com/products/
https://www.nammo.com/products/ammunition/</x:v>
      </x:c>
    </x:row>
    <x:row r="674" ht="210" customHeight="1">
      <x:c r="A674" s="37" t="str">
        <x:v>Nammo</x:v>
      </x:c>
      <x:c r="B674" s="32" t="str">
        <x:v>Missiles</x:v>
      </x:c>
      <x:c r="C674" s="32" t="str">
        <x:v>70 mm Warhead</x:v>
      </x:c>
      <x:c r="D674" s="32" t="str">
        <x:v>• Poongsan portfolio includes fuzes, primers and propellants; dedicated component production lines.</x:v>
      </x:c>
      <x:c r="E674" s="32" t="str">
        <x:v>• Named product from Nammo's 2024 Ammunition Handbook; combat/training/propulsion role depends on product.</x:v>
      </x:c>
      <x:c r="F674" s="38" t="str">
        <x:v>https://www.nammo.com/wp-content/uploads/2020/08/nammo-handbook-2023.pdf
https://www.nammo.com/products/
https://www.nammo.com/products/ammunition/</x:v>
      </x:c>
    </x:row>
    <x:row r="675" ht="210" customHeight="1">
      <x:c r="A675" s="37" t="str">
        <x:v>Nammo</x:v>
      </x:c>
      <x:c r="B675" s="32" t="str">
        <x:v>Missiles</x:v>
      </x:c>
      <x:c r="C675" s="32" t="str">
        <x:v>Rocket Motors for Missiles, Artillery &amp; Space</x:v>
      </x:c>
      <x:c r="D675" s="32" t="str">
        <x:v>• Poongsan portfolio includes fuzes, primers and propellants; dedicated component production lines.</x:v>
      </x:c>
      <x:c r="E675" s="32" t="str">
        <x:v>• Named product from Nammo's 2024 Ammunition Handbook; combat/training/propulsion role depends on product.</x:v>
      </x:c>
      <x:c r="F675" s="38" t="str">
        <x:v>https://www.nammo.com/wp-content/uploads/2020/08/nammo-handbook-2023.pdf
https://www.nammo.com/products/
https://www.nammo.com/products/ammunition/</x:v>
      </x:c>
    </x:row>
    <x:row r="676" ht="210" customHeight="1">
      <x:c r="A676" s="37" t="str">
        <x:v>Nammo</x:v>
      </x:c>
      <x:c r="B676" s="32" t="str">
        <x:v>Missiles</x:v>
      </x:c>
      <x:c r="C676" s="32" t="str">
        <x:v>SMAW Ammunition</x:v>
      </x:c>
      <x:c r="D676" s="32" t="str">
        <x:v>• HEDP, novel explosive, HEAA and common-practice rounds; reusable crew-served SMAW launcher ammunition.
• Shoulder-fired assault weapon ammunition variants include HEDP, Novel Explosive, HEAA and practice ammunition</x:v>
      </x:c>
      <x:c r="E676" s="32" t="str">
        <x:v>• Shoulder-fired rocket/munition capability; not an electronically guided missile.
• Bunker defeat, breaching and anti-armour effects</x:v>
      </x:c>
      <x:c r="F676" s="38" t="str">
        <x:v>https://www.nammo.com/products/ammunition/
https://www.nammo.com/products/shoulder-fired-systems/
https://www.nammo.com/products/
https://www.nammo.com/wp-content/uploads/2020/08/nammo-handbook-2023.pdf</x:v>
      </x:c>
    </x:row>
    <x:row r="677" ht="210" customHeight="1">
      <x:c r="A677" s="37" t="str">
        <x:v>Nammo</x:v>
      </x:c>
      <x:c r="B677" s="32" t="str">
        <x:v>Missiles</x:v>
      </x:c>
      <x:c r="C677" s="32" t="str">
        <x:v>Tactical Rocket Motors / Missile Propulsion</x:v>
      </x:c>
      <x:c r="D677" s="32" t="str">
        <x:v>• Solid rocket motors and propulsion components for tactical missiles and boosters; public handbook identifies programs including AMRAAM, ESSM, IRIS-T, IRIS-T SLM, IDAS, Exocet MM40 Block 3, Sidewinder, Penguin, NSM and LMM.</x:v>
      </x:c>
      <x:c r="E677" s="32" t="str">
        <x:v>• Rocket motors, boosters and propulsion technology
• TVC capability on selected motors.</x:v>
      </x:c>
      <x:c r="F677" s="38" t="str">
        <x:v>https://www.nammo.com/wp-content/uploads/2020/08/nammo-handbook-2023.pdf</x:v>
      </x:c>
    </x:row>
    <x:row r="678" ht="210" customHeight="1">
      <x:c r="A678" s="37" t="str">
        <x:v>SIG Sauer</x:v>
      </x:c>
      <x:c r="B678" s="32" t="str">
        <x:v>Ammunition</x:v>
      </x:c>
      <x:c r="C678" s="32" t="str">
        <x:v>.300 BLACKOUT</x:v>
      </x:c>
      <x:c r="D678" s="32" t="str">
        <x:v>• SIG SAUER defense ammunition product family listed in the 2026 Defense Catalogue. The catalogue separates .300 BLACKOUT as its own ammunition section; exact projectile/load dimensions and performance are variant-specific.
• Calibre: .300 AAC Blackout / 7.62×35 mm
• Supersonic/subsonic load families in defence catalogue</x:v>
      </x:c>
      <x:c r="E678" s="32" t="str">
        <x:v>• Defense ammunition family.
• Optimised for short-barrel/suppressed MCX platforms</x:v>
      </x:c>
      <x:c r="F678" s="38" t="str">
        <x:v>https://www.sigsauer.com/media/sigsauer/resources/FULL_DEFENSE_CAT_26_PRINT.pdf
https://www.sigsauer.com/defensecatalog
https://www.sigsauer.com/blog/the-objective-the-sig-mmg-338-program-tested-and-delivered-part-2</x:v>
      </x:c>
    </x:row>
    <x:row r="679" ht="210" customHeight="1">
      <x:c r="A679" s="37" t="str">
        <x:v>SIG Sauer</x:v>
      </x:c>
      <x:c r="B679" s="32" t="str">
        <x:v>Ammunition</x:v>
      </x:c>
      <x:c r="C679" s="32" t="str">
        <x:v>.338 NM</x:v>
      </x:c>
      <x:c r="D679" s="32" t="str">
        <x:v>• SIG SAUER defense ammunition product family listed in the 2026 Defense Catalogue. The catalogue separates .338 NM as its own ammunition section; exact projectile/load dimensions and performance are variant-specific.
• Calibre: .338 Norma Magnum
• Machine-gun / precision ammunition family</x:v>
      </x:c>
      <x:c r="E679" s="32" t="str">
        <x:v>• Defense ammunition family.
• Designed alongside SIG MMG 338 weapon system</x:v>
      </x:c>
      <x:c r="F679" s="38" t="str">
        <x:v>https://www.sigsauer.com/media/sigsauer/resources/FULL_DEFENSE_CAT_26_PRINT.pdf
https://www.sigsauer.com/defensecatalog
https://www.sigsauer.com/blog/the-objective-the-sig-mmg-338-program-tested-and-delivered-part-2
https://www.sigsauer.com/blog/ussocom-purchases-mg-338-machine-guns</x:v>
      </x:c>
    </x:row>
    <x:row r="680" ht="210" customHeight="1">
      <x:c r="A680" s="37" t="str">
        <x:v>SIG Sauer</x:v>
      </x:c>
      <x:c r="B680" s="32" t="str">
        <x:v>Ammunition</x:v>
      </x:c>
      <x:c r="C680" s="32" t="str">
        <x:v>.338 NM TRACER</x:v>
      </x:c>
      <x:c r="D680" s="32" t="str">
        <x:v>• SIG SAUER defense ammunition product family listed in the 2026 Defense Catalogue. The catalogue separates .338 NM TRACER as its own ammunition section; exact projectile/load dimensions and performance are variant-specific.</x:v>
      </x:c>
      <x:c r="E680" s="32" t="str">
        <x:v>• Defense ammunition family.</x:v>
      </x:c>
      <x:c r="F680" s="38" t="str">
        <x:v>https://www.sigsauer.com/media/sigsauer/resources/FULL_DEFENSE_CAT_26_PRINT.pdf
https://www.sigsauer.com/defensecatalog
https://www.sigsauer.com/blog/the-objective-the-sig-mmg-338-program-tested-and-delivered-part-2</x:v>
      </x:c>
    </x:row>
    <x:row r="681" ht="210" customHeight="1">
      <x:c r="A681" s="37" t="str">
        <x:v>SIG Sauer</x:v>
      </x:c>
      <x:c r="B681" s="32" t="str">
        <x:v>Ammunition</x:v>
      </x:c>
      <x:c r="C681" s="32" t="str">
        <x:v>HYBRID AMMO</x:v>
      </x:c>
      <x:c r="D681" s="32" t="str">
        <x:v>• 6.8×51 mm Hybrid ammunition family; lightweight metallic-case technology designed for higher operating pressure than conventional ammunition; selected by U.S. Army with M7/M250 NGSW system.
• Calibre: 6.8×51 mm
• Hybrid case architecture
• Production capacity milestone: 100 million rounds/year at Jacksonville campus</x:v>
      </x:c>
      <x:c r="E681" s="32" t="str">
        <x:v>• Defense ammunition family.
• NGSW ammunition for M7 and M250
• High-pressure hybrid-case technology</x:v>
      </x:c>
      <x:c r="F681" s="38" t="str">
        <x:v>https://www.sigsauer.com/media/sigsauer/resources/FULL_DEFENSE_CAT_26_PRINT.pdf
https://www.sigsauer.com/defensecatalog
https://www.sigsauer.com/blog/the-objective-the-sig-mmg-338-program-tested-and-delivered-part-2
https://www.sigsauer.com/blog/sig-sauer-celebrates-major-milestone-100-million-round-annual-68mm-ammunition-capacity
https://www.sigsauer.com/blog/sig-sauer-opens-jacksonville-arkansas-ammunition-center-</x:v>
      </x:c>
    </x:row>
    <x:row r="682" ht="210" customHeight="1">
      <x:c r="A682" s="37" t="str">
        <x:v>SIG Sauer</x:v>
      </x:c>
      <x:c r="B682" s="32" t="str">
        <x:v>Ammunition</x:v>
      </x:c>
      <x:c r="C682" s="32" t="str">
        <x:v>PISTOL</x:v>
      </x:c>
      <x:c r="D682" s="32" t="str">
        <x:v>• SIG SAUER defense ammunition product family listed in the 2026 Defense Catalogue. The catalogue separates PISTOL as its own ammunition section; exact projectile/load dimensions and performance are variant-specific.
• Pistol ammunition family including 9 mm-class service loads
• Exact load values vary by cartridge</x:v>
      </x:c>
      <x:c r="E682" s="32" t="str">
        <x:v>• Defense ammunition family.
• Military/law-enforcement handgun ammunition</x:v>
      </x:c>
      <x:c r="F682" s="38" t="str">
        <x:v>https://www.sigsauer.com/media/sigsauer/resources/FULL_DEFENSE_CAT_26_PRINT.pdf
https://www.sigsauer.com/defensecatalog
https://www.sigsauer.com/blog/the-objective-the-sig-mmg-338-program-tested-and-delivered-part-2</x:v>
      </x:c>
    </x:row>
    <x:row r="683" ht="210" customHeight="1">
      <x:c r="A683" s="37" t="str">
        <x:v>SIG Sauer</x:v>
      </x:c>
      <x:c r="B683" s="32" t="str">
        <x:v>Ammunition</x:v>
      </x:c>
      <x:c r="C683" s="32" t="str">
        <x:v>PRECISION</x:v>
      </x:c>
      <x:c r="D683" s="32" t="str">
        <x:v>• SIG SAUER defense ammunition product family listed in the 2026 Defense Catalogue. The catalogue separates PRECISION as its own ammunition section; exact projectile/load dimensions and performance are variant-specific.
• Precision rifle ammunition family across catalogue calibres
• Exact bullet weight / velocity depends on load</x:v>
      </x:c>
      <x:c r="E683" s="32" t="str">
        <x:v>• Defense ammunition family.
• Match/precision applications</x:v>
      </x:c>
      <x:c r="F683" s="38" t="str">
        <x:v>https://www.sigsauer.com/media/sigsauer/resources/FULL_DEFENSE_CAT_26_PRINT.pdf
https://www.sigsauer.com/defensecatalog
https://www.sigsauer.com/blog/the-objective-the-sig-mmg-338-program-tested-and-delivered-part-2</x:v>
      </x:c>
    </x:row>
    <x:row r="684" ht="210" customHeight="1">
      <x:c r="A684" s="37" t="str">
        <x:v>SIG Sauer</x:v>
      </x:c>
      <x:c r="B684" s="32" t="str">
        <x:v>Small Arms</x:v>
      </x:c>
      <x:c r="C684" s="32" t="str">
        <x:v>1911X / SP2022</x:v>
      </x:c>
      <x:c r="D684" s="32" t="str">
        <x:v>• 1911X and SP2022 pistol families.</x:v>
      </x:c>
      <x:c r="E684" s="32" t="str">
        <x:v>• Military, government and law-enforcement pistol families; variant-dependent configuration.</x:v>
      </x:c>
      <x:c r="F684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85" ht="210" customHeight="1">
      <x:c r="A685" s="37" t="str">
        <x:v>SIG Sauer</x:v>
      </x:c>
      <x:c r="B685" s="32" t="str">
        <x:v>Small Arms</x:v>
      </x:c>
      <x:c r="C685" s="32" t="str">
        <x:v>516 G3</x:v>
      </x:c>
      <x:c r="D685" s="32" t="str">
        <x:v>• 5.56 mm rifle family; piston-operated SIG platform.
• Calibre: 5.56 NATO
• Gas-piston rifle family
• Select-fire defence configurations</x:v>
      </x:c>
      <x:c r="E685" s="32" t="str">
        <x:v>• Modular military small-arms platforms; configuration-dependent optics, suppressors and accessories.
• AR-pattern weapon with adjustable gas system
• Accessory-rail / suppressor compatibility</x:v>
      </x:c>
      <x:c r="F685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86" ht="210" customHeight="1">
      <x:c r="A686" s="37" t="str">
        <x:v>SIG Sauer</x:v>
      </x:c>
      <x:c r="B686" s="32" t="str">
        <x:v>Small Arms</x:v>
      </x:c>
      <x:c r="C686" s="32" t="str">
        <x:v>Classic Line</x:v>
      </x:c>
      <x:c r="D686" s="32" t="str">
        <x:v>• Classic SIG pistol family.
• SIG SAUER defense pistol product/family listed in the 2026 Defense Catalogue. Detailed calibre, barrel, dimensions and weight are model/variant-specific; current catalogue is the controlling product source.</x:v>
      </x:c>
      <x:c r="E686" s="32" t="str">
        <x:v>• Military, government and law-enforcement pistol families; variant-dependent configuration.
• Military, government and professional pistol family; variant-dependent configuration.</x:v>
      </x:c>
      <x:c r="F686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687" ht="210" customHeight="1">
      <x:c r="A687" s="37" t="str">
        <x:v>SIG Sauer</x:v>
      </x:c>
      <x:c r="B687" s="32" t="str">
        <x:v>Small Arms</x:v>
      </x:c>
      <x:c r="C687" s="32" t="str">
        <x:v>CROSS TACOPS</x:v>
      </x:c>
      <x:c r="D687" s="32" t="str">
        <x:v>• Precision bolt-action rifle family listed in defense catalogue.
• Bolt-action precision rifle; calibre/configuration varies by defence catalogue offering</x:v>
      </x:c>
      <x:c r="E687" s="32" t="str">
        <x:v>• Modular military small-arms platforms; configuration-dependent optics, suppressors and accessories.
• Compact precision-rifle / special-operations platform</x:v>
      </x:c>
      <x:c r="F687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88" ht="210" customHeight="1">
      <x:c r="A688" s="37" t="str">
        <x:v>SIG Sauer</x:v>
      </x:c>
      <x:c r="B688" s="32" t="str">
        <x:v>Small Arms</x:v>
      </x:c>
      <x:c r="C688" s="32" t="str">
        <x:v>M17 / M18</x:v>
      </x:c>
      <x:c r="D688" s="32" t="str">
        <x:v>• 9 mm service pistols
• U.S. Modular Handgun System family; over 500,000 fielded/adopted across U.S. military branches according to SIG.
• Calibre: 9×19 mm
• Overall length: 204.75 mm
• Height: 141.9 mm
• Width: 39.6 mm
• Barrel length: 119.38 mm
• Rifling: 1:10, 6 RH grooves
• Weight without magazine: 0.76 kg
• Weight with empty 17-rd magazine: 0.85 kg
• Trigger pull: 26.6–31.1 N
• Overall length: 184.15 mm
• Barrel length: 99.06 mm
• Weight without magazine: 0.70 kg
• Weight with empty 17-rd magazine: 0.79 kg</x:v>
      </x:c>
      <x:c r="E688" s="32" t="str">
        <x:v>• Military, government and law-enforcement pistol families; variant-dependent configuration.
• US military full-size Modular Handgun System
• Striker fired
• Ambidextrous controls/manual safety
• Compact US military Modular Handgun System</x:v>
      </x:c>
      <x:c r="F688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https://www.sigsauer.com/media/sigsauer/resources/OPERATOR_MANUAL_M17_M18_COMMERCIAL_1302517-01_REV05_WEB_FILE.pdf</x:v>
      </x:c>
    </x:row>
    <x:row r="689" ht="210" customHeight="1">
      <x:c r="A689" s="37" t="str">
        <x:v>SIG Sauer</x:v>
      </x:c>
      <x:c r="B689" s="32" t="str">
        <x:v>Small Arms</x:v>
      </x:c>
      <x:c r="C689" s="32" t="str">
        <x:v>M17 / M18 AAL</x:v>
      </x:c>
      <x:c r="D689" s="32" t="str">
        <x:v>• M17/M18 accessory/advanced configuration listed in defense catalogue.</x:v>
      </x:c>
      <x:c r="E689" s="32" t="str">
        <x:v>• Military, government and law-enforcement pistol families; variant-dependent configuration.</x:v>
      </x:c>
      <x:c r="F689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90" ht="210" customHeight="1">
      <x:c r="A690" s="37" t="str">
        <x:v>SIG Sauer</x:v>
      </x:c>
      <x:c r="B690" s="32" t="str">
        <x:v>Small Arms</x:v>
      </x:c>
      <x:c r="C690" s="32" t="str">
        <x:v>M17 / M18 PRO</x:v>
      </x:c>
      <x:c r="D690" s="32" t="str">
        <x:v>• Enhanced M17/M18 family.</x:v>
      </x:c>
      <x:c r="E690" s="32" t="str">
        <x:v>• Military, government and law-enforcement pistol families; variant-dependent configuration.</x:v>
      </x:c>
      <x:c r="F690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91" ht="210" customHeight="1">
      <x:c r="A691" s="37" t="str">
        <x:v>SIG Sauer</x:v>
      </x:c>
      <x:c r="B691" s="32" t="str">
        <x:v>Small Arms</x:v>
      </x:c>
      <x:c r="C691" s="32" t="str">
        <x:v>M250 / SIG LMG (6.8 mm)</x:v>
      </x:c>
      <x:c r="D691" s="32" t="str">
        <x:v>• 6.8×51 mm Hybrid; select-fire belt-fed; gas piston/open bolt; aluminum receiver; hammer-forged steel barrel
• 50/100-round belt configurations. Current catalog identifies it as the U.S. Army NGSW machine gun.
• 6.8×51 Hybrid
• Gen platform with gas piston/open bolt
• SIG 2021 technical sheet gives 406 mm barrel, 940 mm collapsed length, 298 mm height with bipod and 234 mm width with bipod
• 50/100-round belts.
• 6.8×51 mm Hybrid
• U.S. Army NGSW light machine gun; belt-fed
• SIG LMG family; current defense catalogue product. Detailed 2026 catalogue values are configuration-controlled.
• 6.8×51 Hybrid / 7.62×51 NATO; gas piston, open bolt; aluminum receiver; hammer-forged steel barrel
• 50/100-round belt
• 940 mm collapsed length
• 298 mm height with bipod
• 234 mm width with bipod
• 406 mm (16 in) barrel
• 1:10 RH twist for 6.8 configuration; suppressed/unsuppressed gas settings.
• Calibre: 6.8×51 mm
• Weight: 13.0 lb / 5.90 kg
• 14.5 lb / 6.58 kg with suppressor
• Length: 36.75 in / 933 mm
• 41.9 in / 1,064 mm with suppressor
• Barrel length: 17.5 in / 445 mm
• Belt-fed, select fire
• 6.8×51 mm hybrid cartridge uses a steel/stainless head mechanically joined to a brass body; maximum average chamber pressure cited in the audit: ~80,000 psi / 550 MPa.</x:v>
      </x:c>
      <x:c r="E691" s="32" t="str">
        <x:v>• Modular military small-arms platforms; configuration-dependent optics, suppressors and accessories.
• Lightweight belt-fed machine-gun development; reduced recoil; quick-change barrel/feeding concepts.
• Military/defense rifle platform; modular configuration depending model.
• NGSW squad automatic weapon
• Collapsible stock
• M-LOK
• Recoil-mitigation system
• Suppressor-optimised</x:v>
      </x:c>
      <x:c r="F691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https://www.sigsauer.com/blog/the-objective-the-sig-mmg-338-program-tested-and-delivered-part-2
https://www.sigsauer.com/defensecatalog
https://cpeground.army.mil/Equipment/Equipment-Portfolio/PM-SL-Portfolio/M250-Automatic-Rifle/</x:v>
      </x:c>
    </x:row>
    <x:row r="692" ht="210" customHeight="1">
      <x:c r="A692" s="37" t="str">
        <x:v>SIG Sauer</x:v>
      </x:c>
      <x:c r="B692" s="32" t="str">
        <x:v>Small Arms</x:v>
      </x:c>
      <x:c r="C692" s="32" t="str">
        <x:v>M400 PRO</x:v>
      </x:c>
      <x:c r="D692" s="32" t="str">
        <x:v>• 5.56 mm AR-pattern rifle platform listed in defense catalogue.</x:v>
      </x:c>
      <x:c r="E692" s="32" t="str">
        <x:v>• Modular military small-arms platforms; configuration-dependent optics, suppressors and accessories.</x:v>
      </x:c>
      <x:c r="F692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93" ht="210" customHeight="1">
      <x:c r="A693" s="37" t="str">
        <x:v>SIG Sauer</x:v>
      </x:c>
      <x:c r="B693" s="32" t="str">
        <x:v>Small Arms</x:v>
      </x:c>
      <x:c r="C693" s="32" t="str">
        <x:v>MCX LT 300 BLK</x:v>
      </x:c>
      <x:c r="D693" s="32" t="str">
        <x:v>• 300 BLK MCX platform.
• SIG SAUER defense rifle product
• MCX LT 300BLK is listed in the 2026 Defense Catalogue. Calibre, barrel, dimensions and weight are configuration-specific or catalogue-page dependent.</x:v>
      </x:c>
      <x:c r="E693" s="32" t="str">
        <x:v>• Modular military small-arms platforms; configuration-dependent optics, suppressors and accessories.
• Military/defense rifle platform; modular configuration depending model.</x:v>
      </x:c>
      <x:c r="F693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694" ht="210" customHeight="1">
      <x:c r="A694" s="37" t="str">
        <x:v>SIG Sauer</x:v>
      </x:c>
      <x:c r="B694" s="32" t="str">
        <x:v>Small Arms</x:v>
      </x:c>
      <x:c r="C694" s="32" t="str">
        <x:v>MCX LT 5.56</x:v>
      </x:c>
      <x:c r="D694" s="32" t="str">
        <x:v>• 5.56×45 mm modular MCX rifle family.
• Calibre: 5.56×45 NATO
• Barrel options: 9 / 11.5 / 14.5 / 16 in
• Weight without magazine: 6.3 / 6.9 / 7.25 / 7.4 lb respectively
• Extended length: 26.75 / 29.25 / 32.25 / 33.75 in
• Rifling: 1:7
• Select fire</x:v>
      </x:c>
      <x:c r="E694" s="32" t="str">
        <x:v>• Modular military small-arms platforms; configuration-dependent optics, suppressors and accessories.
• Short-stroke gas piston
• Folding/collapsible stock
• M-LOK
• Ambidextrous controls
• Suppressor-optimised</x:v>
      </x:c>
      <x:c r="F694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95" ht="210" customHeight="1">
      <x:c r="A695" s="37" t="str">
        <x:v>SIG Sauer</x:v>
      </x:c>
      <x:c r="B695" s="32" t="str">
        <x:v>Small Arms</x:v>
      </x:c>
      <x:c r="C695" s="32" t="str">
        <x:v>MCX LT 7.62×39</x:v>
      </x:c>
      <x:c r="D695" s="32" t="str">
        <x:v>• 7.62×39 mm MCX platform.
• SIG SAUER defense rifle product
• MCX LT 7.62X39 is listed in the 2026 Defense Catalogue. Calibre, barrel, dimensions and weight are configuration-specific or catalogue-page dependent.</x:v>
      </x:c>
      <x:c r="E695" s="32" t="str">
        <x:v>• Modular military small-arms platforms; configuration-dependent optics, suppressors and accessories.
• Military/defense rifle platform; modular configuration depending model.</x:v>
      </x:c>
      <x:c r="F695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696" ht="210" customHeight="1">
      <x:c r="A696" s="37" t="str">
        <x:v>SIG Sauer</x:v>
      </x:c>
      <x:c r="B696" s="32" t="str">
        <x:v>Small Arms</x:v>
      </x:c>
      <x:c r="C696" s="32" t="str">
        <x:v>MCX RATTLER</x:v>
      </x:c>
      <x:c r="D696" s="32" t="str">
        <x:v>• Compact MCX family; multiple short-barrel configurations; defense catalog product.
• Compact MCX short-barrel platform
• Calibre/barrel options vary by 5.56 and .300 BLK defence configuration</x:v>
      </x:c>
      <x:c r="E696" s="32" t="str">
        <x:v>• Modular military small-arms platforms; configuration-dependent optics, suppressors and accessories.
• Ultra-compact suppressed-use platform
• Folding stock and short-stroke piston</x:v>
      </x:c>
      <x:c r="F696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97" ht="210" customHeight="1">
      <x:c r="A697" s="37" t="str">
        <x:v>SIG Sauer</x:v>
      </x:c>
      <x:c r="B697" s="32" t="str">
        <x:v>Small Arms</x:v>
      </x:c>
      <x:c r="C697" s="32" t="str">
        <x:v>MCX SPEAR / M7</x:v>
      </x:c>
      <x:c r="D697" s="32" t="str">
        <x:v>• 6.8×51 Hybrid / 7.62×51 NATO / 6.5 Creedmoor; gas piston, rotating bolt
• M-LOK handguard; folding/collapsible stock
• 11/13/16-inch barrel options depending configuration
• 20-round magazine shown for M7.
• 6.8×51 mm
• U.S. Army NGSW rifle designation M7
• MCX SPEAR platform; gas-piston/short-stroke operating architecture; defense catalogue product.
• Calibres: 6.8×51 Hybrid / 7.62×51 NATO / 6.5 Creedmoor
• Barrel options: 13 in and 16 in
• M7 catalogue reference 16 in
• Magazine: 20 rounds
• Operating system: gas piston, rotating bolt
• Select fire</x:v>
      </x:c>
      <x:c r="E697" s="32" t="str">
        <x:v>• Modular military small-arms platforms; configuration-dependent optics, suppressors and accessories.
• Military/defense rifle platform; modular configuration depending model.
• Folding 1913-interface stock
• M-LOK
• Ambidextrous controls
• Suppressor optimised
• Side + M4-style charging handles</x:v>
      </x:c>
      <x:c r="F697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698" ht="210" customHeight="1">
      <x:c r="A698" s="37" t="str">
        <x:v>SIG Sauer</x:v>
      </x:c>
      <x:c r="B698" s="32" t="str">
        <x:v>Small Arms</x:v>
      </x:c>
      <x:c r="C698" s="32" t="str">
        <x:v>MCX SPEAR DMR</x:v>
      </x:c>
      <x:c r="D698" s="32" t="str">
        <x:v>• 6.8×51 / 7.62×51 / 6.5 Creedmoor family; designated-marksman configuration of MCX SPEAR platform.
• Multi-calibre MCX SPEAR designated-marksman configuration
• Precise barrel/weight data configuration-dependent in 2026 defence catalogue</x:v>
      </x:c>
      <x:c r="E698" s="32" t="str">
        <x:v>• Modular military small-arms platforms; configuration-dependent optics, suppressors and accessories.
• Precision semi/selected-fire MCX SPEAR derivative
• Suppressor/optic integration</x:v>
      </x:c>
      <x:c r="F698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699" ht="210" customHeight="1">
      <x:c r="A699" s="37" t="str">
        <x:v>SIG Sauer</x:v>
      </x:c>
      <x:c r="B699" s="32" t="str">
        <x:v>Small Arms</x:v>
      </x:c>
      <x:c r="C699" s="32" t="str">
        <x:v>MPX</x:v>
      </x:c>
      <x:c r="D699" s="32" t="str">
        <x:v>• 9 mm SIG submachine-gun/PDW family.
• Calibre: 9×19 mm in primary defence configuration
• Short-stroke gas-piston submachine-gun architecture</x:v>
      </x:c>
      <x:c r="E699" s="32" t="str">
        <x:v>• Modular military small-arms platforms; configuration-dependent optics, suppressors and accessories.
• Modular SMG
• Ambidextrous controls
• Multiple barrel/stock configurations</x:v>
      </x:c>
      <x:c r="F699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00" ht="210" customHeight="1">
      <x:c r="A700" s="37" t="str">
        <x:v>SIG Sauer</x:v>
      </x:c>
      <x:c r="B700" s="32" t="str">
        <x:v>Small Arms</x:v>
      </x:c>
      <x:c r="C700" s="32" t="str">
        <x:v>P211</x:v>
      </x:c>
      <x:c r="D700" s="32" t="str">
        <x:v>• Pistol listed in 2026 defense catalogue.</x:v>
      </x:c>
      <x:c r="E700" s="32" t="str">
        <x:v>• Military, government and law-enforcement pistol families; variant-dependent configuration.</x:v>
      </x:c>
      <x:c r="F700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01" ht="210" customHeight="1">
      <x:c r="A701" s="37" t="str">
        <x:v>SIG Sauer</x:v>
      </x:c>
      <x:c r="B701" s="32" t="str">
        <x:v>Small Arms</x:v>
      </x:c>
      <x:c r="C701" s="32" t="str">
        <x:v>P226X Carry PRO</x:v>
      </x:c>
      <x:c r="D701" s="32" t="str">
        <x:v>• P226-series carry pistol.
• SIG SAUER defense pistol product/family listed in the 2026 Defense Catalogue. Detailed calibre, barrel, dimensions and weight are model/variant-specific; current catalogue is the controlling product source.</x:v>
      </x:c>
      <x:c r="E701" s="32" t="str">
        <x:v>• Military, government and law-enforcement pistol families; variant-dependent configuration.
• Military, government and professional pistol family; variant-dependent configuration.</x:v>
      </x:c>
      <x:c r="F701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702" ht="210" customHeight="1">
      <x:c r="A702" s="37" t="str">
        <x:v>SIG Sauer</x:v>
      </x:c>
      <x:c r="B702" s="32" t="str">
        <x:v>Small Arms</x:v>
      </x:c>
      <x:c r="C702" s="32" t="str">
        <x:v>P226X PRO</x:v>
      </x:c>
      <x:c r="D702" s="32" t="str">
        <x:v>• P226-series professional pistol.</x:v>
      </x:c>
      <x:c r="E702" s="32" t="str">
        <x:v>• Military, government and law-enforcement pistol families; variant-dependent configuration.</x:v>
      </x:c>
      <x:c r="F702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03" ht="210" customHeight="1">
      <x:c r="A703" s="37" t="str">
        <x:v>SIG Sauer</x:v>
      </x:c>
      <x:c r="B703" s="32" t="str">
        <x:v>Small Arms</x:v>
      </x:c>
      <x:c r="C703" s="32" t="str">
        <x:v>P320</x:v>
      </x:c>
      <x:c r="D703" s="32" t="str">
        <x:v>• Modular striker-fired pistol family
• 9 mm platform with multiple configurations.
• Calibre/barrel/magazine vary by configuration</x:v>
      </x:c>
      <x:c r="E703" s="32" t="str">
        <x:v>• Military, government and law-enforcement pistol families; variant-dependent configuration.
• Fire-control-unit modularity
• Military/law-enforcement variants
• Optics-ready variants</x:v>
      </x:c>
      <x:c r="F703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https://www.sigsauer.com/p320-safety-technical-standards</x:v>
      </x:c>
    </x:row>
    <x:row r="704" ht="210" customHeight="1">
      <x:c r="A704" s="37" t="str">
        <x:v>SIG Sauer</x:v>
      </x:c>
      <x:c r="B704" s="32" t="str">
        <x:v>Small Arms</x:v>
      </x:c>
      <x:c r="C704" s="32" t="str">
        <x:v>P320 PRO Series</x:v>
      </x:c>
      <x:c r="D704" s="32" t="str">
        <x:v>• Professional/defense P320 variants.
• SIG SAUER defense pistol product/family listed in the 2026 Defense Catalogue. Detailed calibre, barrel, dimensions and weight are model/variant-specific; current catalogue is the controlling product source.</x:v>
      </x:c>
      <x:c r="E704" s="32" t="str">
        <x:v>• Military, government and law-enforcement pistol families; variant-dependent configuration.
• Military, government and professional pistol family; variant-dependent configuration.</x:v>
      </x:c>
      <x:c r="F704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705" ht="210" customHeight="1">
      <x:c r="A705" s="37" t="str">
        <x:v>SIG Sauer</x:v>
      </x:c>
      <x:c r="B705" s="32" t="str">
        <x:v>Small Arms</x:v>
      </x:c>
      <x:c r="C705" s="32" t="str">
        <x:v>P320 Training</x:v>
      </x:c>
      <x:c r="D705" s="32" t="str">
        <x:v>• Training configuration.
• SIG SAUER defense pistol product/family listed in the 2026 Defense Catalogue. Detailed calibre, barrel, dimensions and weight are model/variant-specific; current catalogue is the controlling product source.</x:v>
      </x:c>
      <x:c r="E705" s="32" t="str">
        <x:v>• Military, government and law-enforcement pistol families; variant-dependent configuration.
• Military, government and professional pistol family; variant-dependent configuration.</x:v>
      </x:c>
      <x:c r="F705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706" ht="210" customHeight="1">
      <x:c r="A706" s="37" t="str">
        <x:v>SIG Sauer</x:v>
      </x:c>
      <x:c r="B706" s="32" t="str">
        <x:v>Small Arms</x:v>
      </x:c>
      <x:c r="C706" s="32" t="str">
        <x:v>P365</x:v>
      </x:c>
      <x:c r="D706" s="32" t="str">
        <x:v>• 9 mm compact pistol family.</x:v>
      </x:c>
      <x:c r="E706" s="32" t="str">
        <x:v>• Military, government and law-enforcement pistol families; variant-dependent configuration.</x:v>
      </x:c>
      <x:c r="F706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07" ht="210" customHeight="1">
      <x:c r="A707" s="37" t="str">
        <x:v>SIG Sauer</x:v>
      </x:c>
      <x:c r="B707" s="32" t="str">
        <x:v>Small Arms</x:v>
      </x:c>
      <x:c r="C707" s="32" t="str">
        <x:v>P365 X-Series</x:v>
      </x:c>
      <x:c r="D707" s="32" t="str">
        <x:v>• P365 modular variants.
• SIG SAUER defense pistol product/family listed in the 2026 Defense Catalogue. Detailed calibre, barrel, dimensions and weight are model/variant-specific; current catalogue is the controlling product source.</x:v>
      </x:c>
      <x:c r="E707" s="32" t="str">
        <x:v>• Military, government and law-enforcement pistol families; variant-dependent configuration.
• Military, government and professional pistol family; variant-dependent configuration.</x:v>
      </x:c>
      <x:c r="F707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708" ht="210" customHeight="1">
      <x:c r="A708" s="37" t="str">
        <x:v>SIG Sauer</x:v>
      </x:c>
      <x:c r="B708" s="32" t="str">
        <x:v>Small Arms</x:v>
      </x:c>
      <x:c r="C708" s="32" t="str">
        <x:v>P365-AXG</x:v>
      </x:c>
      <x:c r="D708" s="32" t="str">
        <x:v>• P365 alloy-frame configuration.</x:v>
      </x:c>
      <x:c r="E708" s="32" t="str">
        <x:v>• Military, government and law-enforcement pistol families; variant-dependent configuration.</x:v>
      </x:c>
      <x:c r="F708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09" ht="210" customHeight="1">
      <x:c r="A709" s="37" t="str">
        <x:v>SIG Sauer</x:v>
      </x:c>
      <x:c r="B709" s="32" t="str">
        <x:v>Small Arms</x:v>
      </x:c>
      <x:c r="C709" s="32" t="str">
        <x:v>P365-FUSE</x:v>
      </x:c>
      <x:c r="D709" s="32" t="str">
        <x:v>• P365 full-size/competition-oriented configuration.</x:v>
      </x:c>
      <x:c r="E709" s="32" t="str">
        <x:v>• Military, government and law-enforcement pistol families; variant-dependent configuration.</x:v>
      </x:c>
      <x:c r="F709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10" ht="210" customHeight="1">
      <x:c r="A710" s="37" t="str">
        <x:v>SIG Sauer</x:v>
      </x:c>
      <x:c r="B710" s="32" t="str">
        <x:v>Small Arms</x:v>
      </x:c>
      <x:c r="C710" s="32" t="str">
        <x:v>P365-Macro</x:v>
      </x:c>
      <x:c r="D710" s="32" t="str">
        <x:v>• High-capacity compact pistol family.
• SIG SAUER defense pistol product/family listed in the 2026 Defense Catalogue. Detailed calibre, barrel, dimensions and weight are model/variant-specific; current catalogue is the controlling product source.</x:v>
      </x:c>
      <x:c r="E710" s="32" t="str">
        <x:v>• Military, government and law-enforcement pistol families; variant-dependent configuration.
• Military, government and professional pistol family; variant-dependent configuration.</x:v>
      </x:c>
      <x:c r="F710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x:v>
      </x:c>
    </x:row>
    <x:row r="711" ht="210" customHeight="1">
      <x:c r="A711" s="37" t="str">
        <x:v>SIG Sauer</x:v>
      </x:c>
      <x:c r="B711" s="32" t="str">
        <x:v>Small Arms</x:v>
      </x:c>
      <x:c r="C711" s="32" t="str">
        <x:v>SIG HYP</x:v>
      </x:c>
      <x:c r="D711" s="32" t="str">
        <x:v>• Defense rifle platform listed in 2026 defense catalogue; detailed technical values subject to configuration.</x:v>
      </x:c>
      <x:c r="E711" s="32" t="str">
        <x:v>• Modular military small-arms platforms; configuration-dependent optics, suppressors and accessories.</x:v>
      </x:c>
      <x:c r="F711" s="38" t="str">
        <x:v>https://www.sigsauer.com/media/sigsauer/resources/FULL_DEFENSE_CAT_26_PRINT.pdf
https://www.sigsauer.com/defense-rifles
https://www.sigsauer.com/blog/the-objective-by-sig-sauer-the-official-go-to-resource-on-military-small-arms</x:v>
      </x:c>
    </x:row>
    <x:row r="712" ht="210" customHeight="1">
      <x:c r="A712" s="37" t="str">
        <x:v>SIG Sauer</x:v>
      </x:c>
      <x:c r="B712" s="32" t="str">
        <x:v>Small Arms</x:v>
      </x:c>
      <x:c r="C712" s="32" t="str">
        <x:v>SIG MMG 338</x:v>
      </x:c>
      <x:c r="D712" s="32" t="str">
        <x:v>• .338 Norma Magnum
• Gen4 submission-ready gun publicly reported at 25.34 lb; &gt;3,500 mean rounds between stoppages; earlier design requirement included 24-inch quick-change barrels, 500–600 rpm and 2,000 m area-target goal.
• 338 Norma Mag / 7.62×51 NATO / 338 Norma Hybrid; gas piston, open bolt; aluminum receiver
• 1,270 mm collapsed
• 368 mm height with bipod
• 305 mm width with bipod
• 24 in barrel for .338 NM / 22 in for 7.62
• 50/100-round belt or flex chute; quick-change barrel; proprietary recoil mitigation.
• Calibre: .338 Norma Magnum
• Weight: &lt;20 lb / &lt;9.1 kg in SIG certification release
• Barrel: 24 in programme baseline
• Rate of fire objective: 500–600 rounds/min
• Area target range objective: 2,000 m
• Convertible to 7.62×51 mm</x:v>
      </x:c>
      <x:c r="E712" s="32" t="str">
        <x:v>• Lightweight belt-fed machine-gun development; reduced recoil; quick-change barrel/feeding concepts.
• Military/defense rifle platform; modular configuration depending model.
• Belt-fed medium machine gun
• Quick-change barrel
• Proprietary recoil-mitigation
• Ambidextrous / switchable feed</x:v>
      </x:c>
      <x:c r="F712" s="38" t="str">
        <x:v>https://www.sigsauer.com/media/sigsauer/resources/FULL_DEFENSE_CAT_26_PRINT.pdf
https://www.sigsauer.com/defense-rifles
https://www.sigsauer.com/blog/the-objective-by-sig-sauer-the-official-go-to-resource-on-military-small-arms
https://www.sigsauer.com/blog/the-objective-the-sig-mmg-338-program-tested-and-delivered-part-2
https://www.sigsauer.com/defensecatalog
https://www.sigsauer.com/blog/ussocom-purchases-mg-338-machine-guns
https://www.sigsauer.com/blog/the-sig-mmg-338-program-conception-to-reality-part-1</x:v>
      </x:c>
    </x:row>
    <x:row r="713" ht="210" customHeight="1">
      <x:c r="A713" s="37" t="str">
        <x:v>SIG Sauer</x:v>
      </x:c>
      <x:c r="B713" s="32" t="str">
        <x:v>Small Arms</x:v>
      </x:c>
      <x:c r="C713" s="32" t="str">
        <x:v>SLQ / SQX</x:v>
      </x:c>
      <x:c r="D713" s="32" t="str">
        <x:v>• SIG SAUER suppressor family listed in 2026 Defense Catalogue
• SLQ / SQX is a distinct catalogue line. Calibre, length, weight and attenuation depend on model/configuration.</x:v>
      </x:c>
      <x:c r="E713" s="32" t="str">
        <x:v>• Signature reduction / weapon-system integration.</x:v>
      </x:c>
      <x:c r="F713" s="38" t="str">
        <x:v>https://www.sigsauer.com/media/sigsauer/resources/FULL_DEFENSE_CAT_26_PRINT.pdf
https://www.sigsauer.com/defensecatalog
https://www.sigsauer.com/blog/the-objective-the-sig-mmg-338-program-tested-and-delivered-part-2</x:v>
      </x:c>
    </x:row>
    <x:row r="714" ht="210" customHeight="1">
      <x:c r="A714" s="37" t="str">
        <x:v>SSS Defence</x:v>
      </x:c>
      <x:c r="B714" s="32" t="str">
        <x:v>Ammunition</x:v>
      </x:c>
      <x:c r="C714" s="32" t="str">
        <x:v>.338 Lapua Magnum HPBT 250 gr</x:v>
      </x:c>
      <x:c r="D714" s="32" t="str">
        <x:v>• Cartridge length 91.8 mm; cartridge weight 43.1 g; projectile 16.2 g; velocity at 100 m 820.7 m/s; action time &lt;5 ms.</x:v>
      </x:c>
      <x:c r="E714" s="32" t="str">
        <x:v>• Ball, tracer, linked, AP, match and subsonic ammunition; transfer-of-technology domestic manufacturing.</x:v>
      </x:c>
      <x:c r="F714" s="38" t="str">
        <x:v>https://www.sssdefence.com/ammunition</x:v>
      </x:c>
    </x:row>
    <x:row r="715" ht="210" customHeight="1">
      <x:c r="A715" s="37" t="str">
        <x:v>SSS Defence</x:v>
      </x:c>
      <x:c r="B715" s="32" t="str">
        <x:v>Ammunition</x:v>
      </x:c>
      <x:c r="C715" s="32" t="str">
        <x:v>.338 Lapua Magnum HPBT 300 gr</x:v>
      </x:c>
      <x:c r="D715" s="32" t="str">
        <x:v>• Cartridge length 92.3 mm; cartridge weight 50.4 g; projectile 19.4 g; velocity at 24 m 761.5 m/s; action time &lt;5 ms.</x:v>
      </x:c>
      <x:c r="E715" s="32" t="str">
        <x:v>• Ball, tracer, linked, AP, match and subsonic ammunition; transfer-of-technology domestic manufacturing.</x:v>
      </x:c>
      <x:c r="F715" s="38" t="str">
        <x:v>https://www.sssdefence.com/ammunition</x:v>
      </x:c>
    </x:row>
    <x:row r="716" ht="210" customHeight="1">
      <x:c r="A716" s="37" t="str">
        <x:v>SSS Defence</x:v>
      </x:c>
      <x:c r="B716" s="32" t="str">
        <x:v>Ammunition</x:v>
      </x:c>
      <x:c r="C716" s="32" t="str">
        <x:v>.338 Lapua Magnum Match 250 gr</x:v>
      </x:c>
      <x:c r="D716" s="32" t="str">
        <x:v>• Cartridge length 91.8 mm; cartridge weight 41.8 g; projectile 16.2 g; velocity at 100 m 833.2 m/s; action time &lt;5 ms.</x:v>
      </x:c>
      <x:c r="E716" s="32" t="str">
        <x:v>• Ball, tracer, linked, AP, match and subsonic ammunition; transfer-of-technology domestic manufacturing.</x:v>
      </x:c>
      <x:c r="F716" s="38" t="str">
        <x:v>https://www.sssdefence.com/ammunition</x:v>
      </x:c>
    </x:row>
    <x:row r="717" ht="210" customHeight="1">
      <x:c r="A717" s="37" t="str">
        <x:v>SSS Defence</x:v>
      </x:c>
      <x:c r="B717" s="32" t="str">
        <x:v>Ammunition</x:v>
      </x:c>
      <x:c r="C717" s="32" t="str">
        <x:v>12.7×99 mm Armor Piercing M2</x:v>
      </x:c>
      <x:c r="D717" s="32" t="str">
        <x:v>• Cartridge data publicly listed by SSS/CBC page; cartridge weight 59.8 g; action time &lt;4.5 ms; projectile mass/velocity not fully stated on cited page.</x:v>
      </x:c>
      <x:c r="E717" s="32" t="str">
        <x:v>• Ball, tracer, linked, AP, match and subsonic ammunition; transfer-of-technology domestic manufacturing.</x:v>
      </x:c>
      <x:c r="F717" s="38" t="str">
        <x:v>https://www.sssdefence.com/ammunition</x:v>
      </x:c>
    </x:row>
    <x:row r="718" ht="210" customHeight="1">
      <x:c r="A718" s="37" t="str">
        <x:v>SSS Defence</x:v>
      </x:c>
      <x:c r="B718" s="32" t="str">
        <x:v>Ammunition</x:v>
      </x:c>
      <x:c r="C718" s="32" t="str">
        <x:v>12.7×99 mm Ball M33</x:v>
      </x:c>
      <x:c r="D718" s="32" t="str">
        <x:v>• Cartridge length 137.8 mm; cartridge weight 117.0 g; projectile 45.1 g; velocity at 24 m 856 m/s; action time &lt;4.5 ms.</x:v>
      </x:c>
      <x:c r="E718" s="32" t="str">
        <x:v>• Ball, tracer, linked, AP, match and subsonic ammunition; transfer-of-technology domestic manufacturing.</x:v>
      </x:c>
      <x:c r="F718" s="38" t="str">
        <x:v>https://www.sssdefence.com/ammunition</x:v>
      </x:c>
    </x:row>
    <x:row r="719" ht="210" customHeight="1">
      <x:c r="A719" s="37" t="str">
        <x:v>SSS Defence</x:v>
      </x:c>
      <x:c r="B719" s="32" t="str">
        <x:v>Ammunition</x:v>
      </x:c>
      <x:c r="C719" s="32" t="str">
        <x:v>12.7×99 mm Tracer M17</x:v>
      </x:c>
      <x:c r="D719" s="32" t="str">
        <x:v>• Cartridge length 137.8 mm; cartridge weight 112.7 g; projectile 40.9 g; velocity at 24 m 856 m/s class; action time &lt;4.5 ms.</x:v>
      </x:c>
      <x:c r="E719" s="32" t="str">
        <x:v>• Ball, tracer, linked, AP, match and subsonic ammunition; transfer-of-technology domestic manufacturing.</x:v>
      </x:c>
      <x:c r="F719" s="38" t="str">
        <x:v>https://www.sssdefence.com/ammunition</x:v>
      </x:c>
    </x:row>
    <x:row r="720" ht="210" customHeight="1">
      <x:c r="A720" s="37" t="str">
        <x:v>SSS Defence</x:v>
      </x:c>
      <x:c r="B720" s="32" t="str">
        <x:v>Ammunition</x:v>
      </x:c>
      <x:c r="C720" s="32" t="str">
        <x:v>5.56×45 mm NATO Ball M193</x:v>
      </x:c>
      <x:c r="D720" s="32" t="str">
        <x:v>• Cartridge length 57 mm; cartridge weight 11.5 g; projectile 3.56 g; velocity at 24 m 965 m/s; action time &lt;4 ms.</x:v>
      </x:c>
      <x:c r="E720" s="32" t="str">
        <x:v>• Ball, tracer, linked, AP, match and subsonic ammunition; transfer-of-technology domestic manufacturing.</x:v>
      </x:c>
      <x:c r="F720" s="38" t="str">
        <x:v>https://www.sssdefence.com/ammunition</x:v>
      </x:c>
    </x:row>
    <x:row r="721" ht="210" customHeight="1">
      <x:c r="A721" s="37" t="str">
        <x:v>SSS Defence</x:v>
      </x:c>
      <x:c r="B721" s="32" t="str">
        <x:v>Ammunition</x:v>
      </x:c>
      <x:c r="C721" s="32" t="str">
        <x:v>5.56×45 mm NATO Ball SS109</x:v>
      </x:c>
      <x:c r="D721" s="32" t="str">
        <x:v>• Cartridge length 57 mm; cartridge weight 12.1 g; projectile 4.0 g; velocity at 24 m 912 m/s; action time &lt;3 ms.</x:v>
      </x:c>
      <x:c r="E721" s="32" t="str">
        <x:v>• Ball, tracer, linked, AP, match and subsonic ammunition; transfer-of-technology domestic manufacturing.</x:v>
      </x:c>
      <x:c r="F721" s="38" t="str">
        <x:v>https://www.sssdefence.com/ammunition</x:v>
      </x:c>
    </x:row>
    <x:row r="722" ht="210" customHeight="1">
      <x:c r="A722" s="37" t="str">
        <x:v>SSS Defence</x:v>
      </x:c>
      <x:c r="B722" s="32" t="str">
        <x:v>Ammunition</x:v>
      </x:c>
      <x:c r="C722" s="32" t="str">
        <x:v>7.62×51 mm NATO Armor Piercing</x:v>
      </x:c>
      <x:c r="D722" s="32" t="str">
        <x:v>• Cartridge length 70.75 mm; cartridge weight 24.6 g; projectile 9.55 g; action time &lt;4 ms.</x:v>
      </x:c>
      <x:c r="E722" s="32" t="str">
        <x:v>• Ball, tracer, linked, AP, match and subsonic ammunition; transfer-of-technology domestic manufacturing.</x:v>
      </x:c>
      <x:c r="F722" s="38" t="str">
        <x:v>https://www.sssdefence.com/ammunition</x:v>
      </x:c>
    </x:row>
    <x:row r="723" ht="210" customHeight="1">
      <x:c r="A723" s="37" t="str">
        <x:v>SSS Defence</x:v>
      </x:c>
      <x:c r="B723" s="32" t="str">
        <x:v>Ammunition</x:v>
      </x:c>
      <x:c r="C723" s="32" t="str">
        <x:v>7.62×51 mm NATO Ball</x:v>
      </x:c>
      <x:c r="D723" s="32" t="str">
        <x:v>• Cartridge length 70.75 mm; cartridge weight 24.5 g; projectile 9.33 g; velocity at 24 m 833 m/s; action time &lt;4 ms.</x:v>
      </x:c>
      <x:c r="E723" s="32" t="str">
        <x:v>• Ball, tracer, linked, AP, match and subsonic ammunition; transfer-of-technology domestic manufacturing.</x:v>
      </x:c>
      <x:c r="F723" s="38" t="str">
        <x:v>https://www.sssdefence.com/ammunition</x:v>
      </x:c>
    </x:row>
    <x:row r="724" ht="210" customHeight="1">
      <x:c r="A724" s="37" t="str">
        <x:v>SSS Defence</x:v>
      </x:c>
      <x:c r="B724" s="32" t="str">
        <x:v>Ammunition</x:v>
      </x:c>
      <x:c r="C724" s="32" t="str">
        <x:v>7.62×51 mm NATO Linked</x:v>
      </x:c>
      <x:c r="D724" s="32" t="str">
        <x:v>• 70.75 mm cartridge; ball 24.5 g / tracer 24 g; projectile 9.33 / 9.0 g; velocity 833 m/s; action time &lt;4 ms.</x:v>
      </x:c>
      <x:c r="E724" s="32" t="str">
        <x:v>• Ball, tracer, linked, AP, match and subsonic ammunition; transfer-of-technology domestic manufacturing.</x:v>
      </x:c>
      <x:c r="F724" s="38" t="str">
        <x:v>https://www.sssdefence.com/ammunition</x:v>
      </x:c>
    </x:row>
    <x:row r="725" ht="210" customHeight="1">
      <x:c r="A725" s="37" t="str">
        <x:v>SSS Defence</x:v>
      </x:c>
      <x:c r="B725" s="32" t="str">
        <x:v>Ammunition</x:v>
      </x:c>
      <x:c r="C725" s="32" t="str">
        <x:v>7.62×51 mm NATO Match</x:v>
      </x:c>
      <x:c r="D725" s="32" t="str">
        <x:v>• Cartridge length 70.75 mm; cartridge weight 25.4 g; projectile 10.5 g; velocity at 24 m 750 m/s; action time &lt;4 ms.</x:v>
      </x:c>
      <x:c r="E725" s="32" t="str">
        <x:v>• Ball, tracer, linked, AP, match and subsonic ammunition; transfer-of-technology domestic manufacturing.</x:v>
      </x:c>
      <x:c r="F725" s="38" t="str">
        <x:v>https://www.sssdefence.com/ammunition</x:v>
      </x:c>
    </x:row>
    <x:row r="726" ht="210" customHeight="1">
      <x:c r="A726" s="37" t="str">
        <x:v>SSS Defence</x:v>
      </x:c>
      <x:c r="B726" s="32" t="str">
        <x:v>Ammunition</x:v>
      </x:c>
      <x:c r="C726" s="32" t="str">
        <x:v>7.62×51 mm NATO Tracer</x:v>
      </x:c>
      <x:c r="D726" s="32" t="str">
        <x:v>• Cartridge length 70.75 mm; cartridge weight 24 g; projectile 9.0 g; action time &lt;4 ms.</x:v>
      </x:c>
      <x:c r="E726" s="32" t="str">
        <x:v>• Ball, tracer, linked, AP, match and subsonic ammunition; transfer-of-technology domestic manufacturing.</x:v>
      </x:c>
      <x:c r="F726" s="38" t="str">
        <x:v>https://www.sssdefence.com/ammunition</x:v>
      </x:c>
    </x:row>
    <x:row r="727" ht="210" customHeight="1">
      <x:c r="A727" s="37" t="str">
        <x:v>SSS Defence</x:v>
      </x:c>
      <x:c r="B727" s="32" t="str">
        <x:v>Ammunition</x:v>
      </x:c>
      <x:c r="C727" s="32" t="str">
        <x:v>9×19 mm Parabellum Ball 115 gr</x:v>
      </x:c>
      <x:c r="D727" s="32" t="str">
        <x:v>• Cartridge length 29.3 mm; cartridge weight 11.6 g; projectile 7.45 g; velocity at 16 m 385 m/s; action time &lt;3 ms.</x:v>
      </x:c>
      <x:c r="E727" s="32" t="str">
        <x:v>• Ball, tracer, linked, AP, match and subsonic ammunition; transfer-of-technology domestic manufacturing.</x:v>
      </x:c>
      <x:c r="F727" s="38" t="str">
        <x:v>https://www.sssdefence.com/ammunition</x:v>
      </x:c>
    </x:row>
    <x:row r="728" ht="210" customHeight="1">
      <x:c r="A728" s="37" t="str">
        <x:v>SSS Defence</x:v>
      </x:c>
      <x:c r="B728" s="32" t="str">
        <x:v>Ammunition</x:v>
      </x:c>
      <x:c r="C728" s="32" t="str">
        <x:v>9×19 mm Parabellum Ball 124 gr</x:v>
      </x:c>
      <x:c r="D728" s="32" t="str">
        <x:v>• Cartridge length 29.3 mm; cartridge weight 12.2 g; projectile 8.04 g; velocity at 16 m 370 m/s; action time &lt;3 ms.</x:v>
      </x:c>
      <x:c r="E728" s="32" t="str">
        <x:v>• Ball, tracer, linked, AP, match and subsonic ammunition; transfer-of-technology domestic manufacturing.</x:v>
      </x:c>
      <x:c r="F728" s="38" t="str">
        <x:v>https://www.sssdefence.com/ammunition</x:v>
      </x:c>
    </x:row>
    <x:row r="729" ht="210" customHeight="1">
      <x:c r="A729" s="37" t="str">
        <x:v>SSS Defence</x:v>
      </x:c>
      <x:c r="B729" s="32" t="str">
        <x:v>Ammunition</x:v>
      </x:c>
      <x:c r="C729" s="32" t="str">
        <x:v>9×19 mm Parabellum Subsonic</x:v>
      </x:c>
      <x:c r="D729" s="32" t="str">
        <x:v>• Cartridge length 28.8–29.25 mm; cartridge weight 13.8 g; projectile 9.39–9.52 g; velocity at 16 m 315–330 m/s; action time &lt;3 ms.</x:v>
      </x:c>
      <x:c r="E729" s="32" t="str">
        <x:v>• Ball, tracer, linked, AP, match and subsonic ammunition; transfer-of-technology domestic manufacturing.</x:v>
      </x:c>
      <x:c r="F729" s="38" t="str">
        <x:v>https://www.sssdefence.com/ammunition</x:v>
      </x:c>
    </x:row>
    <x:row r="730" ht="210" customHeight="1">
      <x:c r="A730" s="37" t="str">
        <x:v>SSS Defence</x:v>
      </x:c>
      <x:c r="B730" s="32" t="str">
        <x:v>Small Arms</x:v>
      </x:c>
      <x:c r="C730" s="32" t="str">
        <x:v>300 RAPTOR</x:v>
      </x:c>
      <x:c r="D730" s="32" t="str">
        <x:v>• 300 Blackout / .300 class rifle introduced in current company catalog; detailed public technical values limited.
• Calibre: 7.62×35 mm / .300 Blackout
• Operation: rotating bolt
• Firing: Safe / Semi / Auto
• Barrel: 216 mm / 8.5 in or 267 mm / 10.5 in
• Twist: 1:7 RH
• Integrated suppressor
• Weight with suppressor: 3.20 kg</x:v>
      </x:c>
      <x:c r="E730" s="32" t="str">
        <x:v>• In-house design/development/serial-production; categories span assault, sniper, precision, SMG and handgun.
• Dual subsonic/supersonic mission
• Integrated suppressor
• Adjustable retractable stock
• Picatinny accessory rails</x:v>
      </x:c>
      <x:c r="F730" s="38" t="str">
        <x:v>https://www.sssdefence.com/
https://www.sssdefence.com/ammunition
https://www.sssdefence.com/about
https://www.sssdefence.com/products/assault-rifles/300raptor</x:v>
      </x:c>
    </x:row>
    <x:row r="731" ht="210" customHeight="1">
      <x:c r="A731" s="37" t="str">
        <x:v>SSS Defence</x:v>
      </x:c>
      <x:c r="B731" s="32" t="str">
        <x:v>Small Arms</x:v>
      </x:c>
      <x:c r="C731" s="32" t="str">
        <x:v>308 Viper</x:v>
      </x:c>
      <x:c r="D731" s="32" t="str">
        <x:v>• .308 / 7.62×51 class sniper rifle; public company catalog places it in sniper category.
• Calibre: 7.62×51 NATO / .308 Winchester
• Bolt-action sniper rifle
• Sub-MOA precision reported
• Public service-range references exceed 1,000 m</x:v>
      </x:c>
      <x:c r="E731" s="32" t="str">
        <x:v>• In-house design/development/serial-production; categories span assault, sniper, precision, SMG and handgun.
• Indigenous police/military sniper rifle
• Mission-ready precision platform</x:v>
      </x:c>
      <x:c r="F731" s="38" t="str">
        <x:v>https://www.sssdefence.com/
https://www.sssdefence.com/ammunition
https://www.sssdefence.com/about
https://www.theweek.in/news/defence/2026/05/25/indias-viper-sniper-rifle-to-enter-service-with-two-police-forces-in-big-self-reliance-milestone.html</x:v>
      </x:c>
    </x:row>
    <x:row r="732" ht="210" customHeight="1">
      <x:c r="A732" s="37" t="str">
        <x:v>SSS Defence</x:v>
      </x:c>
      <x:c r="B732" s="32" t="str">
        <x:v>Small Arms</x:v>
      </x:c>
      <x:c r="C732" s="32" t="str">
        <x:v>338 Saber</x:v>
      </x:c>
      <x:c r="D732" s="32" t="str">
        <x:v>• .338 Lapua Magnum precision/sniper rifle; public company catalog places it in sniper category.
• Calibre: .338 Lapua Magnum
• Operation: bolt action
• Magazine: 5 rounds
• Barrel: 27 in / 685.8 mm in catalogue configuration
• Overall length: 1,200 mm
• Weight: 7.5 kg
• Accuracy: 1 MOA catalogue figure; sub-MOA reported with match ammunition
• Trigger pull: 2–3.5 lb
• Effective range: &gt;1,500 m reported</x:v>
      </x:c>
      <x:c r="E732" s="32" t="str">
        <x:v>• In-house design/development/serial-production; categories span assault, sniper, precision, SMG and handgun.
• Adjustable stock/cheek rest
• Muzzle brake; suppressor available
• Modular alloy chassis</x:v>
      </x:c>
      <x:c r="F732" s="38" t="str">
        <x:v>https://www.sssdefence.com/
https://www.sssdefence.com/ammunition
https://www.sssdefence.com/about
https://www.enricodonner.com/672de50b-f2f8-40d3-9d2b-3571e5b94e61_SSS-DEFENCE-CATALOG-v11.pdf
https://gunspec.io/en/firearms/sss-defence-saber</x:v>
      </x:c>
    </x:row>
    <x:row r="733" ht="210" customHeight="1">
      <x:c r="A733" s="37" t="str">
        <x:v>SSS Defence</x:v>
      </x:c>
      <x:c r="B733" s="32" t="str">
        <x:v>Small Arms</x:v>
      </x:c>
      <x:c r="C733" s="32" t="str">
        <x:v>G72 CSMG</x:v>
      </x:c>
      <x:c r="D733" s="32" t="str">
        <x:v>• Compact submachine-gun platform; detailed public technical values limited.</x:v>
      </x:c>
      <x:c r="E733" s="32" t="str">
        <x:v>• In-house design/development/serial-production; categories span assault, sniper, precision, SMG and handgun.</x:v>
      </x:c>
      <x:c r="F733" s="38" t="str">
        <x:v>https://www.sssdefence.com/
https://www.sssdefence.com/ammunition
https://www.sssdefence.com/about</x:v>
      </x:c>
    </x:row>
    <x:row r="734" ht="210" customHeight="1">
      <x:c r="A734" s="37" t="str">
        <x:v>SSS Defence</x:v>
      </x:c>
      <x:c r="B734" s="32" t="str">
        <x:v>Small Arms</x:v>
      </x:c>
      <x:c r="C734" s="32" t="str">
        <x:v>G72 P</x:v>
      </x:c>
      <x:c r="D734" s="32" t="str">
        <x:v>• Handgun platform; detailed public technical values limited.
• Calibre: 9×19 mm
• Operation: blowback
• Magazine: 15–17 rounds
• Barrel: 102 mm
• Overall length: 176 mm
• Weight: 0.617 kg</x:v>
      </x:c>
      <x:c r="E734" s="32" t="str">
        <x:v>• In-house design/development/serial-production; categories span assault, sniper, precision, SMG and handgun.
• Suppressor compatible
• Applied and mechanical safety
• MIL-STD 1913 accessory rail</x:v>
      </x:c>
      <x:c r="F734" s="38" t="str">
        <x:v>https://www.sssdefence.com/
https://www.sssdefence.com/ammunition
https://www.sssdefence.com/about
https://www.ddpmod.gov.in/en/resources/products/sss-defence-g-72-p-0</x:v>
      </x:c>
    </x:row>
    <x:row r="735" ht="210" customHeight="1">
      <x:c r="A735" s="37" t="str">
        <x:v>SSS Defence</x:v>
      </x:c>
      <x:c r="B735" s="32" t="str">
        <x:v>Small Arms</x:v>
      </x:c>
      <x:c r="C735" s="32" t="str">
        <x:v>G72 SMG</x:v>
      </x:c>
      <x:c r="D735" s="32" t="str">
        <x:v>• Submachine-gun platform; detailed public technical values limited.</x:v>
      </x:c>
      <x:c r="E735" s="32" t="str">
        <x:v>• In-house design/development/serial-production; categories span assault, sniper, precision, SMG and handgun.</x:v>
      </x:c>
      <x:c r="F735" s="38" t="str">
        <x:v>https://www.sssdefence.com/
https://www.sssdefence.com/ammunition
https://www.sssdefence.com/about</x:v>
      </x:c>
    </x:row>
    <x:row r="736" ht="210" customHeight="1">
      <x:c r="A736" s="37" t="str">
        <x:v>SSS Defence</x:v>
      </x:c>
      <x:c r="B736" s="32" t="str">
        <x:v>Small Arms</x:v>
      </x:c>
      <x:c r="C736" s="32" t="str">
        <x:v>M72</x:v>
      </x:c>
      <x:c r="D736" s="32" t="str">
        <x:v>• Assault rifle platform; detailed public technical values are limited.</x:v>
      </x:c>
      <x:c r="E736" s="32" t="str">
        <x:v>• In-house design/development/serial-production; categories span assault, sniper, precision, SMG and handgun.</x:v>
      </x:c>
      <x:c r="F736" s="38" t="str">
        <x:v>https://www.sssdefence.com/
https://www.sssdefence.com/ammunition
https://www.sssdefence.com/about</x:v>
      </x:c>
    </x:row>
    <x:row r="737" ht="210" customHeight="1">
      <x:c r="A737" s="37" t="str">
        <x:v>SSS Defence</x:v>
      </x:c>
      <x:c r="B737" s="32" t="str">
        <x:v>Small Arms</x:v>
      </x:c>
      <x:c r="C737" s="32" t="str">
        <x:v>M72 LMG</x:v>
      </x:c>
      <x:c r="D737" s="32" t="str">
        <x:v>• Calibre: 5.56×45 mm
• Operation: short-stroke gas piston
• Muzzle velocity: ~910 m/s
• Weapon weight: 3.3 kg; ~7.5 kg with loaded drum/bipod reference
• Feed: magazine/drum up to 100 rounds
• Barrel: 14.5 or 16 in chrome-lined
• Twist: 1:7 RH</x:v>
      </x:c>
      <x:c r="E737" s="32" t="str">
        <x:v>• Light-machine-gun derivative of M72 family
• Rapid/sustained fire role</x:v>
      </x:c>
      <x:c r="F737" s="38" t="str">
        <x:v>https://www.ddpmod.gov.in/hi/node/7449</x:v>
      </x:c>
    </x:row>
    <x:row r="738" ht="210" customHeight="1">
      <x:c r="A738" s="37" t="str">
        <x:v>SSS Defence</x:v>
      </x:c>
      <x:c r="B738" s="32" t="str">
        <x:v>Small Arms</x:v>
      </x:c>
      <x:c r="C738" s="32" t="str">
        <x:v>M72-I</x:v>
      </x:c>
      <x:c r="D738" s="32" t="str">
        <x:v>• Assault rifle variant; detailed public technical values are limited.</x:v>
      </x:c>
      <x:c r="E738" s="32" t="str">
        <x:v>• In-house design/development/serial-production; categories span assault, sniper, precision, SMG and handgun.</x:v>
      </x:c>
      <x:c r="F738" s="38" t="str">
        <x:v>https://www.sssdefence.com/
https://www.sssdefence.com/ammunition
https://www.sssdefence.com/about</x:v>
      </x:c>
    </x:row>
    <x:row r="739" ht="210" customHeight="1">
      <x:c r="A739" s="37" t="str">
        <x:v>SSS Defence</x:v>
      </x:c>
      <x:c r="B739" s="32" t="str">
        <x:v>Small Arms</x:v>
      </x:c>
      <x:c r="C739" s="32" t="str">
        <x:v>P72 AR</x:v>
      </x:c>
      <x:c r="D739" s="32" t="str">
        <x:v>• 5.56×45 mm class assault rifle; public company catalog identifies P72 as an assault-rifle platform.
• Assault-rifle platform in SSS 12-system catalogue
• Exact current model-specific numerical specification not publicly exposed in accessible official page during this pass</x:v>
      </x:c>
      <x:c r="E739" s="32" t="str">
        <x:v>• In-house design/development/serial-production; categories span assault, sniper, precision, SMG and handgun.
• Indigenous assault-rifle family</x:v>
      </x:c>
      <x:c r="F739" s="38" t="str">
        <x:v>https://www.sssdefence.com/
https://www.sssdefence.com/ammunition
https://www.sssdefence.com/about</x:v>
      </x:c>
    </x:row>
    <x:row r="740" ht="210" customHeight="1">
      <x:c r="A740" s="37" t="str">
        <x:v>SSS Defence</x:v>
      </x:c>
      <x:c r="B740" s="32" t="str">
        <x:v>Small Arms</x:v>
      </x:c>
      <x:c r="C740" s="32" t="str">
        <x:v>T12</x:v>
      </x:c>
      <x:c r="D740" s="32" t="str">
        <x:v>• Precision-rifle platform; detailed public technical values limited.
• 12-gauge semi-automatic shotgun family; current 2026 reporting confirms Indian Army procurement
• Exact model-specific dimensions not fully public in accessible official page</x:v>
      </x:c>
      <x:c r="E740" s="32" t="str">
        <x:v>• In-house design/development/serial-production; categories span assault, sniper, precision, SMG and handgun.
• Military shotgun / anti-drone close-range hard-kill role</x:v>
      </x:c>
      <x:c r="F740" s="38" t="str">
        <x:v>https://www.sssdefence.com/
https://www.sssdefence.com/ammunition
https://www.sssdefence.com/about
https://theprint.in/defence/homegrown-sss-defence-makes-its-debut-in-the-indian-army-its-shotgun-to-tackle-drones/2969646/</x:v>
      </x:c>
    </x:row>
    <x:row r="741" ht="210" customHeight="1">
      <x:c r="A741" s="37" t="str">
        <x:v>SSS Defence</x:v>
      </x:c>
      <x:c r="B741" s="32" t="str">
        <x:v>Small Arms</x:v>
      </x:c>
      <x:c r="C741" s="32" t="str">
        <x:v>T72 AR</x:v>
      </x:c>
      <x:c r="D741" s="32" t="str">
        <x:v>• Assault rifle platform; calibre and detailed dimensions are configuration-specific/publicly limited.
• Assault-rifle platform in SSS catalogue
• Exact current numerical specifications not publicly exposed in accessible official page during this pass</x:v>
      </x:c>
      <x:c r="E741" s="32" t="str">
        <x:v>• In-house design/development/serial-production; categories span assault, sniper, precision, SMG and handgun.
• Indigenous assault-rifle family</x:v>
      </x:c>
      <x:c r="F741" s="38" t="str">
        <x:v>https://www.sssdefence.com/
https://www.sssdefence.com/ammunition
https://www.sssdefence.com/about</x:v>
      </x:c>
    </x:row>
    <x:row r="742" ht="210" customHeight="1">
      <x:c r="A742" s="37" t="str">
        <x:v>SSS Defence</x:v>
      </x:c>
      <x:c r="B742" s="32" t="str">
        <x:v>Small Arms</x:v>
      </x:c>
      <x:c r="C742" s="32" t="str">
        <x:v>T72 DMR</x:v>
      </x:c>
      <x:c r="D742" s="32" t="str">
        <x:v>• 7.62×51 class designated-marksman/precision platform; detailed configuration data limited publicly.
• Designated-marksman / precision-rifle platform
• Exact current numerical specification not publicly exposed in accessible official page during this pass</x:v>
      </x:c>
      <x:c r="E742" s="32" t="str">
        <x:v>• In-house design/development/serial-production; categories span assault, sniper, precision, SMG and handgun.
• Precision semi-automatic role</x:v>
      </x:c>
      <x:c r="F742" s="38" t="str">
        <x:v>https://www.sssdefence.com/
https://www.sssdefence.com/ammunition
https://www.sssdefence.com/about</x:v>
      </x:c>
    </x:row>
    <x:row r="743" ht="210" customHeight="1">
      <x:c r="A743" s="37" t="str">
        <x:v>SSS Defence</x:v>
      </x:c>
      <x:c r="B743" s="32" t="str">
        <x:v>Small Arms</x:v>
      </x:c>
      <x:c r="C743" s="32" t="str">
        <x:v>TYTO / .300 Blackout Sniper</x:v>
      </x:c>
      <x:c r="D743" s="32" t="str">
        <x:v>• .300 Blackout sniper-rifle product publicly showcased at International Police Expo 2026; detailed dimensional/ballistic data not fully published in cited material.
• .300 Blackout sniper rifle showcased in 2026; detailed public technical specifications not fully published in cited sources.</x:v>
      </x:c>
      <x:c r="E743" s="32" t="str">
        <x:v>• Urban/close-terrain precision employment; new product showcase.
• In-house small-arms platform; configuration-specific modular accessories and mission roles.</x:v>
      </x:c>
      <x:c r="F743" s="38" t="str">
        <x:v>https://www.sssdefence.com/
https://www.theprint.in/defence/sss-defence-introduces-tyto-the-urban-sniper-and-varaha-an-acoustic-based-anti-drone-system/2026/
https://www.ndtv.com/india-news/india-showcases-indigenous-sniper-rifle-drone-defences-at-international-police-expo-2026-8680607
https://www.ddpmod.gov.in/en/resources/products/sss-defence-p-72
https://www.ddpmod.gov.in/en/resources/products/sss-defence-saber
https://www.ddpmod.gov.in/en/resources/products/sss-defence-viper
https://www.ddpmod.gov.in/en/resources/products/sss-defence-g-72-p</x:v>
      </x:c>
    </x:row>
    <x:row r="744" ht="210" customHeight="1">
      <x:c r="A744" s="37" t="str">
        <x:v>SSS Defence</x:v>
      </x:c>
      <x:c r="B744" s="32" t="str">
        <x:v>UAVs/Drones</x:v>
      </x:c>
      <x:c r="C744" s="32" t="str">
        <x:v>Varaha</x:v>
      </x:c>
      <x:c r="D744" s="32" t="str">
        <x:v>• Passive acoustic-first counter-drone system; detects, classifies and localises UAV threats; company describes integration of sensing physics with AI/ML. Detailed range/engagement parameters are not publicly stated on the cited page.</x:v>
      </x:c>
      <x:c r="E744" s="32" t="str">
        <x:v>• RF-silent detection; tracking; classification; localisation; hard-kill counter-UAS capability.</x:v>
      </x:c>
      <x:c r="F744" s="38" t="str">
        <x:v>https://www.sssdefence.com/
https://www.sssdefence.com/ammunition
https://www.sssdefence.com/about</x:v>
      </x:c>
    </x:row>
    <x:row r="745" ht="210" customHeight="1">
      <x:c r="A745" s="37" t="str">
        <x:v>Rafael Advanced Defense Systems</x:v>
      </x:c>
      <x:c r="B745" s="32" t="str">
        <x:v>Protected Vehicles</x:v>
      </x:c>
      <x:c r="C745" s="32" t="str">
        <x:v>REA Reactive Defense System</x:v>
      </x:c>
      <x:c r="D745" s="32" t="str">
        <x:v>• Reactive/vehicle survivability protection system within Rafael survival and maneuvering systems.</x:v>
      </x:c>
      <x:c r="E745" s="32" t="str">
        <x:v>• Vehicle survivability, remote weapon operation, EO/ISR and threat interception.</x:v>
      </x:c>
      <x:c r="F745" s="38" t="str">
        <x:v>https://www.rafael.co.il/wp-content/uploads/2025/02/Refael_ENGLISH100225MINA_All_compressed.pdf
https://www.rafael.co.il/wp-content/uploads/2024/03/toplite-eos-family-of-targeting-systems.pdf</x:v>
      </x:c>
    </x:row>
    <x:row r="746" ht="210" customHeight="1">
      <x:c r="A746" s="37" t="str">
        <x:v>Rafael Advanced Defense Systems</x:v>
      </x:c>
      <x:c r="B746" s="32" t="str">
        <x:v>Protected Vehicles</x:v>
      </x:c>
      <x:c r="C746" s="32" t="str">
        <x:v>SAMSON Remote Weapon Station Family</x:v>
      </x:c>
      <x:c r="D746" s="32" t="str">
        <x:v>• Remote weapon station family adaptable to tanks, APCs, trucks and vessels; supports multiple weapon/sensor configurations.
• Remote weapon station family for armored vehicles, trucks and other platforms; supports multiple weapon/sensor configurations.</x:v>
      </x:c>
      <x:c r="E746" s="32" t="str">
        <x:v>• Vehicle survivability, remote weapon operation, EO/ISR and threat interception.
• Remote weapon station / fire control.</x:v>
      </x:c>
      <x:c r="F746" s="38" t="str">
        <x:v>https://www.rafael.co.il/wp-content/uploads/2025/02/Refael_ENGLISH100225MINA_All_compressed.pdf
https://www.rafael.co.il/wp-content/uploads/2024/03/toplite-eos-family-of-targeting-systems.pdf
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x:v>
      </x:c>
    </x:row>
    <x:row r="747" ht="210" customHeight="1">
      <x:c r="A747" s="37" t="str">
        <x:v>Rafael Advanced Defense Systems</x:v>
      </x:c>
      <x:c r="B747" s="32" t="str">
        <x:v>Protected Vehicles</x:v>
      </x:c>
      <x:c r="C747" s="32" t="str">
        <x:v>TopLite EOS Family</x:v>
      </x:c>
      <x:c r="D747" s="32" t="str">
        <x:v>• Stabilized multi-sensor EO/ISR system; up to six sensors in a sealed line-replaceable unit; detection, identification, targeting, surveillance and reconnaissance; fielded in more than 20 countries according to Rafael.
• Stabilized electro-optical targeting/ISR family; multi-sensor line-replaceable-unit architecture; detection, identification, targeting, surveillance and reconnaissance.</x:v>
      </x:c>
      <x:c r="E747" s="32" t="str">
        <x:v>• Vehicle survivability, remote weapon operation, EO/ISR and threat interception.
• EO/ISR and targeting.</x:v>
      </x:c>
      <x:c r="F747" s="38" t="str">
        <x:v>https://www.rafael.co.il/wp-content/uploads/2025/02/Refael_ENGLISH100225MINA_All_compressed.pdf
https://www.rafael.co.il/wp-content/uploads/2024/03/toplite-eos-family-of-targeting-systems.pdf
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x:v>
      </x:c>
    </x:row>
    <x:row r="748" ht="210" customHeight="1">
      <x:c r="A748" s="37" t="str">
        <x:v>Rafael Advanced Defense Systems</x:v>
      </x:c>
      <x:c r="B748" s="32" t="str">
        <x:v>Marine/Naval</x:v>
      </x:c>
      <x:c r="C748" s="32" t="str">
        <x:v>Naval SPIKE NLOS</x:v>
      </x:c>
      <x:c r="D748" s="32" t="str">
        <x:v>• Naval SPIKE NLOS system
• 6th-generation NLOS missile; up to 32 km range from naval vessels
• 4-missile module dimensions 1.66 m depth × 0.70 m width × 1.26 m height
• 500 kg with four missiles
• HEAT, fragmentation, PBF warheads.</x:v>
      </x:c>
      <x:c r="E748" s="32" t="str">
        <x:v>• Shipborne precision strike or air defense; compact mission-module integration where applicable.</x:v>
      </x:c>
      <x:c r="F748" s="38" t="str">
        <x:v>https://www.rafael.co.il/wp-content/uploads/2024/03/NAVAL-SPIKE-NLOS-2024.pdf
https://www.rafael.co.il/wp-content/uploads/2026/02/Refael_ESG2024_ENG_170226digital.pdf</x:v>
      </x:c>
    </x:row>
    <x:row r="749" ht="210" customHeight="1">
      <x:c r="A749" s="37" t="str">
        <x:v>Rafael Advanced Defense Systems</x:v>
      </x:c>
      <x:c r="B749" s="32" t="str">
        <x:v>Marine/Naval</x:v>
      </x:c>
      <x:c r="C749" s="32" t="str">
        <x:v>PROTECTOR Unmanned Surface Vehicle</x:v>
      </x:c>
      <x:c r="D749" s="32" t="str">
        <x:v>• Unmanned surface-vehicle family; mission-specific dimensions/propulsion vary by generation/configuration</x:v>
      </x:c>
      <x:c r="E749" s="32" t="str">
        <x:v>• ISR, force protection, mine/counter-terror and weaponised maritime missions
• Remote/autonomous operation</x:v>
      </x:c>
      <x:c r="F749" s="38" t="str">
        <x:v>https://www.rafael.co.il/worlds/naval-warfare/protector-usv/</x:v>
      </x:c>
    </x:row>
    <x:row r="750" ht="210" customHeight="1">
      <x:c r="A750" s="37" t="str">
        <x:v>Rafael Advanced Defense Systems</x:v>
      </x:c>
      <x:c r="B750" s="32" t="str">
        <x:v>Marine/Naval</x:v>
      </x:c>
      <x:c r="C750" s="32" t="str">
        <x:v>TYPHOON Mk 30-c</x:v>
      </x:c>
      <x:c r="D750" s="32" t="str">
        <x:v>• Gun: Mk44S Bushmaster 30/40 mm
• Ammunition: NATO 30×173 mm
• Ready rounds: 190 / 380
• Rate of fire: single shot to 200 rpm
• Traverse: ±165°
• Elevation: -20° to +70°
• Pointing accuracy: 0.5 mrad
• Diameter: 1.64 m
• Total weight: &lt;1,000 kg</x:v>
      </x:c>
      <x:c r="E750" s="32" t="str">
        <x:v>• Remote naval medium-calibre weapon system
• EO director / FLIR/CCD/LRF
• C-UAS optimisation
• Standalone or CMS-integrated</x:v>
      </x:c>
      <x:c r="F750" s="38" t="str">
        <x:v>https://www.rafael.co.il/wp-content/uploads/2024/03/TYPHOON-Mk-30c-BROCHURE-2024.pdf</x:v>
      </x:c>
    </x:row>
    <x:row r="751" ht="210" customHeight="1">
      <x:c r="A751" s="37" t="str">
        <x:v>Rafael Advanced Defense Systems</x:v>
      </x:c>
      <x:c r="B751" s="32" t="str">
        <x:v>Marine/Naval</x:v>
      </x:c>
      <x:c r="C751" s="32" t="str">
        <x:v>TYPHOON Remote Weapon Station</x:v>
      </x:c>
      <x:c r="D751" s="32" t="str">
        <x:v>• Naval/land stabilized remote weapon station family; supports naval close-in gun armament; configuration-dependent gun calibre and sensors.</x:v>
      </x:c>
      <x:c r="E751" s="32" t="str">
        <x:v>• Shipborne precision strike or air defense; compact mission-module integration where applicable.</x:v>
      </x:c>
      <x:c r="F751" s="38" t="str">
        <x:v>https://www.rafael.co.il/wp-content/uploads/2024/03/NAVAL-SPIKE-NLOS-2024.pdf
https://www.rafael.co.il/wp-content/uploads/2026/02/Refael_ESG2024_ENG_170226digital.pdf</x:v>
      </x:c>
    </x:row>
    <x:row r="752" ht="210" customHeight="1">
      <x:c r="A752" s="37" t="str">
        <x:v>Rafael Advanced Defense Systems</x:v>
      </x:c>
      <x:c r="B752" s="32" t="str">
        <x:v>Missiles</x:v>
      </x:c>
      <x:c r="C752" s="32" t="str">
        <x:v>C-DOME Naval Air Defense</x:v>
      </x:c>
      <x:c r="D752" s="32" t="str">
        <x:v>• Naval adaptation of Iron Dome for shipborne air defense; designed to protect vessels against rockets and other aerial threats.
• Shipborne interceptor system based on Iron Dome architecture; naval point/area defense.
• Naval adaptation of Iron Dome architecture for shipborne air defense.
• Naval derivative of IRON DOME using Tamir-family interceptor and ship sensors/CMS integration
• Exact ship-specific launcher capacity varies by installation</x:v>
      </x:c>
      <x:c r="E752" s="32" t="str">
        <x:v>• Layered air and missile defense
• C2 integration; counter-rockets/UAS and directed-energy capability depending system.
• Shipborne precision strike or air defense; compact mission-module integration where applicable.
• Ship self/area air defense.
• Point/area defence against rockets, missiles and UAVs
• Compact naval vertical-launch architecture</x:v>
      </x:c>
      <x:c r="F752" s="38" t="str">
        <x:v>https://www.rafael.co.il/wp-content/uploads/2026/02/Refael_ESG2024_ENG_170226digital.pdf
https://www.rafael.co.il/wp-content/uploads/2024/01/Refael_Imud_ENGLISH_271223_compressed.pdf
https://www.rafael.co.il/wp-content/uploads/2024/03/NAVAL-SPIKE-NLOS-2024.pdf
https://www.rafael.co.il/wp-content/uploads/2025/02/Refael_ENGLISH120225MINA_All_compressed.pdf
https://www.rafael.co.il/wp-content/uploads/2024/09/spyder-all-in-one-mobile-air-defense-system.pdf
https://www.rafael.co.il/wp-content/uploads/2024/11/sea-breaker-naval-and-land-weapon-system.pdf
https://www.rafael.co.il/wp-content/uploads/2024/04/IRON-Dome_Brochure_new-2023b.pdf</x:v>
      </x:c>
    </x:row>
    <x:row r="753" ht="210" customHeight="1">
      <x:c r="A753" s="37" t="str">
        <x:v>Rafael Advanced Defense Systems</x:v>
      </x:c>
      <x:c r="B753" s="32" t="str">
        <x:v>Missiles</x:v>
      </x:c>
      <x:c r="C753" s="32" t="str">
        <x:v>David's Sling</x:v>
      </x:c>
      <x:c r="D753" s="32" t="str">
        <x:v>• Medium-range air-defense system; developed with Raytheon; radar, C2 and launchers; highly maneuverable multi-pulse interceptor; designed for medium-range missiles and other aerial threats.</x:v>
      </x:c>
      <x:c r="E753" s="32" t="str">
        <x:v>• Layered air and missile defense
• C2 integration; counter-rockets/UAS and directed-energy capability depending system.</x:v>
      </x:c>
      <x:c r="F753" s="38" t="str">
        <x:v>https://www.rafael.co.il/wp-content/uploads/2026/02/Refael_ESG2024_ENG_170226digital.pdf
https://www.rafael.co.il/wp-content/uploads/2024/01/Refael_Imud_ENGLISH_271223_compressed.pdf</x:v>
      </x:c>
    </x:row>
    <x:row r="754" ht="210" customHeight="1">
      <x:c r="A754" s="37" t="str">
        <x:v>Rafael Advanced Defense Systems</x:v>
      </x:c>
      <x:c r="B754" s="32" t="str">
        <x:v>Missiles</x:v>
      </x:c>
      <x:c r="C754" s="32" t="str">
        <x:v>I-DERBY</x:v>
      </x:c>
      <x:c r="D754" s="32" t="str">
        <x:v>• Active-radar BVR missile family; dual-use in SPYDER.</x:v>
      </x:c>
      <x:c r="E754" s="32" t="str">
        <x:v>• Electro-optical guidance, fire-and-forget / update functions, multi-platform integration and precision strike depending family.</x:v>
      </x:c>
      <x:c r="F754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x:v>
      </x:c>
    </x:row>
    <x:row r="755" ht="210" customHeight="1">
      <x:c r="A755" s="37" t="str">
        <x:v>Rafael Advanced Defense Systems</x:v>
      </x:c>
      <x:c r="B755" s="32" t="str">
        <x:v>Missiles</x:v>
      </x:c>
      <x:c r="C755" s="32" t="str">
        <x:v>I-DERBY ER</x:v>
      </x:c>
      <x:c r="D755" s="32" t="str">
        <x:v>• Extended-range active-radar missile
• SPYDER AiO maximum missile range 40 km; maximum intercept altitude 12 km.</x:v>
      </x:c>
      <x:c r="E755" s="32" t="str">
        <x:v>• Electro-optical guidance, fire-and-forget / update functions, multi-platform integration and precision strike depending family.</x:v>
      </x:c>
      <x:c r="F755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x:v>
      </x:c>
    </x:row>
    <x:row r="756" ht="210" customHeight="1">
      <x:c r="A756" s="37" t="str">
        <x:v>Rafael Advanced Defense Systems</x:v>
      </x:c>
      <x:c r="B756" s="32" t="str">
        <x:v>Missiles</x:v>
      </x:c>
      <x:c r="C756" s="32" t="str">
        <x:v>IRON BEAM</x:v>
      </x:c>
      <x:c r="D756" s="32" t="str">
        <x:v>• High-power laser air-defense/energy system; included in Rafael's air/missile-defense portfolio; detailed public engagement figures depend on configuration.</x:v>
      </x:c>
      <x:c r="E756" s="32" t="str">
        <x:v>• Layered air and missile defense
• C2 integration; counter-rockets/UAS and directed-energy capability depending system.</x:v>
      </x:c>
      <x:c r="F756" s="38" t="str">
        <x:v>https://www.rafael.co.il/wp-content/uploads/2026/02/Refael_ESG2024_ENG_170226digital.pdf
https://www.rafael.co.il/wp-content/uploads/2024/01/Refael_Imud_ENGLISH_271223_compressed.pdf</x:v>
      </x:c>
    </x:row>
    <x:row r="757" ht="210" customHeight="1">
      <x:c r="A757" s="37" t="str">
        <x:v>Rafael Advanced Defense Systems</x:v>
      </x:c>
      <x:c r="B757" s="32" t="str">
        <x:v>Missiles</x:v>
      </x:c>
      <x:c r="C757" s="32" t="str">
        <x:v>Iron Dome</x:v>
      </x:c>
      <x:c r="D757" s="32" t="str">
        <x:v>• Short-range air-defense system against rockets, artillery shells, mortars, UAVs and helicopters; layered architecture; sea-launch adaptation/C-Dome lineage.
• Short-range integrated air/missile defence and C-RAM system
• Selective engagement based on predicted impact point
• 24/7 all-weather operation</x:v>
      </x:c>
      <x:c r="E757" s="32" t="str">
        <x:v>• Layered air and missile defense
• C2 integration; counter-rockets/UAS and directed-energy capability depending system.
• Counters rockets, artillery, mortar, cruise missiles and aerial threats
• Mobile / roll-on-roll-off deployable architecture</x:v>
      </x:c>
      <x:c r="F757" s="38" t="str">
        <x:v>https://www.rafael.co.il/wp-content/uploads/2026/02/Refael_ESG2024_ENG_170226digital.pdf
https://www.rafael.co.il/wp-content/uploads/2024/01/Refael_Imud_ENGLISH_271223_compressed.pdf
https://www.rafael.co.il/wp-content/uploads/2024/04/IRON-Dome_Brochure_new-2023b.pdf</x:v>
      </x:c>
    </x:row>
    <x:row r="758" ht="210" customHeight="1">
      <x:c r="A758" s="37" t="str">
        <x:v>Rafael Advanced Defense Systems</x:v>
      </x:c>
      <x:c r="B758" s="32" t="str">
        <x:v>Missiles</x:v>
      </x:c>
      <x:c r="C758" s="32" t="str">
        <x:v>L-SPIKE</x:v>
      </x:c>
      <x:c r="D758" s="32" t="str">
        <x:v>• Range: up to 40 km within 5 min
• Loiter time: up to 30 min
• Round weight incl. canister: 50 kg
• Warheads: multipurpose / tandem HEAT
• Salvo: up to 4 missiles</x:v>
      </x:c>
      <x:c r="E758" s="32" t="str">
        <x:v>• 6th-generation loitering SPIKE missile
• Ground/rotary/naval launcher compatibility
• Real-time automatic target location/ID/tracking</x:v>
      </x:c>
      <x:c r="F758" s="38" t="str">
        <x:v>https://www.rafael.co.il/wp-content/uploads/2024/06/L-SPIKE-Brochure.pdf</x:v>
      </x:c>
    </x:row>
    <x:row r="759" ht="210" customHeight="1">
      <x:c r="A759" s="37" t="str">
        <x:v>Rafael Advanced Defense Systems</x:v>
      </x:c>
      <x:c r="B759" s="32" t="str">
        <x:v>Missiles</x:v>
      </x:c>
      <x:c r="C759" s="32" t="str">
        <x:v>Python-5</x:v>
      </x:c>
      <x:c r="D759" s="32" t="str">
        <x:v>• Imaging-infrared air-to-air missile; dual-use within SPYDER air-defense family.
• Imaging-infrared dual-waveband seeker
• Used in SPYDER air-defence family and air-to-air role</x:v>
      </x:c>
      <x:c r="E759" s="32" t="str">
        <x:v>• Electro-optical guidance, fire-and-forget / update functions, multi-platform integration and precision strike depending family.
• High-agility short-range interceptor
• LOBL/LOAL within SPYDER architecture</x:v>
      </x:c>
      <x:c r="F759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https://he.rafael.co.il/wp-content/uploads/2019/03/Spyder-Family-Brochure-Eng-1.pdf</x:v>
      </x:c>
    </x:row>
    <x:row r="760" ht="210" customHeight="1">
      <x:c r="A760" s="37" t="str">
        <x:v>Rafael Advanced Defense Systems</x:v>
      </x:c>
      <x:c r="B760" s="32" t="str">
        <x:v>Missiles</x:v>
      </x:c>
      <x:c r="C760" s="32" t="str">
        <x:v>Sea Breaker</x:v>
      </x:c>
      <x:c r="D760" s="32" t="str">
        <x:v>• Land/naval precision-strike missile; length ~4 m; weight &lt;400 kg; range up to 300 km; high-subsonic
• 250 lb warhead; advanced IIR seeker with AI; two-way datalink.</x:v>
      </x:c>
      <x:c r="E760" s="32" t="str">
        <x:v>• Electro-optical guidance, fire-and-forget / update functions, multi-platform integration and precision strike depending family.</x:v>
      </x:c>
      <x:c r="F760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x:v>
      </x:c>
    </x:row>
    <x:row r="761" ht="210" customHeight="1">
      <x:c r="A761" s="37" t="str">
        <x:v>Rafael Advanced Defense Systems</x:v>
      </x:c>
      <x:c r="B761" s="32" t="str">
        <x:v>Missiles</x:v>
      </x:c>
      <x:c r="C761" s="32" t="str">
        <x:v>SkyCeptor</x:v>
      </x:c>
      <x:c r="D761" s="32" t="str">
        <x:v>• Hit-to-kill / hit-to-fragmentation-capable interceptor family associated with David's Sling architecture; detailed current public dimensions/range vary by configuration.</x:v>
      </x:c>
      <x:c r="E761" s="32" t="str">
        <x:v>• Air and missile defense interceptor.</x:v>
      </x:c>
      <x:c r="F761" s="38" t="str">
        <x:v>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x:v>
      </x:c>
    </x:row>
    <x:row r="762" ht="210" customHeight="1">
      <x:c r="A762" s="37" t="str">
        <x:v>Rafael Advanced Defense Systems</x:v>
      </x:c>
      <x:c r="B762" s="32" t="str">
        <x:v>Missiles</x:v>
      </x:c>
      <x:c r="C762" s="32" t="str">
        <x:v>SPIKE ER2</x:v>
      </x:c>
      <x:c r="D762" s="32" t="str">
        <x:v>• Extended-range electro-optical guided missile
• SPIKE family.
• Range: up to 10 km surface launch; up to 16 km rotary-wing launch
• Guidance: EO multispectral seeker + fiber-optic / RF data link
• Embedded IMU
• Target tracker with IR/day sensors</x:v>
      </x:c>
      <x:c r="E762" s="32" t="str">
        <x:v>• Electro-optical guidance, fire-and-forget / update functions, multi-platform integration and precision strike depending family.
• 5th-generation extended-range missile
• NLOS/BLOS engagement
• Anti-tank / anti-structure / anti-ship</x:v>
      </x:c>
      <x:c r="F762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https://he.rafael.co.il/wp-content/uploads/2019/03/spike_er2_2018-1.pdf</x:v>
      </x:c>
    </x:row>
    <x:row r="763" ht="210" customHeight="1">
      <x:c r="A763" s="37" t="str">
        <x:v>Rafael Advanced Defense Systems</x:v>
      </x:c>
      <x:c r="B763" s="32" t="str">
        <x:v>Missiles</x:v>
      </x:c>
      <x:c r="C763" s="32" t="str">
        <x:v>SPIKE FireFly</x:v>
      </x:c>
      <x:c r="D763" s="32" t="str">
        <x:v>• SPIKE family miniature organic loitering munition / BLOS close-combat capability; detailed public specifications vary by release.
• Miniature organic loitering munition / BLOS close-combat system within SPIKE family; detailed dimensions/range are not consistently published in current Rafael corporate material.
• Man-portable loitering-munition / miniature tactical rotorcraft
• Exact current public numerical specs vary by brochure/configuration</x:v>
      </x:c>
      <x:c r="E763" s="32" t="str">
        <x:v>• Electro-optical guidance, fire-and-forget / update functions, multi-platform integration and precision strike depending family.
• Loitering munition, BLOS engagement and organic close-combat precision effect.
• Urban / complex-terrain loitering precision attack
• EO sensor and operator-in-the-loop</x:v>
      </x:c>
      <x:c r="F763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https://www.rafael.co.il/wp-content/uploads/2024/06/L-SPIKE-Brochure.pdf</x:v>
      </x:c>
    </x:row>
    <x:row r="764" ht="210" customHeight="1">
      <x:c r="A764" s="37" t="str">
        <x:v>Rafael Advanced Defense Systems</x:v>
      </x:c>
      <x:c r="B764" s="32" t="str">
        <x:v>Missiles</x:v>
      </x:c>
      <x:c r="C764" s="32" t="str">
        <x:v>SPIKE LR2</x:v>
      </x:c>
      <x:c r="D764" s="32" t="str">
        <x:v>• Electro-optical guided multi-purpose missile
• SPIKE family.
• Range: 5.5 km ground launch; up to 10 km aerial launch
• Guidance: EO multispectral seeker + fiber-optic ground data link / RF aerial data link
• Warheads: tandem HEAT or multipurpose
• Concrete breach: up to 20 cm reinforced concrete in multipurpose breach mode</x:v>
      </x:c>
      <x:c r="E764" s="32" t="str">
        <x:v>• Electro-optical guidance, fire-and-forget / update functions, multi-platform integration and precision strike depending family.
• 5th-generation man-portable/multiplatform missile
• Fire-and-forget / fire-and-observe / coordinate attack
• Man-in-the-loop</x:v>
      </x:c>
      <x:c r="F764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https://he.rafael.co.il/wp-content/uploads/2019/03/Spike-LR2.pdf</x:v>
      </x:c>
    </x:row>
    <x:row r="765" ht="210" customHeight="1">
      <x:c r="A765" s="37" t="str">
        <x:v>Rafael Advanced Defense Systems</x:v>
      </x:c>
      <x:c r="B765" s="32" t="str">
        <x:v>Missiles</x:v>
      </x:c>
      <x:c r="C765" s="32" t="str">
        <x:v>SPIKE NLOS</x:v>
      </x:c>
      <x:c r="D765" s="32" t="str">
        <x:v>• Effective range 25–30 km depending cited Rafael datasheet; missile-in-canister weight 71 kg; direct-attack/mid-course navigation
• HEAT, fragmentation and PBF/PBF-F warheads.
• Range: up to 32 km
• Guidance: multispectral high-resolution EO seeker
• GPS-independent
• Ground, helicopter and maritime launch</x:v>
      </x:c>
      <x:c r="E765" s="32" t="str">
        <x:v>• Electro-optical guidance, fire-and-forget / update functions, multi-platform integration and precision strike depending family.
• 5th-generation stand-off NLOS precision missile
• Day/night/adverse-weather capability</x:v>
      </x:c>
      <x:c r="F765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https://www.rafael.co.il/exhibitions/wp-content/uploads/2023/08/SPIKE-NLOS-.pdf</x:v>
      </x:c>
    </x:row>
    <x:row r="766" ht="210" customHeight="1">
      <x:c r="A766" s="37" t="str">
        <x:v>Rafael Advanced Defense Systems</x:v>
      </x:c>
      <x:c r="B766" s="32" t="str">
        <x:v>Missiles</x:v>
      </x:c>
      <x:c r="C766" s="32" t="str">
        <x:v>SPIKE SR</x:v>
      </x:c>
      <x:c r="D766" s="32" t="str">
        <x:v>• Short-range electro-optical guided SPIKE family missile.</x:v>
      </x:c>
      <x:c r="E766" s="32" t="str">
        <x:v>• Electro-optical guidance, fire-and-forget / update functions, multi-platform integration and precision strike depending family.</x:v>
      </x:c>
      <x:c r="F766" s="38" t="str">
        <x:v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x:v>
      </x:c>
    </x:row>
    <x:row r="767" ht="210" customHeight="1">
      <x:c r="A767" s="37" t="str">
        <x:v>Rafael Advanced Defense Systems</x:v>
      </x:c>
      <x:c r="B767" s="32" t="str">
        <x:v>Missiles</x:v>
      </x:c>
      <x:c r="C767" s="32" t="str">
        <x:v>SPYDER All-in-One</x:v>
      </x:c>
      <x:c r="D767" s="32" t="str">
        <x:v>• 8x8 chassis; up to 8 canisterized missiles; maximum ranges: 40 km I-DERBY ER, 20 km I-DERBY SR, 15 km PYTHON-5 SR; intercept altitudes 12/9/6 km respectively; up to 4 simultaneous engagements/controlled missiles; combat-ready in 3 min; recovery 3 min; ~30 t including 8 missiles.</x:v>
      </x:c>
      <x:c r="E767" s="32" t="str">
        <x:v>• Search-on-the-move; fire-on-halt; autonomous/C2 interface; four-panel 360° phased-array radar; day/night EO sensor.</x:v>
      </x:c>
      <x:c r="F767" s="38" t="str">
        <x:v>https://www.rafael.co.il/wp-content/uploads/2024/09/spyder-all-in-one-mobile-air-defense-system.pdf</x:v>
      </x:c>
    </x:row>
    <x:row r="768" ht="210" customHeight="1">
      <x:c r="A768" s="37" t="str">
        <x:v>Rafael Advanced Defense Systems</x:v>
      </x:c>
      <x:c r="B768" s="32" t="str">
        <x:v>Missiles</x:v>
      </x:c>
      <x:c r="C768" s="32" t="str">
        <x:v>SPYDER SR / ER / MR / LR Family</x:v>
      </x:c>
      <x:c r="D768" s="32" t="str">
        <x:v>• Mobile air-defense family using Python-5 and I-DERBY variants
• SR/ER slant-launch configurations and MR/LR vertical-launch configurations.
• System variants: SR / ER / MR / LR
• Missiles: Python-5, I-Derby and I-Derby ER
• MR/LR use booster assemblies
• 360° launch
• SR/ER slant launch, MR/LR vertical launch</x:v>
      </x:c>
      <x:c r="E768" s="32" t="str">
        <x:v>• Autonomous/on-the-move detection; rapid fire after halt
• 360° launch; multi-launch; net-centric operation.
• Mobile SHORAD to long-range air defence
• On-the-move detection and rapid firing after halt
• All-weather/net-centric</x:v>
      </x:c>
      <x:c r="F768" s="38" t="str">
        <x:v>https://www.rafael.co.il/wp-content/uploads/2019/03/Spyder-Family-Brochure-Eng-1.pdf
https://he.rafael.co.il/wp-content/uploads/2019/03/Spyder-Family-Brochure-Eng-1.pdf</x:v>
      </x:c>
    </x:row>
    <x:row r="769" ht="210" customHeight="1">
      <x:c r="A769" s="37" t="str">
        <x:v>Rafael Advanced Defense Systems</x:v>
      </x:c>
      <x:c r="B769" s="32" t="str">
        <x:v>Missiles</x:v>
      </x:c>
      <x:c r="C769" s="32" t="str">
        <x:v>Stunner</x:v>
      </x:c>
      <x:c r="D769" s="32" t="str">
        <x:v>• David's Sling interceptor; highly maneuverable multi-pulse missile designed for medium-range missile and aerial-threat interception.</x:v>
      </x:c>
      <x:c r="E769" s="32" t="str">
        <x:v>• Layered air/missile defense.</x:v>
      </x:c>
      <x:c r="F769" s="38" t="str">
        <x:v>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x:v>
      </x:c>
    </x:row>
    <x:row r="770" ht="210" customHeight="1">
      <x:c r="A770" s="37" t="str">
        <x:v>KONGSBERG</x:v>
      </x:c>
      <x:c r="B770" s="32" t="str">
        <x:v>Protected Vehicles</x:v>
      </x:c>
      <x:c r="C770" s="32" t="str">
        <x:v>CROWS</x:v>
      </x:c>
      <x:c r="D770" s="32" t="str">
        <x:v>• U.S. CROWS programme; supports remote operation and common weapon/sensor integration.</x:v>
      </x:c>
      <x:c r="E770" s="32" t="str">
        <x:v>• Remote weapon station/turret; crew-under-armour operation; stabilization; sensors; modular effectors.
• CROWS family remote weapon station</x:v>
      </x:c>
      <x:c r="F770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x:v>
      </x:c>
    </x:row>
    <x:row r="771" ht="210" customHeight="1">
      <x:c r="A771" s="37" t="str">
        <x:v>KONGSBERG</x:v>
      </x:c>
      <x:c r="B771" s="32" t="str">
        <x:v>Marine/Naval</x:v>
      </x:c>
      <x:c r="C771" s="32" t="str">
        <x:v>MSI-90U / Submarine Combat System</x:v>
      </x:c>
      <x:c r="D771" s="32" t="str">
        <x:v>• Submarine combat-management and weapon-control capability; configuration-dependent sensors/weapons.</x:v>
      </x:c>
      <x:c r="E771" s="32" t="str">
        <x:v>• Maritime surveillance, combat management and autonomous operations.</x:v>
      </x:c>
      <x:c r="F771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x:v>
      </x:c>
    </x:row>
    <x:row r="772" ht="210" customHeight="1">
      <x:c r="A772" s="37" t="str">
        <x:v>KONGSBERG</x:v>
      </x:c>
      <x:c r="B772" s="32" t="str">
        <x:v>Marine/Naval</x:v>
      </x:c>
      <x:c r="C772" s="32" t="str">
        <x:v>Naval Sonars</x:v>
      </x:c>
      <x:c r="D772" s="32" t="str">
        <x:v>• Kongsberg naval sonar portfolio; hull-mounted/towed/variable-depth configurations; exact model-specific performance varies.</x:v>
      </x:c>
      <x:c r="E772" s="32" t="str">
        <x:v>• Maritime surveillance, combat management and autonomous operations.</x:v>
      </x:c>
      <x:c r="F772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x:v>
      </x:c>
    </x:row>
    <x:row r="773" ht="210" customHeight="1">
      <x:c r="A773" s="37" t="str">
        <x:v>KONGSBERG</x:v>
      </x:c>
      <x:c r="B773" s="32" t="str">
        <x:v>Marine/Naval</x:v>
      </x:c>
      <x:c r="C773" s="32" t="str">
        <x:v>PHAROX Modular Multisensor System</x:v>
      </x:c>
      <x:c r="D773" s="32" t="str">
        <x:v>• modular sensor architecture for detection, tracking and situational awareness.</x:v>
      </x:c>
      <x:c r="E773" s="32" t="str">
        <x:v>• Maritime surveillance, combat management and autonomous operations.
• Autonomous multisensor surveillance</x:v>
      </x:c>
      <x:c r="F773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x:v>
      </x:c>
    </x:row>
    <x:row r="774" ht="210" customHeight="1">
      <x:c r="A774" s="37" t="str">
        <x:v>KONGSBERG</x:v>
      </x:c>
      <x:c r="B774" s="32" t="str">
        <x:v>Marine/Naval</x:v>
      </x:c>
      <x:c r="C774" s="32" t="str">
        <x:v>Sea PROTECTOR RS4</x:v>
      </x:c>
      <x:c r="D774" s="32" t="str">
        <x:v>• Navalised RS4 remote weapon station
• Weapon options include heavy machine guns / grenade launchers depending configuration</x:v>
      </x:c>
      <x:c r="E774" s="32" t="str">
        <x:v>• Remote naval close-in force-protection weapon station
• Stabilised sensors and weapon
• Common PROTECTOR fire-control architecture</x:v>
      </x:c>
      <x:c r="F774" s="38" t="str">
        <x:v>https://www.kongsberg.com/what-we-do/defence-and-security/remote-weapon-systems/protector-rs4/</x:v>
      </x:c>
    </x:row>
    <x:row r="775" ht="210" customHeight="1">
      <x:c r="A775" s="37" t="str">
        <x:v>KONGSBERG</x:v>
      </x:c>
      <x:c r="B775" s="32" t="str">
        <x:v>Marine/Naval</x:v>
      </x:c>
      <x:c r="C775" s="32" t="str">
        <x:v>VANGUARD Unmanned Surface Vehicle</x:v>
      </x:c>
      <x:c r="D775" s="32" t="str">
        <x:v>• Standardized manned/unmanned naval capability; modular mission payload concept; detailed vehicle dimensions vary by configuration.</x:v>
      </x:c>
      <x:c r="E775" s="32" t="str">
        <x:v>• Maritime surveillance, combat management and autonomous operations.</x:v>
      </x:c>
      <x:c r="F775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x:v>
      </x:c>
    </x:row>
    <x:row r="776" ht="210" customHeight="1">
      <x:c r="A776" s="37" t="str">
        <x:v>KONGSBERG</x:v>
      </x:c>
      <x:c r="B776" s="32" t="str">
        <x:v>Missiles</x:v>
      </x:c>
      <x:c r="C776" s="32" t="str">
        <x:v>3SM Tyrfing / Super Sonic Strike Missile</x:v>
      </x:c>
      <x:c r="D776" s="32" t="str">
        <x:v>• Supersonic long-range anti-ship missile programme; detailed public dimensions/range not yet fully disclosed.</x:v>
      </x:c>
      <x:c r="E776" s="32" t="str">
        <x:v>• Future high-speed long-range maritime strike.</x:v>
      </x:c>
      <x:c r="F776" s="38" t="str">
        <x:v>https://www.kongsberg.com/news-and-media/news-archive/2024/3/kongsberg-and-german-industry-to-develop-supersonic-strike-missile/</x:v>
      </x:c>
    </x:row>
    <x:row r="777" ht="210" customHeight="1">
      <x:c r="A777" s="37" t="str">
        <x:v>KONGSBERG</x:v>
      </x:c>
      <x:c r="B777" s="32" t="str">
        <x:v>Missiles</x:v>
      </x:c>
      <x:c r="C777" s="32" t="str">
        <x:v>Joint Strike Missile (JSM)</x:v>
      </x:c>
      <x:c r="D777" s="32" t="str">
        <x:v>• Speed: High subsonic
• Launch weight: 416 kg
• Length: 4.00 m
• Range: &gt;350 km
• Seeker: imaging infrared
• Guidance/navigation: high-accuracy navigation
• Flight profile: low altitude
• Propulsion: air-breathing/turbojet architecture based on NSM
• Dimensions/warhead details: not publicly disclosed in current Kongsberg technical data.
• Weight: 416 kg
• Range: &gt;350 km / 189 nmi
• Imaging-infrared seeker
• Advanced navigation / mission planning</x:v>
      </x:c>
      <x:c r="E777" s="32" t="str">
        <x:v>• Long-range precision strike against maritime/land targets; target recognition; low-altitude flight.
• Air-launched fifth-generation precision strike missile
• Internal carriage in F-35A
• Sea and land target capability
• Automatic target recognition</x:v>
      </x:c>
      <x:c r="F777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https://www.kongsberg.com/what-we-do/defence-and-security/missile-systems/joint-strike-missile-jsm/
https://www.kongsberg.com/news/news-archive/2026/kongsberg-to-deliver-more-jsm-missiles-to-us-air-force/</x:v>
      </x:c>
    </x:row>
    <x:row r="778" ht="210" customHeight="1">
      <x:c r="A778" s="37" t="str">
        <x:v>KONGSBERG</x:v>
      </x:c>
      <x:c r="B778" s="32" t="str">
        <x:v>Missiles</x:v>
      </x:c>
      <x:c r="C778" s="32" t="str">
        <x:v>NASAMS Air Defence System</x:v>
      </x:c>
      <x:c r="D778" s="32" t="str">
        <x:v>• Network-centric SHORAD/medium-range GBAD; typical unit includes FDC, AN/MPQ-64F1 Sentinel 3D radar, EO/IR sensor and missile launchers; missiles include AIM-120 AMRAAM, AMRAAM-ER and AIM-9X.
• Standard fire unit integrates Fire Distribution Center, AN/MPQ-64F1 Sentinel radar, EO/IR sensor and missile launchers
• Effectors: AIM-120 AMRAAM, AMRAAM-ER and AIM-9X Block II
• Multi-Missile Launcher capacity: up to 6 missiles
• AMRAAM-ER provides ~50% range and ~70% altitude increase over AIM-120 C7</x:v>
      </x:c>
      <x:c r="E778" s="32" t="str">
        <x:v>• Multiple simultaneous engagements; dispersed launchers
• BVR
• NATO interoperability; modular/open architecture.
• Networked distributed air-defence architecture
• Aircraft, helicopter, UAV and cruise-missile defence
• 360° day/night all-weather engagement
• Multiple sensor / effector integration</x:v>
      </x:c>
      <x:c r="F778" s="38" t="str">
        <x:v>https://www.kongsberg.com/what-we-do/defence-and-security/integrated-air-and-missile-defence/nasams-air-defence-system/
https://www.kongsberg.com/globalassets/kongsberg/1.-what-we-do/1.-defence-and-security/intergrated-air-and-missile-defence/nasams-air-defence-system/nasams_brochure_2026.pdf</x:v>
      </x:c>
    </x:row>
    <x:row r="779" ht="210" customHeight="1">
      <x:c r="A779" s="37" t="str">
        <x:v>KONGSBERG</x:v>
      </x:c>
      <x:c r="B779" s="32" t="str">
        <x:v>Missiles</x:v>
      </x:c>
      <x:c r="C779" s="32" t="str">
        <x:v>NASAMS Multi-Missile Launcher</x:v>
      </x:c>
      <x:c r="D779" s="32" t="str">
        <x:v>• 6 ready-to-fire missiles; supports AIM-120 AMRAAM B/C5/C7, AMRAAM ER and AIM-9X Block II
• 360° all-weather/day-night launch.
• Launcher capacity: up to 6 missiles
• Compatible effectors: AIM-120 AMRAAM B/C5/C7, AMRAAM-ER, AIM-9X Block II
• 360° launch capability
• Remote controlled through KONGSBERG FDC</x:v>
      </x:c>
      <x:c r="E779" s="32" t="str">
        <x:v>• Mixed missile load; remote FDC control; transmits target/guidance data before and during flight.
• Mixed-missile loadout
• Rapid launch against single or multiple targets
• Protective missile canisters
• Mobile/distributed architecture</x:v>
      </x:c>
      <x:c r="F779" s="38" t="str">
        <x:v>https://www.kongsberg.com/what-we-do/defence-and-security/integrated-air-and-missile-defence/nasams-multi-missile-launcher/</x:v>
      </x:c>
    </x:row>
    <x:row r="780" ht="210" customHeight="1">
      <x:c r="A780" s="37" t="str">
        <x:v>KONGSBERG</x:v>
      </x:c>
      <x:c r="B780" s="32" t="str">
        <x:v>Missiles</x:v>
      </x:c>
      <x:c r="C780" s="32" t="str">
        <x:v>NOMADS</x:v>
      </x:c>
      <x:c r="D780" s="32" t="str">
        <x:v>• Armoured mobile SHORAD
• 4 AIM-9X Block II ready-to-fire
• 0.50-cal HMG RWS
• 3D AESA/FMCW radar with 50 km+ coverage radius
• LRF; speed up to 70 km/h
• NATO Mode 5/IFF
• VHF/UHF.</x:v>
      </x:c>
      <x:c r="E780" s="32" t="str">
        <x:v>• On-the-move air defence; autonomous/networked; cruise missile, helicopter, aircraft and UAV targets.</x:v>
      </x:c>
      <x:c r="F780" s="38" t="str">
        <x:v>https://www.kongsberg.com/what-we-do/defence-and-security/integrated-air-and-missile-defence/nomads/
https://www.kongsberg.com/globalassets/kongsberg/1.-what-we-do/1.-defence-and-security/intergrated-air-and-missile-defence/nomads/nomads_brochure_2026.pdf</x:v>
      </x:c>
    </x:row>
    <x:row r="781" ht="210" customHeight="1">
      <x:c r="A781" s="37" t="str">
        <x:v>KONGSBERG</x:v>
      </x:c>
      <x:c r="B781" s="32" t="str">
        <x:v>Missiles</x:v>
      </x:c>
      <x:c r="C781" s="32" t="str">
        <x:v>NSM Coastal Defence System</x:v>
      </x:c>
      <x:c r="D781" s="32" t="str">
        <x:v>• Networked coastal missile system using NSM
• Fire Distribution Center command and control; dispersed launch vehicles.</x:v>
      </x:c>
      <x:c r="E781" s="32" t="str">
        <x:v>• Over-the-horizon coastal strike; networked sensors/C2.</x:v>
      </x:c>
      <x:c r="F781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x:v>
      </x:c>
    </x:row>
    <x:row r="782" ht="210" customHeight="1">
      <x:c r="A782" s="37" t="str">
        <x:v>KONGSBERG</x:v>
      </x:c>
      <x:c r="B782" s="32" t="str">
        <x:v>Missiles</x:v>
      </x:c>
      <x:c r="C782" s="32" t="str">
        <x:v>NSM Naval Strike Missile</x:v>
      </x:c>
      <x:c r="D782" s="32" t="str">
        <x:v>• Speed: High subsonic
• Launch weight: 407 kg
• Length: 3.96 m
• Range: &gt;300 km
• Seeker: high-resolution imaging infrared
• Sensors: passive
• Guidance/navigation: autonomous navigation with terrain-following capability
• Propulsion: solid-fuel booster + turbojet (public brochure)
• Endgame: programmable high-g manoeuvres.
• Weight: 407 kg
• Range: &gt;300 km / 162 nmi
• Passive imaging-infrared seeker with Autonomous Target Recognition
• Sea-skimming flight profile</x:v>
      </x:c>
      <x:c r="E782" s="32" t="str">
        <x:v>• Precision anti-ship and land-attack; passive guidance; high survivability.
• Ship, coastal and land-attack capable
• Advanced terminal manoeuvres
• Low observable / passive terminal guidance
• Engages sea and land targets</x:v>
      </x:c>
      <x:c r="F782" s="38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https://www.kongsberg.com/what-we-do/defence-and-security/missile-systems/nsm-naval-strike-missile/</x:v>
      </x:c>
    </x:row>
    <x:row r="783" ht="210" customHeight="1">
      <x:c r="A783" s="37" t="str">
        <x:v>MBDA</x:v>
      </x:c>
      <x:c r="B783" s="32" t="str">
        <x:v>Marine/Naval</x:v>
      </x:c>
      <x:c r="C783" s="32" t="str">
        <x:v>EXOCET Mobile Coastal Defence System</x:v>
      </x:c>
      <x:c r="D783" s="32" t="str">
        <x:v>• Up to 3 mobile firing units, each with four MM40 Block 3C missiles; mobile sensor unit and mobile control unit</x:v>
      </x:c>
      <x:c r="E783" s="32" t="str">
        <x:v>• Relocatable coastal strike.; autonomous sensors can include radar/EOS/AIS.</x:v>
      </x:c>
      <x:c r="F783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84" ht="210" customHeight="1">
      <x:c r="A784" s="37" t="str">
        <x:v>MBDA</x:v>
      </x:c>
      <x:c r="B784" s="32" t="str">
        <x:v>Marine/Naval</x:v>
      </x:c>
      <x:c r="C784" s="32" t="str">
        <x:v>MARTE MK2/N</x:v>
      </x:c>
      <x:c r="D784" s="32" t="str">
        <x:v>• Weight: 310 kg
• Length: 3.85 m; canister ~4 m
• Diameter: 316 mm
• Range: &gt;30 km
• Guidance: inertial waypoint midcourse + active radar terminal homing</x:v>
      </x:c>
      <x:c r="E784" s="32" t="str">
        <x:v>• Ship-launched anti-ship missile
• Fire-and-forget
• Littoral optimisation</x:v>
      </x:c>
      <x:c r="F784" s="38" t="str">
        <x:v>https://www.mbda-systems.com/products/deep-strike/marte-family/marte-mk2n</x:v>
      </x:c>
    </x:row>
    <x:row r="785" ht="210" customHeight="1">
      <x:c r="A785" s="37" t="str">
        <x:v>MBDA</x:v>
      </x:c>
      <x:c r="B785" s="32" t="str">
        <x:v>Marine/Naval</x:v>
      </x:c>
      <x:c r="C785" s="32" t="str">
        <x:v>SEA CEPTOR</x:v>
      </x:c>
      <x:c r="D785" s="32" t="str">
        <x:v>• Missile: CAMM
• CAMM weight/length/diameter: 99 kg / 3.2 m / 166 mm
• Engagement range: up to ~25 km
• Mk41 ExLS option supports quad-pack CAMM</x:v>
      </x:c>
      <x:c r="E785" s="32" t="str">
        <x:v>• Naval local-area air defence
• Soft Vertical Launch
• No dedicated illuminator/fire-control radar required due active seeker
• 360° multi-target engagement</x:v>
      </x:c>
      <x:c r="F785" s="38" t="str">
        <x:v>https://www.mbda-systems.com/products/force-protection/camm-family/sea-ceptor
https://www.janes.com/defence-intelligence-insights/defence-news/sea-ceptor-ordered-for-uk-type-31-frigates
https://www.lntmbda.com/products-services/sea-ceptor</x:v>
      </x:c>
    </x:row>
    <x:row r="786" ht="210" customHeight="1">
      <x:c r="A786" s="37" t="str">
        <x:v>MBDA</x:v>
      </x:c>
      <x:c r="B786" s="32" t="str">
        <x:v>Marine/Naval</x:v>
      </x:c>
      <x:c r="C786" s="32" t="str">
        <x:v>SEA VIPER</x:v>
      </x:c>
      <x:c r="D786" s="32" t="str">
        <x:v>• Naval air-defence system based on ASTER family</x:v>
      </x:c>
      <x:c r="E786" s="32" t="str">
        <x:v>• Royal Navy maritime air defence.; shipborne area air defence.</x:v>
      </x:c>
      <x:c r="F786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87" ht="210" customHeight="1">
      <x:c r="A787" s="37" t="str">
        <x:v>MBDA</x:v>
      </x:c>
      <x:c r="B787" s="32" t="str">
        <x:v>UAVs/Drones</x:v>
      </x:c>
      <x:c r="C787" s="32" t="str">
        <x:v>AKERON RCH170 Loitering Munition</x:v>
      </x:c>
      <x:c r="D787" s="32" t="str">
        <x:v>• Range: up to ~80 km
• Endurance: &gt;1 hour
• Extended-range loitering-munition architecture</x:v>
      </x:c>
      <x:c r="E787" s="32" t="str">
        <x:v>• Rapid deployment
• Tactical collaborative combat / precision effects</x:v>
      </x:c>
      <x:c r="F787" s="38" t="str">
        <x:v>https://www.mbda-systems.com/products/battlefield/akeron-family</x:v>
      </x:c>
    </x:row>
    <x:row r="788" ht="210" customHeight="1">
      <x:c r="A788" s="37" t="str">
        <x:v>MBDA</x:v>
      </x:c>
      <x:c r="B788" s="32" t="str">
        <x:v>Missiles</x:v>
      </x:c>
      <x:c r="C788" s="32" t="str">
        <x:v>AKERON LP</x:v>
      </x:c>
      <x:c r="D788" s="32" t="str">
        <x:v>• Weight: &lt;40 kg
• Length: 1.7 m in tactical canister
• Diameter: 150 mm
• RF datalink / advanced optronics / multipurpose warhead</x:v>
      </x:c>
      <x:c r="E788" s="32" t="str">
        <x:v>• Long-range fifth-generation missile in development
• Beyond-line-of-sight with third-party designation
• Anti-armour, infrastructure, ship, helicopter and personnel effects</x:v>
      </x:c>
      <x:c r="F788" s="38" t="str">
        <x:v>https://www.mbda-systems.com/products/battlefield/akeron-family/akeron-lp</x:v>
      </x:c>
    </x:row>
    <x:row r="789" ht="210" customHeight="1">
      <x:c r="A789" s="37" t="str">
        <x:v>MBDA</x:v>
      </x:c>
      <x:c r="B789" s="32" t="str">
        <x:v>Missiles</x:v>
      </x:c>
      <x:c r="C789" s="32" t="str">
        <x:v>AKERON MP</x:v>
      </x:c>
      <x:c r="D789" s="32" t="str">
        <x:v>• 5th-generation land combat missile; man-portable/vehicle integration; imaging seeker; fire-and-forget or operator-in-loop modes.
• Weight: 15 kg incl. tube
• Length: 1.3 m in tactical canister
• Diameter: 140 mm
• Dual-mode uncooled IR/TV seeker</x:v>
      </x:c>
      <x:c r="E789" s="32" t="str">
        <x:v>• Anti-armour/multipurpose precision strike.
• 5th-generation anti-armour / multi-purpose missile
• Fire-and-forget and man-on-the-loop
• Anti-tank, anti-infrastructure and anti-personnel modes</x:v>
      </x:c>
      <x:c r="F789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https://www.mbda-systems.com/products/battlefield/akeron-family/akeron-mp</x:v>
      </x:c>
    </x:row>
    <x:row r="790" ht="210" customHeight="1">
      <x:c r="A790" s="37" t="str">
        <x:v>MBDA</x:v>
      </x:c>
      <x:c r="B790" s="32" t="str">
        <x:v>Missiles</x:v>
      </x:c>
      <x:c r="C790" s="32" t="str">
        <x:v>ASTER 15/30 Family</x:v>
      </x:c>
      <x:c r="D790" s="32" t="str">
        <x:v>• ASTER 15: Weight 310 kg
• Length 4.2 m
• Diameter 180 mm
• Propulsion: solid propellant, two-stage motor
• Maximum speed Mach 3
• Range &gt;30 km
• Altitude 13 km. ASTER 30: Weight 450 kg
• Length 4.9 m
• Maximum speed Mach 4.5
• Range &gt;120 km
• Altitude 20 km.</x:v>
      </x:c>
      <x:c r="E790" s="32" t="str">
        <x:v>• Layered area air/missile defence.</x:v>
      </x:c>
      <x:c r="F790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91" ht="210" customHeight="1">
      <x:c r="A791" s="37" t="str">
        <x:v>MBDA</x:v>
      </x:c>
      <x:c r="B791" s="32" t="str">
        <x:v>Missiles</x:v>
      </x:c>
      <x:c r="C791" s="32" t="str">
        <x:v>ASTER 30 B1NT</x:v>
      </x:c>
      <x:c r="D791" s="32" t="str">
        <x:v>• Next-generation ASTER interceptor; designed for medium-range ballistic, highly manoeuvring and hypersonic threats.</x:v>
      </x:c>
      <x:c r="E791" s="32" t="str">
        <x:v>• Upper/lower-tier air/missile defence.</x:v>
      </x:c>
      <x:c r="F791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92" ht="210" customHeight="1">
      <x:c r="A792" s="37" t="str">
        <x:v>MBDA</x:v>
      </x:c>
      <x:c r="B792" s="32" t="str">
        <x:v>Missiles</x:v>
      </x:c>
      <x:c r="C792" s="32" t="str">
        <x:v>BRIMSTONE</x:v>
      </x:c>
      <x:c r="D792" s="32" t="str">
        <x:v>• Weight: 50 kg
• Length: 1.8 m
• Diameter: 180 mm
• Seeker: 94 GHz millimetric-wave radar + semi-active laser
• Guidance: mmW/SAL dual-mode
• Warhead: tandem shaped charge with adaptive fuzing
• Navigation: inertial mid-course
• Propulsion: cast double-base propellant rocket motor
• Motor case: strip-steel laminate.
• Precision air/land/maritime strike missile
• Latest-generation system supports human-in-the-loop capability</x:v>
      </x:c>
      <x:c r="E792" s="32" t="str">
        <x:v>• Tactical strike; low collateral; human-in-loop option.
• Moving/static target engagement
• All-weather precision
• Low collateral damage
• Salvo engagements
• Aircraft, helicopter, land and maritime integration</x:v>
      </x:c>
      <x:c r="F792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https://www.mbda-systems.com/products/tactical-strike/brimstone</x:v>
      </x:c>
    </x:row>
    <x:row r="793" ht="210" customHeight="1">
      <x:c r="A793" s="37" t="str">
        <x:v>MBDA</x:v>
      </x:c>
      <x:c r="B793" s="32" t="str">
        <x:v>Missiles</x:v>
      </x:c>
      <x:c r="C793" s="32" t="str">
        <x:v>CAMM</x:v>
      </x:c>
      <x:c r="D793" s="32" t="str">
        <x:v>• Weight: 99 kg
• Length: 3.2 m
• Diameter: 166 mm
• Range: 25 km
• Speed: Supersonic
• Launch: soft vertical launch
• Guidance/data link: two-way missile/launcher data link
• Seeker: active RF (public family documentation).
• Range: out to ~25 km
• Guidance: active radar seeker with datalink</x:v>
      </x:c>
      <x:c r="E793" s="32" t="str">
        <x:v>• Land/sea air defence; high-rate multiple engagements.
• Soft Vertical Launch
• 360° coverage
• Land and naval air-defence
• High rate of fire against multiple simultaneous targets</x:v>
      </x:c>
      <x:c r="F793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https://www.mbda-systems.com/products/force-protection/camm-family/camm
https://www.mbda-systems.com/sites/mbda/files/2024-07/2023%20Sea%20Ceptor%20datasheet.pdf</x:v>
      </x:c>
    </x:row>
    <x:row r="794" ht="210" customHeight="1">
      <x:c r="A794" s="37" t="str">
        <x:v>MBDA</x:v>
      </x:c>
      <x:c r="B794" s="32" t="str">
        <x:v>Missiles</x:v>
      </x:c>
      <x:c r="C794" s="32" t="str">
        <x:v>CAMM-ER</x:v>
      </x:c>
      <x:c r="D794" s="32" t="str">
        <x:v>• Weight: 160 kg
• Length: 4.2 m
• Diameter: 190 mm
• Range: &gt;40 km
• Speed: Supersonic
• Launch: soft vertical launch
• Guidance/data link: two-way missile/launcher data link
• Propulsion: enlarged rocket motor architecture
• Seeker: active RF (public family documentation).
• Two-way datalink and active seeker</x:v>
      </x:c>
      <x:c r="E794" s="32" t="str">
        <x:v>• Medium-range GBAD/NBAD.
• Extended-range CAMM family interceptor
• Soft vertical launch
• Land and naval GBAD/NBAD</x:v>
      </x:c>
      <x:c r="F794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https://www.mbda-systems.com/products/force-protection/camm-family/camm-er
https://www.mbda-systems.com/sites/mbda/files/2024-07/2023%20Sea%20Ceptor%20datasheet.pdf</x:v>
      </x:c>
    </x:row>
    <x:row r="795" ht="210" customHeight="1">
      <x:c r="A795" s="37" t="str">
        <x:v>MBDA</x:v>
      </x:c>
      <x:c r="B795" s="32" t="str">
        <x:v>Missiles</x:v>
      </x:c>
      <x:c r="C795" s="32" t="str">
        <x:v>Deep Strike / Crossbow</x:v>
      </x:c>
      <x:c r="D795" s="32" t="str">
        <x:v>• CROSSBOW: payloads up to 300 kg; ranges over 800 km; kinetic and non-kinetic payload concept.</x:v>
      </x:c>
      <x:c r="E795" s="32" t="str">
        <x:v>• Deep-strike system for static/high-value targets.</x:v>
      </x:c>
      <x:c r="F795" s="38" t="str">
        <x:v>https://www.mbda-systems.com/products/deep-strike/crossbow
https://www.mbda-systems.com/products</x:v>
      </x:c>
    </x:row>
    <x:row r="796" ht="210" customHeight="1">
      <x:c r="A796" s="37" t="str">
        <x:v>MBDA</x:v>
      </x:c>
      <x:c r="B796" s="32" t="str">
        <x:v>Missiles</x:v>
      </x:c>
      <x:c r="C796" s="32" t="str">
        <x:v>ENFORCER</x:v>
      </x:c>
      <x:c r="D796" s="32" t="str">
        <x:v>• 10 kg full munition
• &lt;1 m
• 90 mm; range up to 2 km; multi-effects warhead
• LOBL; day/night.</x:v>
      </x:c>
      <x:c r="E796" s="32" t="str">
        <x:v>• Man-portable precision battlefield weapon.</x:v>
      </x:c>
      <x:c r="F796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97" ht="210" customHeight="1">
      <x:c r="A797" s="37" t="str">
        <x:v>MBDA</x:v>
      </x:c>
      <x:c r="B797" s="32" t="str">
        <x:v>Missiles</x:v>
      </x:c>
      <x:c r="C797" s="32" t="str">
        <x:v>ENFORCER X</x:v>
      </x:c>
      <x:c r="D797" s="32" t="str">
        <x:v>• Based on Enforcer architecture; anti-tank evolution with increased penetration and tandem shaped-charge warhead.</x:v>
      </x:c>
      <x:c r="E797" s="32" t="str">
        <x:v>• Anti-armour battlefield weapon.</x:v>
      </x:c>
      <x:c r="F797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98" ht="210" customHeight="1">
      <x:c r="A798" s="37" t="str">
        <x:v>MBDA</x:v>
      </x:c>
      <x:c r="B798" s="32" t="str">
        <x:v>Missiles</x:v>
      </x:c>
      <x:c r="C798" s="32" t="str">
        <x:v>EXOCET AM39</x:v>
      </x:c>
      <x:c r="D798" s="32" t="str">
        <x:v>• 670 kg
• 4.69 m
• 350 mm; range up to 70 km depending launch conditions; active RF seeker.</x:v>
      </x:c>
      <x:c r="E798" s="32" t="str">
        <x:v>• Air-launched anti-ship.; fire-and-forget</x:v>
      </x:c>
      <x:c r="F798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799" ht="210" customHeight="1">
      <x:c r="A799" s="37" t="str">
        <x:v>MBDA</x:v>
      </x:c>
      <x:c r="B799" s="32" t="str">
        <x:v>Missiles</x:v>
      </x:c>
      <x:c r="C799" s="32" t="str">
        <x:v>EXOCET MM40 Block 3C</x:v>
      </x:c>
      <x:c r="D799" s="32" t="str">
        <x:v>• Weight: 530 kg
• Length: 4.7 m
• Diameter: 350 mm
• Operational range: 250 km class
• Guidance: inertial/GPS midcourse + J-band active coherent radar seeker
• Flight: very-low-altitude sea skimming</x:v>
      </x:c>
      <x:c r="E799" s="32" t="str">
        <x:v>• Ship-launched anti-ship / land-attack missile
• 3D waypoints and simultaneous terminal attacks
• ECCM / all-weather capability
• Compatible with existing MM40 Block 3 installations</x:v>
      </x:c>
      <x:c r="F799" s="38" t="str">
        <x:v>https://www.mbda-systems.com/products/deep-strike/exocet-family/exocet-mm40-block-3c
https://www.mbda-systems.com/sites/mbda/files/2024-11/2024-exocet-mm40-block-3c-datasheet.pdf</x:v>
      </x:c>
    </x:row>
    <x:row r="800" ht="210" customHeight="1">
      <x:c r="A800" s="37" t="str">
        <x:v>MBDA</x:v>
      </x:c>
      <x:c r="B800" s="32" t="str">
        <x:v>Missiles</x:v>
      </x:c>
      <x:c r="C800" s="32" t="str">
        <x:v>EXOCET SM39</x:v>
      </x:c>
      <x:c r="D800" s="32" t="str">
        <x:v>• 655 kg
• 4.69 m
• 350 mm
• 50 km range; submarine-launched through 21-in torpedo tube; sea-skimming.</x:v>
      </x:c>
      <x:c r="E800" s="32" t="str">
        <x:v>• Submarine-launched anti-ship.</x:v>
      </x:c>
      <x:c r="F800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01" ht="210" customHeight="1">
      <x:c r="A801" s="37" t="str">
        <x:v>MBDA</x:v>
      </x:c>
      <x:c r="B801" s="32" t="str">
        <x:v>Missiles</x:v>
      </x:c>
      <x:c r="C801" s="32" t="str">
        <x:v>EXOCET SM40</x:v>
      </x:c>
      <x:c r="D801" s="32" t="str">
        <x:v>• 450 kg
• 4.20 m
• 350 mm
• 120 km class; high-subsonic
• J-band active coherent seeker.</x:v>
      </x:c>
      <x:c r="E801" s="32" t="str">
        <x:v>• Next-generation submarine-launched anti-ship; in development.</x:v>
      </x:c>
      <x:c r="F801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02" ht="210" customHeight="1">
      <x:c r="A802" s="37" t="str">
        <x:v>MBDA</x:v>
      </x:c>
      <x:c r="B802" s="32" t="str">
        <x:v>Missiles</x:v>
      </x:c>
      <x:c r="C802" s="32" t="str">
        <x:v>MARTE ER</x:v>
      </x:c>
      <x:c r="D802" s="32" t="str">
        <x:v>• Weight: &lt;345 kg
• Length: 3.60 m
• Diameter: 316 mm
• Range: &gt;100 km
• Speed: high subsonic
• Guidance: INS/GPS + active RF seeker</x:v>
      </x:c>
      <x:c r="E802" s="32" t="str">
        <x:v>• Air, ship and coastal-launch anti-ship missile
• Sea-skimming / land attack
• Fire-and-forget
• Salvo / waypoint mission planning</x:v>
      </x:c>
      <x:c r="F802" s="38" t="str">
        <x:v>https://www.mbda-systems.com/products/deep-strike/marte-family/marte-er</x:v>
      </x:c>
    </x:row>
    <x:row r="803" ht="210" customHeight="1">
      <x:c r="A803" s="37" t="str">
        <x:v>MBDA</x:v>
      </x:c>
      <x:c r="B803" s="32" t="str">
        <x:v>Missiles</x:v>
      </x:c>
      <x:c r="C803" s="32" t="str">
        <x:v>MARTE MK2/S</x:v>
      </x:c>
      <x:c r="D803" s="32" t="str">
        <x:v>• Weight: 310 kg
• Length: 3.85 m
• Diameter: 316 mm
• Helicopter/fixed-wing anti-ship missile</x:v>
      </x:c>
      <x:c r="E803" s="32" t="str">
        <x:v>• Fire-and-forget
• Integrated on NH90 and AW101 naval helicopters
• Littoral and blue-water operations</x:v>
      </x:c>
      <x:c r="F803" s="38" t="str">
        <x:v>https://www.mbda-systems.com/products/deep-strike/marte-family/marte-mk2s</x:v>
      </x:c>
    </x:row>
    <x:row r="804" ht="210" customHeight="1">
      <x:c r="A804" s="37" t="str">
        <x:v>MBDA</x:v>
      </x:c>
      <x:c r="B804" s="32" t="str">
        <x:v>Missiles</x:v>
      </x:c>
      <x:c r="C804" s="32" t="str">
        <x:v>MARTE Mobile Coastal Defence System</x:v>
      </x:c>
      <x:c r="D804" s="32" t="str">
        <x:v>• Missile: MARTE ER
• Basic configuration: 1 mobile sensor unit + 1 mobile control unit + flexible number of firing units
• Each firing unit: 4 missiles</x:v>
      </x:c>
      <x:c r="E804" s="32" t="str">
        <x:v>• Integrated radar/EO-IR/AIS sensor module
• Third-party targeting / tactical data links / SATCOM
• Mobile coastal anti-ship system</x:v>
      </x:c>
      <x:c r="F804" s="38" t="str">
        <x:v>https://www.mbda-systems.com/products/deep-strike/marte-family/marte-mobile-coastal-defence-system</x:v>
      </x:c>
    </x:row>
    <x:row r="805" ht="210" customHeight="1">
      <x:c r="A805" s="37" t="str">
        <x:v>MBDA</x:v>
      </x:c>
      <x:c r="B805" s="32" t="str">
        <x:v>Missiles</x:v>
      </x:c>
      <x:c r="C805" s="32" t="str">
        <x:v>MdCN / NCM</x:v>
      </x:c>
      <x:c r="D805" s="32" t="str">
        <x:v>• Naval cruise missile family for extended-range strategic strike; submarine/surface ship launch; detailed current public values configuration-dependent.</x:v>
      </x:c>
      <x:c r="E805" s="32" t="str">
        <x:v>• Deep strike from naval platforms.</x:v>
      </x:c>
      <x:c r="F805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06" ht="210" customHeight="1">
      <x:c r="A806" s="37" t="str">
        <x:v>MBDA</x:v>
      </x:c>
      <x:c r="B806" s="32" t="str">
        <x:v>Missiles</x:v>
      </x:c>
      <x:c r="C806" s="32" t="str">
        <x:v>METEOR BVRAAM</x:v>
      </x:c>
      <x:c r="D806" s="32" t="str">
        <x:v>• 190 kg
• 3.7 m
• 178 mm; ramjet-powered BVRAAM; fragmentation warhead
• Typhoon, F-35, Gripen and Rafale.
• Weight: 190 kg
• Length: 3.7 m
• Diameter: 178 mm
• Propulsion: variable-flow ducted rocket / ramjet
• Speed: &gt;Mach 4 in public specialist reporting
• Terminal guidance: active radar homing with mid-course datalink</x:v>
      </x:c>
      <x:c r="E806" s="32" t="str">
        <x:v>• Air-to-air beyond-visual-range; large no-escape zone
• EW-resistant.
• Beyond-visual-range air-to-air missile
• Very large no-escape zone
• Dense-EW capability
• Integrated on Typhoon, Rafale, Gripen and F-35 programme</x:v>
      </x:c>
      <x:c r="F806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https://www.mbda-systems.com/products/air-dominance/meteor
https://www.armyrecognition.com/military-products/army/missiles/tactical-missiles/meteor-bvraam-missile</x:v>
      </x:c>
    </x:row>
    <x:row r="807" ht="210" customHeight="1">
      <x:c r="A807" s="37" t="str">
        <x:v>MBDA</x:v>
      </x:c>
      <x:c r="B807" s="32" t="str">
        <x:v>Missiles</x:v>
      </x:c>
      <x:c r="C807" s="32" t="str">
        <x:v>MICA Family</x:v>
      </x:c>
      <x:c r="D807" s="32" t="str">
        <x:v>• Air-to-air missile family used for both short/medium range
• RF and IR seeker variants; surface-launched VL MICA family.</x:v>
      </x:c>
      <x:c r="E807" s="32" t="str">
        <x:v>• Multi-role air combat / GBAD.</x:v>
      </x:c>
      <x:c r="F807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08" ht="210" customHeight="1">
      <x:c r="A808" s="37" t="str">
        <x:v>MBDA</x:v>
      </x:c>
      <x:c r="B808" s="32" t="str">
        <x:v>Missiles</x:v>
      </x:c>
      <x:c r="C808" s="32" t="str">
        <x:v>MISTRAL 3</x:v>
      </x:c>
      <x:c r="D808" s="32" t="str">
        <x:v>• &lt;20 kg
• 1.88 m including launch motor; ~92 mm
• &gt;96% success rate stated by MBDA.
• Weight: &lt;20 kg
• Length: 1.88 m incl. launch motor
• Diameter: ~92 mm
• Fire-and-forget imaging/IR-class seeker architecture
• Multi-domain launch</x:v>
      </x:c>
      <x:c r="E808" s="32" t="str">
        <x:v>• VSHORAD; land/naval/air; high manoeuvrability.; fire-and-forget
• Very-short-range air-defence missile
• Land/naval/air launch options
• Combat-proven
• MBDA states &gt;96% success rate</x:v>
      </x:c>
      <x:c r="F808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https://www.mbda-systems.com/products/force-protection/mistral-family/mistral-3</x:v>
      </x:c>
    </x:row>
    <x:row r="809" ht="210" customHeight="1">
      <x:c r="A809" s="37" t="str">
        <x:v>MBDA</x:v>
      </x:c>
      <x:c r="B809" s="32" t="str">
        <x:v>Missiles</x:v>
      </x:c>
      <x:c r="C809" s="32" t="str">
        <x:v>MISTRAL ATAM</x:v>
      </x:c>
      <x:c r="D809" s="32" t="str">
        <x:v>• Two twin helicopter launchers; four ready-to-fire Mistral missiles; helicopter speed up to 200 kt and altitude &gt;15,000 ft.</x:v>
      </x:c>
      <x:c r="E809" s="32" t="str">
        <x:v>• Air-to-air helicopter self-defence.</x:v>
      </x:c>
      <x:c r="F809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10" ht="210" customHeight="1">
      <x:c r="A810" s="37" t="str">
        <x:v>MBDA</x:v>
      </x:c>
      <x:c r="B810" s="32" t="str">
        <x:v>Missiles</x:v>
      </x:c>
      <x:c r="C810" s="32" t="str">
        <x:v>MISTRAL MANPADS</x:v>
      </x:c>
      <x:c r="D810" s="32" t="str">
        <x:v>• Mistral 3 man-portable launcher; two operators can fully equip in &lt;60 s; reload &lt;30 s.</x:v>
      </x:c>
      <x:c r="E810" s="32" t="str">
        <x:v>• VSHORAD MANPADS.</x:v>
      </x:c>
      <x:c r="F810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11" ht="210" customHeight="1">
      <x:c r="A811" s="37" t="str">
        <x:v>MBDA</x:v>
      </x:c>
      <x:c r="B811" s="32" t="str">
        <x:v>Missiles</x:v>
      </x:c>
      <x:c r="C811" s="32" t="str">
        <x:v>SPEAR</x:v>
      </x:c>
      <x:c r="D811" s="32" t="str">
        <x:v>• &lt;100 kg
• &lt;2 m
• 180 mm; turbojet
• Typhoon/F-35; multi-sensor seeker.</x:v>
      </x:c>
      <x:c r="E811" s="32" t="str">
        <x:v>• Long-range air-launched precision strike.</x:v>
      </x:c>
      <x:c r="F811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12" ht="210" customHeight="1">
      <x:c r="A812" s="37" t="str">
        <x:v>MBDA</x:v>
      </x:c>
      <x:c r="B812" s="32" t="str">
        <x:v>Missiles</x:v>
      </x:c>
      <x:c r="C812" s="32" t="str">
        <x:v>TAURUS KEPD 350E</x:v>
      </x:c>
      <x:c r="D812" s="32" t="str">
        <x:v>• 1,400 kg
• 5 m; operational range &gt;500 km; dual-stage warhead
• INS/GPS/image/terrain reference navigation.</x:v>
      </x:c>
      <x:c r="E812" s="32" t="str">
        <x:v>• Deep strike against hardened/high-value targets.</x:v>
      </x:c>
      <x:c r="F812" s="38" t="str">
        <x:v>https://www.mbda-systems.com/products
https://www.mbda-systems.com/products/force-protection/
https://www.mbda-systems.com/products/tactical-strike/
https://www.mbda-systems.com/products/deep-strike/
https://www.mbda-systems.com/products/air-dominance/</x:v>
      </x:c>
    </x:row>
    <x:row r="813" ht="210" customHeight="1">
      <x:c r="A813" s="37" t="str">
        <x:v>Israel Aerospace Industries (IAI)</x:v>
      </x:c>
      <x:c r="B813" s="32" t="str">
        <x:v>Marine/Naval</x:v>
      </x:c>
      <x:c r="C813" s="32" t="str">
        <x:v>BARAK MX Naval</x:v>
      </x:c>
      <x:c r="D813" s="32" t="str">
        <x:v>• Shipborne BARAK system
• 4 interceptor options; active RF seekers; digital radar
• 2–150 km family envelope.</x:v>
      </x:c>
      <x:c r="E813" s="32" t="str">
        <x:v>• Naval layered air defence.</x:v>
      </x:c>
      <x:c r="F813" s="38" t="str">
        <x:v>https://www.iai.co.il/products
https://www.iai.co.il/product/heron-tp/
https://www.iai.co.il/product/harop/
https://www.iai.co.il/product/barak-mx/
https://www.iai.co.il/product/elm-2084-mmr/</x:v>
      </x:c>
    </x:row>
    <x:row r="814" ht="210" customHeight="1">
      <x:c r="A814" s="37" t="str">
        <x:v>Israel Aerospace Industries (IAI)</x:v>
      </x:c>
      <x:c r="B814" s="32" t="str">
        <x:v>UAVs/Drones</x:v>
      </x:c>
      <x:c r="C814" s="32" t="str">
        <x:v>Green Dragon Loitering Munition</x:v>
      </x:c>
      <x:c r="D814" s="32" t="str">
        <x:v>• Canister-launched loitering munition; long endurance/stand-off strike family; detailed public values vary by configuration.
• Range: up to 40 km
• Loiter time: ~90 min naval public reference; earlier land concept up to ~2 h
• Warhead: ~3 kg
• Electric propulsion</x:v>
      </x:c>
      <x:c r="E814" s="32" t="str">
        <x:v>• Precision loitering strike.
• EO-guided tactical loitering munition
• Silent operation
• Vehicle canister launch
• Abort/go-around capability</x:v>
      </x:c>
      <x:c r="F814" s="38" t="str">
        <x:v>https://www.iai.co.il/products
https://www.iai.co.il/product/heron-tp/
https://www.iai.co.il/product/harop/
https://www.iai.co.il/product/barak-mx/
https://www.iai.co.il/product/elm-2084-mmr/
https://www.iai.co.il/press/iai-introduces-new-naval-application-for-its-green-dragon-loitering-munition/
https://www.iai.co.il/press/iai-unveils-the-newest-members-in-its-loitering-munitions-family-at-singapore-air-show/</x:v>
      </x:c>
    </x:row>
    <x:row r="815" ht="210" customHeight="1">
      <x:c r="A815" s="37" t="str">
        <x:v>Israel Aerospace Industries (IAI)</x:v>
      </x:c>
      <x:c r="B815" s="32" t="str">
        <x:v>UAVs/Drones</x:v>
      </x:c>
      <x:c r="C815" s="32" t="str">
        <x:v>HAROP Loitering Munition</x:v>
      </x:c>
      <x:c r="D815" s="32" t="str">
        <x:v>• 9 h endurance; electro-optic seeker; canister launch; human-in-loop supervision
• GNSS-jamming resistance.
• Endurance: up to 9 h
• EO/IR seeker
• Canister-launched from truck or naval platform
• GNSS-jamming resilience</x:v>
      </x:c>
      <x:c r="E815" s="32" t="str">
        <x:v>• Long-range loitering munition; detects, identifies and attacks high-value targets.
• Long-range loitering strike against high-value targets
• Human-in-the-loop supervision
• Abort/re-attack capability</x:v>
      </x:c>
      <x:c r="F815" s="38" t="str">
        <x:v>https://www.iai.co.il/products
https://www.iai.co.il/product/heron-tp/
https://www.iai.co.il/product/harop/
https://www.iai.co.il/product/barak-mx/
https://www.iai.co.il/product/elm-2084-mmr/
https://www.iai.co.il/wp-content/uploads/2025/10/MSL-HAROP-Brochure.pdf</x:v>
      </x:c>
    </x:row>
    <x:row r="816" ht="210" customHeight="1">
      <x:c r="A816" s="37" t="str">
        <x:v>Israel Aerospace Industries (IAI)</x:v>
      </x:c>
      <x:c r="B816" s="32" t="str">
        <x:v>UAVs/Drones</x:v>
      </x:c>
      <x:c r="C816" s="32" t="str">
        <x:v>HARPY Anti-Radiation Loitering Munition</x:v>
      </x:c>
      <x:c r="D816" s="32" t="str">
        <x:v>• Anti-radiation loitering munition family; autonomous target search/attack against radar emitters; detailed current public dimensional data vary by generation.
• Endurance: up to 9 h
• Anti-radiation seeker
• Ground/naval canister launch</x:v>
      </x:c>
      <x:c r="E816" s="32" t="str">
        <x:v>• SEAD/anti-radar loitering strike.
• Autonomous SEAD/DEAD loitering munition
• GNSS-denied operation
• Emitting-target detection and attack</x:v>
      </x:c>
      <x:c r="F816" s="38" t="str">
        <x:v>https://www.iai.co.il/products
https://www.iai.co.il/product/heron-tp/
https://www.iai.co.il/product/harop/
https://www.iai.co.il/product/barak-mx/
https://www.iai.co.il/product/elm-2084-mmr/
https://www.iai.co.il/product/harpy/</x:v>
      </x:c>
    </x:row>
    <x:row r="817" ht="210" customHeight="1">
      <x:c r="A817" s="37" t="str">
        <x:v>Israel Aerospace Industries (IAI)</x:v>
      </x:c>
      <x:c r="B817" s="32" t="str">
        <x:v>UAVs/Drones</x:v>
      </x:c>
      <x:c r="C817" s="32" t="str">
        <x:v>HERON 1</x:v>
      </x:c>
      <x:c r="D817" s="32" t="str">
        <x:v>• MALE UAV; endurance up to 45 h; altitude up to 30,000 ft; operated by &gt;20 customers according to IAI sustainability material.</x:v>
      </x:c>
      <x:c r="E817" s="32" t="str">
        <x:v>• Long-endurance ISR and multi-mission payloads.</x:v>
      </x:c>
      <x:c r="F817" s="38" t="str">
        <x:v>https://www.iai.co.il/products
https://www.iai.co.il/product/heron-tp/
https://www.iai.co.il/product/harop/
https://www.iai.co.il/product/barak-mx/
https://www.iai.co.il/product/elm-2084-mmr/</x:v>
      </x:c>
    </x:row>
    <x:row r="818" ht="210" customHeight="1">
      <x:c r="A818" s="37" t="str">
        <x:v>Israel Aerospace Industries (IAI)</x:v>
      </x:c>
      <x:c r="B818" s="32" t="str">
        <x:v>UAVs/Drones</x:v>
      </x:c>
      <x:c r="C818" s="32" t="str">
        <x:v>Heron MK II</x:v>
      </x:c>
      <x:c r="D818" s="32" t="str">
        <x:v>• Altitude: &gt;35,000 ft
• Maximum speed: ~150 kt current page
• 140 kt in original 2020 release
• Endurance: up to 45 h
• Engine: Rotax 915 iS</x:v>
      </x:c>
      <x:c r="E818" s="32" t="str">
        <x:v>• MALE multi-payload UAS
• EO, radar, ELINT, COMINT, ESM and relay payloads
• Long-range standoff ISR</x:v>
      </x:c>
      <x:c r="F818" s="38" t="str">
        <x:v>https://www.iai.co.il/product/heron-mk-ii/
https://www.iai.co.il/press/iai-to-unveil-the-heron-mk-ii-at-singapore-airshow/</x:v>
      </x:c>
    </x:row>
    <x:row r="819" ht="210" customHeight="1">
      <x:c r="A819" s="37" t="str">
        <x:v>Israel Aerospace Industries (IAI)</x:v>
      </x:c>
      <x:c r="B819" s="32" t="str">
        <x:v>UAVs/Drones</x:v>
      </x:c>
      <x:c r="C819" s="32" t="str">
        <x:v>Heron TP</x:v>
      </x:c>
      <x:c r="D819" s="32" t="str">
        <x:v>• MTOW: 5,670 kg
• Max payload: 2,700 kg
• Overall length: 14 m
• Wingspan: 26 m
• Max speed: 220 KTAS
• Endurance: &gt;30 h
• Altitude: &gt;45,000 ft
• BLOS range: &gt;1,000 km
• Powerplant: 1,200 hp PT6 turboprop
• Avionics: triple-redundant
• Take-off/landing: automatic taxi-takeoff and landing (ATOL)
• Standard: STANAG 4671.
• Maximum payload: 2,700 kg
• Length: 14 m
• Engine: 1,200 hp PT6 turboprop</x:v>
      </x:c>
      <x:c r="E819" s="32" t="str">
        <x:v>• MALE strategic ISR; multi-payload
• SATCOM
• ATOL; triple-redundant avionics
• STANAG 4671.
• Strategic MALE/HALE-class multi-mission UAS
• SATCOM BLOS &gt;1,000 km
• Automatic taxi/takeoff/landing
• STANAG 4671 compliant</x:v>
      </x:c>
      <x:c r="F819" s="38" t="str">
        <x:v>https://www.iai.co.il/products
https://www.iai.co.il/product/heron-tp/
https://www.iai.co.il/product/harop/
https://www.iai.co.il/product/barak-mx/
https://www.iai.co.il/product/elm-2084-mmr/</x:v>
      </x:c>
    </x:row>
    <x:row r="820" ht="210" customHeight="1">
      <x:c r="A820" s="37" t="str">
        <x:v>Israel Aerospace Industries (IAI)</x:v>
      </x:c>
      <x:c r="B820" s="32" t="str">
        <x:v>UAVs/Drones</x:v>
      </x:c>
      <x:c r="C820" s="32" t="str">
        <x:v>Mini HARPY</x:v>
      </x:c>
      <x:c r="D820" s="32" t="str">
        <x:v>• Weight: 50 kg
• Endurance: ≥80 min
• Warhead: 7 kg
• Operational range: 100 km
• Dual EO/IR + anti-radiation seeker
• Electric propulsion</x:v>
      </x:c>
      <x:c r="E820" s="32" t="str">
        <x:v>• Man-in-the-loop or autonomous mode
• Land/naval canister launch
• Abort/re-attack</x:v>
      </x:c>
      <x:c r="F820" s="38" t="str">
        <x:v>https://www.iai.co.il/product/mini-harpy/</x:v>
      </x:c>
    </x:row>
    <x:row r="821" ht="210" customHeight="1">
      <x:c r="A821" s="37" t="str">
        <x:v>Israel Aerospace Industries (IAI)</x:v>
      </x:c>
      <x:c r="B821" s="32" t="str">
        <x:v>UAVs/Drones</x:v>
      </x:c>
      <x:c r="C821" s="32" t="str">
        <x:v>Tactical Heron</x:v>
      </x:c>
      <x:c r="D821" s="32" t="str">
        <x:v>• MTOW: 600 kg
• Payload: 180 kg
• Wingspan: 10.6 m
• Length: 7.3 m
• Endurance: &gt;24 h
• Ceiling: 23,000 ft
• Loiter speed: 60–80 KTAS
• Max speed: 120 KTAS
• LOS range: &gt;250 km
• SATCOM BLOS &gt;1,000 km</x:v>
      </x:c>
      <x:c r="E821" s="32" t="str">
        <x:v>• Automatic taxi/takeoff/landing
• Up to four simultaneous payloads
• STANAG 4671-certifiable
• Semi-prepared airfield operation</x:v>
      </x:c>
      <x:c r="F821" s="38" t="str">
        <x:v>https://www.iai.co.il/product/tactical-heron/</x:v>
      </x:c>
    </x:row>
    <x:row r="822" ht="210" customHeight="1">
      <x:c r="A822" s="37" t="str">
        <x:v>Israel Aerospace Industries (IAI)</x:v>
      </x:c>
      <x:c r="B822" s="32" t="str">
        <x:v>UAVs/Drones</x:v>
      </x:c>
      <x:c r="C822" s="32" t="str">
        <x:v>TAKHIR / Miniature UAS family</x:v>
      </x:c>
      <x:c r="D822" s="32" t="str">
        <x:v>• Small tactical unmanned systems within IAI portfolio; exact model-specific performance varies.</x:v>
      </x:c>
      <x:c r="E822" s="32" t="str">
        <x:v>• Tactical ISR.</x:v>
      </x:c>
      <x:c r="F822" s="38" t="str">
        <x:v>https://www.iai.co.il/products
https://www.iai.co.il/product/heron-tp/
https://www.iai.co.il/product/harop/
https://www.iai.co.il/product/barak-mx/
https://www.iai.co.il/product/elm-2084-mmr/</x:v>
      </x:c>
    </x:row>
    <x:row r="823" ht="210" customHeight="1">
      <x:c r="A823" s="37" t="str">
        <x:v>Israel Aerospace Industries (IAI)</x:v>
      </x:c>
      <x:c r="B823" s="32" t="str">
        <x:v>Missiles</x:v>
      </x:c>
      <x:c r="C823" s="32" t="str">
        <x:v>Arrow 2 Interceptor</x:v>
      </x:c>
      <x:c r="D823" s="32" t="str">
        <x:v>• Arrow Weapon System interceptor family; exo/endo-atmospheric ballistic missile defence; details depend on block.
• Two solid-propulsion stages
• Speed: hypersonic
• IAI public reference up to ~3 km/s interception target speed
• Fragmentation warhead
• Endo-/exo-atmospheric interception</x:v>
      </x:c>
      <x:c r="E823" s="32" t="str">
        <x:v>• ATBM defence.
• Operational anti-ballistic missile interceptor
• Aerodynamic + thrust-vector control
• Short reaction time</x:v>
      </x:c>
      <x:c r="F823" s="38" t="str">
        <x:v>https://www.iai.co.il/products
https://www.iai.co.il/product/heron-tp/
https://www.iai.co.il/product/harop/
https://www.iai.co.il/product/barak-mx/
https://www.iai.co.il/product/elm-2084-mmr/
https://www.iai.co.il/product/arrow-2/</x:v>
      </x:c>
    </x:row>
    <x:row r="824" ht="210" customHeight="1">
      <x:c r="A824" s="37" t="str">
        <x:v>Israel Aerospace Industries (IAI)</x:v>
      </x:c>
      <x:c r="B824" s="32" t="str">
        <x:v>Missiles</x:v>
      </x:c>
      <x:c r="C824" s="32" t="str">
        <x:v>Arrow 3 Interceptor</x:v>
      </x:c>
      <x:c r="D824" s="32" t="str">
        <x:v>• Two-stage exo-atmospheric interceptor; hit-to-kill; two solid propulsion stages; large defended area
• EO sensor; very short reaction time.
• Two-stage solid-propulsion interceptor
• Hit-to-kill kill vehicle
• Exo-atmospheric upper-tier interception</x:v>
      </x:c>
      <x:c r="E824" s="32" t="str">
        <x:v>• Upper-tier ballistic missile defence.
• Long-range anti-ballistic missile defence
• Large defended footprint
• High divert / manoeuvre capability</x:v>
      </x:c>
      <x:c r="F824" s="38" t="str">
        <x:v>https://www.iai.co.il/products
https://www.iai.co.il/product/heron-tp/
https://www.iai.co.il/product/harop/
https://www.iai.co.il/product/barak-mx/
https://www.iai.co.il/product/elm-2084-mmr/
https://www.iai.co.il/product/arrow-3/</x:v>
      </x:c>
    </x:row>
    <x:row r="825" ht="210" customHeight="1">
      <x:c r="A825" s="37" t="str">
        <x:v>Israel Aerospace Industries (IAI)</x:v>
      </x:c>
      <x:c r="B825" s="32" t="str">
        <x:v>Missiles</x:v>
      </x:c>
      <x:c r="C825" s="32" t="str">
        <x:v>BARAK ER</x:v>
      </x:c>
      <x:c r="D825" s="32" t="str">
        <x:v>• Effective range: 150 km
• Altitude: 30 km
• Maneuverability: 50 g
• Propulsion: booster + dual-pulse rocket motor
• Launch: vertical
• Launcher capacity: 8 missiles
• Seeker: active radar
• Data link: BMC-to-missile
• Launch coverage: 360°.
• Range: 150 km
• Missiles per launcher: 8
• Dual-pulse motor + booster</x:v>
      </x:c>
      <x:c r="E825" s="32" t="str">
        <x:v>• Extended-range GBAD/NBAD; enhanced TBM capability.
• Extended-range / ATBM capability
• Active radar seeker
• Vertical 360° launch</x:v>
      </x:c>
      <x:c r="F825" s="38" t="str">
        <x:v>https://www.iai.co.il/products
https://www.iai.co.il/product/heron-tp/
https://www.iai.co.il/product/harop/
https://www.iai.co.il/product/barak-mx/
https://www.iai.co.il/product/elm-2084-mmr/
https://www.iai.co.il/product/barak-er/</x:v>
      </x:c>
    </x:row>
    <x:row r="826" ht="210" customHeight="1">
      <x:c r="A826" s="37" t="str">
        <x:v>Israel Aerospace Industries (IAI)</x:v>
      </x:c>
      <x:c r="B826" s="32" t="str">
        <x:v>Missiles</x:v>
      </x:c>
      <x:c r="C826" s="32" t="str">
        <x:v>BARAK LR</x:v>
      </x:c>
      <x:c r="D826" s="32" t="str">
        <x:v>• 70 km class interceptor; dual-pulse motor; active RF seeker; vertical launch.
• Range: 70 km
• Altitude: 20 km
• Maneuverability: 50 g
• Missiles per launcher: 8
• Dual-pulse rocket motor</x:v>
      </x:c>
      <x:c r="E826" s="32" t="str">
        <x:v>• Medium/long-range air defence.
• Vertical launch
• Active radar seeker
• Air-breathing and tactical-ballistic target defence</x:v>
      </x:c>
      <x:c r="F826" s="38" t="str">
        <x:v>https://www.iai.co.il/products
https://www.iai.co.il/product/heron-tp/
https://www.iai.co.il/product/harop/
https://www.iai.co.il/product/barak-mx/
https://www.iai.co.il/product/elm-2084-mmr/
https://www.iai.co.il/product/barak-lr/
https://www.iai.co.il/wp-content/uploads/2025/11/AMD-BARAK-LR-Brochure.pdf</x:v>
      </x:c>
    </x:row>
    <x:row r="827" ht="210" customHeight="1">
      <x:c r="A827" s="37" t="str">
        <x:v>Israel Aerospace Industries (IAI)</x:v>
      </x:c>
      <x:c r="B827" s="32" t="str">
        <x:v>Missiles</x:v>
      </x:c>
      <x:c r="C827" s="32" t="str">
        <x:v>BARAK MR</x:v>
      </x:c>
      <x:c r="D827" s="32" t="str">
        <x:v>• 35 km range
• 20 km altitude
• 50g maneuverability; single-pulse motor
• 8 missiles per launcher; active radar seeker.
• Range: 35 km
• Altitude: 20 km
• Maneuverability: 50 g
• Missiles per launcher: 8
• Single-pulse motor
• Active radar seeker</x:v>
      </x:c>
      <x:c r="E827" s="32" t="str">
        <x:v>• Medium-range air defence.
• Vertical 360° launch
• Two-way system datalink
• All-weather multi-target engagement</x:v>
      </x:c>
      <x:c r="F827" s="38" t="str">
        <x:v>https://www.iai.co.il/products
https://www.iai.co.il/product/heron-tp/
https://www.iai.co.il/product/harop/
https://www.iai.co.il/product/barak-mx/
https://www.iai.co.il/product/elm-2084-mmr/
https://www.iai.co.il/product/barak-mr/</x:v>
      </x:c>
    </x:row>
    <x:row r="828" ht="210" customHeight="1">
      <x:c r="A828" s="37" t="str">
        <x:v>Israel Aerospace Industries (IAI)</x:v>
      </x:c>
      <x:c r="B828" s="32" t="str">
        <x:v>Missiles</x:v>
      </x:c>
      <x:c r="C828" s="32" t="str">
        <x:v>BARAK MX Integrated Air &amp; Missile Defence System</x:v>
      </x:c>
      <x:c r="D828" s="32" t="str">
        <x:v>• Family with BARAK SR/MR/LR/ER; engagement from 2–150 km
• AESA radar integration.
• Interceptor family: BARAK SR 15 km, MR 35 km, LR 70 km, ER 150 km
• All interceptors use active RF seekers
• Unified launcher / battle management architecture</x:v>
      </x:c>
      <x:c r="E828" s="32" t="str">
        <x:v>• Integrated land/naval air and missile defence.; network-centric modular architecture
• Layered land and naval air/missile defence
• Multiple simultaneous engagements
• Software-defined scalable architecture</x:v>
      </x:c>
      <x:c r="F828" s="38" t="str">
        <x:v>https://www.iai.co.il/products
https://www.iai.co.il/product/heron-tp/
https://www.iai.co.il/product/harop/
https://www.iai.co.il/product/barak-mx/
https://www.iai.co.il/product/elm-2084-mmr/</x:v>
      </x:c>
    </x:row>
    <x:row r="829" ht="210" customHeight="1">
      <x:c r="A829" s="37" t="str">
        <x:v>Israel Aerospace Industries (IAI)</x:v>
      </x:c>
      <x:c r="B829" s="32" t="str">
        <x:v>Missiles</x:v>
      </x:c>
      <x:c r="C829" s="32" t="str">
        <x:v>BARAK SR</x:v>
      </x:c>
      <x:c r="D829" s="32" t="str">
        <x:v>• 15 km range
• 9 km altitude
• 8 naval / 15 land missiles per launcher; conformal active seeker; vertical 360° deployment.</x:v>
      </x:c>
      <x:c r="E829" s="32" t="str">
        <x:v>• Short-range naval/land air defence.</x:v>
      </x:c>
      <x:c r="F829" s="38" t="str">
        <x:v>https://www.iai.co.il/products
https://www.iai.co.il/product/heron-tp/
https://www.iai.co.il/product/harop/
https://www.iai.co.il/product/barak-mx/
https://www.iai.co.il/product/elm-2084-mmr/</x:v>
      </x:c>
    </x:row>
    <x:row r="830" ht="210" customHeight="1">
      <x:c r="A830" s="37" t="str">
        <x:v>Israel Aerospace Industries (IAI)</x:v>
      </x:c>
      <x:c r="B830" s="32" t="str">
        <x:v>Missiles</x:v>
      </x:c>
      <x:c r="C830" s="32" t="str">
        <x:v>GABRIEL V Anti-Ship Missile</x:v>
      </x:c>
      <x:c r="D830" s="32" t="str">
        <x:v>• Next-generation anti-ship missile; sea-skimming; advanced seeker; multi-platform; detailed current public performance values vary.
• Ship/land anti-ship missile integration; sea-skimming precision strike.</x:v>
      </x:c>
      <x:c r="E830" s="32" t="str">
        <x:v>• Anti-ship / maritime strike.
• Maritime strike.</x:v>
      </x:c>
      <x:c r="F830" s="38" t="str">
        <x:v>https://www.iai.co.il/products
https://www.iai.co.il/product/heron-tp/
https://www.iai.co.il/product/harop/
https://www.iai.co.il/product/barak-mx/
https://www.iai.co.il/product/elm-2084-mmr/</x:v>
      </x:c>
    </x:row>
    <x:row r="831" ht="210" customHeight="1">
      <x:c r="A831" s="37" t="str">
        <x:v>Israel Aerospace Industries (IAI)</x:v>
      </x:c>
      <x:c r="B831" s="32" t="str">
        <x:v>Missiles</x:v>
      </x:c>
      <x:c r="C831" s="32" t="str">
        <x:v>LORA Precision Strike Missile</x:v>
      </x:c>
      <x:c r="D831" s="32" t="str">
        <x:v>• Long-range precision strike ballistic missile
• 400 km class export range commonly reported; road-mobile/shipborne launcher; detailed current IAI specs vary by configuration.
• Weight: 1,600 kg
• Length: 5.2 m
• Diameter: 624 mm
• Range: 90–430 km
• Angle of attack: 60°–90°
• Guidance: GPS/INS
• Single-stage solid rocket motor</x:v>
      </x:c>
      <x:c r="E831" s="32" t="str">
        <x:v>• Theatre ballistic precision strike.
• Land or naval launch
• Four sealed missiles on standard 16-ton flat-bed truck
• No missile preventive maintenance
• Fortified-target penetration</x:v>
      </x:c>
      <x:c r="F831" s="38" t="str">
        <x:v>https://www.iai.co.il/products
https://www.iai.co.il/product/heron-tp/
https://www.iai.co.il/product/harop/
https://www.iai.co.il/product/barak-mx/
https://www.iai.co.il/product/elm-2084-mmr/
https://www.iai.co.il/product/lora/
https://www.armyrecognition.com/archives/archives-land-defense/defense-news-army-2025/defea-2025-israels-iai-unveils-lora-ballistic-missile-system-with-long-range-precision-strike-capability</x:v>
      </x:c>
    </x:row>
    <x:row r="832" ht="210" customHeight="1">
      <x:c r="A832" s="37" t="str">
        <x:v>L3Harris</x:v>
      </x:c>
      <x:c r="B832" s="32" t="str">
        <x:v>Marine/Naval</x:v>
      </x:c>
      <x:c r="C832" s="32" t="str">
        <x:v>Maritime Mobile Surveillance Towed Arrays</x:v>
      </x:c>
      <x:c r="D832" s="32" t="str">
        <x:v>• Mobile/towed acoustic surveillance capability for maritime platforms.</x:v>
      </x:c>
      <x:c r="E832" s="32" t="str">
        <x:v>• Maritime domain awareness.</x:v>
      </x:c>
      <x:c r="F832" s="38" t="str">
        <x:v>https://www.l3harris.com/all-capabilities/electronic-warfare
https://www.l3harris.com/all-capabilities/airborne-isr-solutions
https://www.l3harris.com/all-capabilities/isr-and-sigint
https://engage.l3harris.com/wescam-mx-series-systems</x:v>
      </x:c>
    </x:row>
    <x:row r="833" ht="210" customHeight="1">
      <x:c r="A833" s="37" t="str">
        <x:v>L3Harris</x:v>
      </x:c>
      <x:c r="B833" s="32" t="str">
        <x:v>Marine/Naval</x:v>
      </x:c>
      <x:c r="C833" s="32" t="str">
        <x:v>Submarine Towed Arrays</x:v>
      </x:c>
      <x:c r="D833" s="32" t="str">
        <x:v>• Submarine acoustic surveillance arrays; model/configuration dependent.</x:v>
      </x:c>
      <x:c r="E833" s="32" t="str">
        <x:v>• ASW and passive acoustic surveillance.</x:v>
      </x:c>
      <x:c r="F833" s="38" t="str">
        <x:v>https://www.l3harris.com/all-capabilities/electronic-warfare
https://www.l3harris.com/all-capabilities/airborne-isr-solutions
https://www.l3harris.com/all-capabilities/isr-and-sigint
https://engage.l3harris.com/wescam-mx-series-systems</x:v>
      </x:c>
    </x:row>
    <x:row r="834" ht="210" customHeight="1">
      <x:c r="A834" s="37" t="str">
        <x:v>L3Harris</x:v>
      </x:c>
      <x:c r="B834" s="32" t="str">
        <x:v>Marine/Naval</x:v>
      </x:c>
      <x:c r="C834" s="32" t="str">
        <x:v>TB-37 Multi-Function Towed Array</x:v>
      </x:c>
      <x:c r="D834" s="32" t="str">
        <x:v>• Surface-ship multi-function towed-array sonar; detailed sensor aperture/performance configuration-dependent.</x:v>
      </x:c>
      <x:c r="E834" s="32" t="str">
        <x:v>• Undersea surveillance/ASW.</x:v>
      </x:c>
      <x:c r="F834" s="38" t="str">
        <x:v>https://www.l3harris.com/all-capabilities/electronic-warfare
https://www.l3harris.com/all-capabilities/airborne-isr-solutions
https://www.l3harris.com/all-capabilities/isr-and-sigint
https://engage.l3harris.com/wescam-mx-series-systems</x:v>
      </x:c>
    </x:row>
    <x:row r="835" ht="210" customHeight="1">
      <x:c r="A835" s="37" t="str">
        <x:v>L3Harris</x:v>
      </x:c>
      <x:c r="B835" s="32" t="str">
        <x:v>UAVs/Drones</x:v>
      </x:c>
      <x:c r="C835" s="32" t="str">
        <x:v>FVR-55 Hybrid Quadrotor UAS</x:v>
      </x:c>
      <x:c r="D835" s="32" t="str">
        <x:v>• Dimensions: ~4.0 m wingspan × 2.1 m length × 0.3 m height
• MTOW: 25 kg Part 107 configuration; absolute max ~29.5 kg
• Payload: up to 4.5 kg
• Endurance: up to 10 h payload-dependent
• Ceiling: 12,000–15,000 ft MSL depending published configuration
• Datalink: 4 Mbps at 60 km / 1 Mbps at 100 km
• Max speed: ~65 kt / 120 km/h</x:v>
      </x:c>
      <x:c r="E835" s="32" t="str">
        <x:v>• VTOL from ~6×6 m area
• Land/boat launch and recovery
• Two-person team
• AES-256 datalink
• Autonomous return/loiter/landing on link loss</x:v>
      </x:c>
      <x:c r="F835" s="38" t="str">
        <x:v>https://www.l3harris.com/sites/default/files/2021-11/as-pes-latitude-resources-fvr-55.pdf
https://www.l3harris.com/sites/default/files/2020-09/AS-AS%26T-Product-Latitude-FVR-55-Specsheet-0320.pdf</x:v>
      </x:c>
    </x:row>
    <x:row r="836" ht="210" customHeight="1">
      <x:c r="A836" s="37" t="str">
        <x:v>L3Harris</x:v>
      </x:c>
      <x:c r="B836" s="32" t="str">
        <x:v>UAVs/Drones</x:v>
      </x:c>
      <x:c r="C836" s="32" t="str">
        <x:v>FVR-90 Hybrid Quadrotor UAS</x:v>
      </x:c>
      <x:c r="D836" s="32" t="str">
        <x:v>• Maximum aircraft range: 1,500 km / 810 nmi
• Nominal payload datalink range: ~100 km / 54 nmi
• Endurance: 8–16 h; newer maritime material references 12–18 h depending payload
• Service ceiling: 18,000 ft
• VTOL area: ~7.6×7.6 m
• Payload capacity: 8–22 lb / ~3.6–10 kg depending mission fit</x:v>
      </x:c>
      <x:c r="E836" s="32" t="str">
        <x:v>• Runway-independent hybrid quadrotor
• Shipboard VTOL / moving-baseline support
• Modular nose/boom payloads
• SATCOM-capable</x:v>
      </x:c>
      <x:c r="F836" s="38" t="str">
        <x:v>https://www.l3harris.com/sites/default/files/2020-08/L3Harris_Collateral_FVR-90_SpecSheet_Web_0520.pdf
https://engage.l3harris.com/full-spectrum-maritime</x:v>
      </x:c>
    </x:row>
    <x:row r="837" ht="210" customHeight="1">
      <x:c r="A837" s="37" t="str">
        <x:v>L3Harris</x:v>
      </x:c>
      <x:c r="B837" s="32" t="str">
        <x:v>UAVs/Drones</x:v>
      </x:c>
      <x:c r="C837" s="32" t="str">
        <x:v>Green Wolf Launched Effect</x:v>
      </x:c>
      <x:c r="D837" s="32" t="str">
        <x:v>• Electronic-warfare launched-effect vehicle
• Exact public size/range/endurance not disclosed</x:v>
      </x:c>
      <x:c r="E837" s="32" t="str">
        <x:v>• Electronic attack and Detect-Identify-Locate-Report payloads
• Autonomous / collaborative EW operations
• Air/ground/maritime launch integration</x:v>
      </x:c>
      <x:c r="F837" s="38" t="str">
        <x:v>https://www.l3harris.com/all-capabilities/l3harris-pack-launched-effects
https://www.l3harris.com/newsroom/press-release/2026/07/l3harris-and-shield-ai-complete-autonomous-electronic-warfare-flight</x:v>
      </x:c>
    </x:row>
    <x:row r="838" ht="210" customHeight="1">
      <x:c r="A838" s="37" t="str">
        <x:v>L3Harris</x:v>
      </x:c>
      <x:c r="B838" s="32" t="str">
        <x:v>Missiles</x:v>
      </x:c>
      <x:c r="C838" s="32" t="str">
        <x:v>Red Wolf Launched Effect</x:v>
      </x:c>
      <x:c r="D838" s="32" t="str">
        <x:v>• Kinetic long-range precision-strike launched-effect vehicle
• Exact current public dimensions/range/warhead are not disclosed</x:v>
      </x:c>
      <x:c r="E838" s="32" t="str">
        <x:v>• Air-, ground- and maritime-launch capable
• In-flight collaboration / retargeting
• Swarming/autonomy support
• Selected by U.S. Navy for USMC Precision Attack Strike Munition programme</x:v>
      </x:c>
      <x:c r="F838" s="38" t="str">
        <x:v>https://www.l3harris.com/all-capabilities/l3harris-pack-launched-effects
https://www.l3harris.com/newsroom/press-release/2026/01/us-navy-selects-l3harris-red-wolf-precision-attack-strike-munition</x:v>
      </x:c>
    </x:row>
    <x:row r="839" ht="210" customHeight="1">
      <x:c r="A839" s="37" t="str">
        <x:v>L3Harris</x:v>
      </x:c>
      <x:c r="B839" s="32" t="str">
        <x:v>Missiles</x:v>
      </x:c>
      <x:c r="C839" s="32" t="str">
        <x:v>VAMPIRE Counter-UAS / Precision Rocket System</x:v>
      </x:c>
      <x:c r="D839" s="32" t="str">
        <x:v>• Compact counter-UAS/ISR weapon system; integrates electro-optical targeting and 70 mm precision-guided rockets; platform/launcher configuration-dependent.
• Self-contained palletised ISR/rocket weapon system
• Uses laser-guided rocket effectors such as APKWS in fielded configurations
• WESCAM MX-10D RSTA sensor integration</x:v>
      </x:c>
      <x:c r="E839" s="32" t="str">
        <x:v>• Counter-UAS, ISR and precision fires.
• Vehicle/vessel-agnostic installation
• Counter-sUAS and ground precision strike
• FAADC2-compatible Widow mission management
• Rapid modular integration</x:v>
      </x:c>
      <x:c r="F839" s="38" t="str">
        <x:v>https://www.l3harris.com/all-capabilities/electronic-warfare
https://www.l3harris.com/all-capabilities/airborne-isr-solutions
https://www.l3harris.com/all-capabilities/isr-and-sigint
https://engage.l3harris.com/wescam-mx-series-systems
https://www.l3harris.com/sites/default/files/2025-10/l3harris-vampire-sell-sheet.pdf</x:v>
      </x:c>
    </x:row>
    <x:row r="840" ht="210" customHeight="1">
      <x:c r="A840" s="37" t="str">
        <x:v>Northrop Grumman</x:v>
      </x:c>
      <x:c r="B840" s="32" t="str">
        <x:v>Ammunition</x:v>
      </x:c>
      <x:c r="C840" s="32" t="str">
        <x:v>120 mm Tactical Ammunition</x:v>
      </x:c>
      <x:c r="D840" s="32" t="str">
        <x:v>• 120 mm large-calibre tactical/training ammunition; tank ammunition portfolio.</x:v>
      </x:c>
      <x:c r="E840" s="32" t="str">
        <x:v>• Tank ammunition.</x:v>
      </x:c>
      <x:c r="F840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41" ht="210" customHeight="1">
      <x:c r="A841" s="37" t="str">
        <x:v>Northrop Grumman</x:v>
      </x:c>
      <x:c r="B841" s="32" t="str">
        <x:v>Ammunition</x:v>
      </x:c>
      <x:c r="C841" s="32" t="str">
        <x:v>20 mm Tactical Ammunition</x:v>
      </x:c>
      <x:c r="D841" s="32" t="str">
        <x:v>• Northrop produces medium-calibre 20 mm tactical/training ammunition; exact cartridge variants depend on contract.</x:v>
      </x:c>
      <x:c r="E841" s="32" t="str">
        <x:v>• Aircraft/weapon-system ammunition.</x:v>
      </x:c>
      <x:c r="F841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42" ht="210" customHeight="1">
      <x:c r="A842" s="37" t="str">
        <x:v>Northrop Grumman</x:v>
      </x:c>
      <x:c r="B842" s="32" t="str">
        <x:v>Ammunition</x:v>
      </x:c>
      <x:c r="C842" s="32" t="str">
        <x:v>30 mm Tactical Ammunition</x:v>
      </x:c>
      <x:c r="D842" s="32" t="str">
        <x:v>• 30 mm medium-calibre tactical/training ammunition; model/load configuration-dependent.</x:v>
      </x:c>
      <x:c r="E842" s="32" t="str">
        <x:v>• Cannon ammunition.</x:v>
      </x:c>
      <x:c r="F842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43" ht="210" customHeight="1">
      <x:c r="A843" s="37" t="str">
        <x:v>Northrop Grumman</x:v>
      </x:c>
      <x:c r="B843" s="32" t="str">
        <x:v>Ammunition</x:v>
      </x:c>
      <x:c r="C843" s="32" t="str">
        <x:v>30×113 mm LW30 Ammunition Suite</x:v>
      </x:c>
      <x:c r="D843" s="32" t="str">
        <x:v>• Calibre: 30×113 mm
• XM1211 HEP/PROX cartridge length: ~200 mm; cartridge mass ~340 g; projectile ~230 g; muzzle velocity ~805 m/s
• XM950 TP: ~343 g cartridge; projectile ~233 g; muzzle velocity ~850 m/s</x:v>
      </x:c>
      <x:c r="E843" s="32" t="str">
        <x:v>• Proximity, HEDP and target-practice ammunition
• C-UAS, light-armour and personnel effects
• Designed for M230/M230LF/XM914 family</x:v>
      </x:c>
      <x:c r="F843" s="38" t="str">
        <x:v>https://cdn.northropgrumman.com/-/media/Project/Northrop-Grumman/ngc/what-we-do/advanced-weapons/LW30x113-Ammo-Suite-Product-Brochure.pdf?rev=719281ef7e7c4bb58685cd9e4e2c4fc5</x:v>
      </x:c>
    </x:row>
    <x:row r="844" ht="210" customHeight="1">
      <x:c r="A844" s="37" t="str">
        <x:v>Northrop Grumman</x:v>
      </x:c>
      <x:c r="B844" s="32" t="str">
        <x:v>Ammunition</x:v>
      </x:c>
      <x:c r="C844" s="32" t="str">
        <x:v>Advanced Fuzes</x:v>
      </x:c>
      <x:c r="D844" s="32" t="str">
        <x:v>• exact product family varies by programme.</x:v>
      </x:c>
      <x:c r="E844" s="32" t="str">
        <x:v>• Munition initiation and precision fuze capability.
• Precision/advanced fuze technology for artillery/munitions</x:v>
      </x:c>
      <x:c r="F844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45" ht="210" customHeight="1">
      <x:c r="A845" s="37" t="str">
        <x:v>Northrop Grumman</x:v>
      </x:c>
      <x:c r="B845" s="32" t="str">
        <x:v>UAVs/Drones</x:v>
      </x:c>
      <x:c r="C845" s="32" t="str">
        <x:v>Bat UAS</x:v>
      </x:c>
      <x:c r="D845" s="32" t="str">
        <x:v>• Small tactical ISR UAS family; configuration-specific performance.</x:v>
      </x:c>
      <x:c r="E845" s="32" t="str">
        <x:v>• Tactical ISR.; autonomous intelligence/surveillance capability</x:v>
      </x:c>
      <x:c r="F845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46" ht="210" customHeight="1">
      <x:c r="A846" s="37" t="str">
        <x:v>Northrop Grumman</x:v>
      </x:c>
      <x:c r="B846" s="32" t="str">
        <x:v>UAVs/Drones</x:v>
      </x:c>
      <x:c r="C846" s="32" t="str">
        <x:v>Fire Scout MQ-8C</x:v>
      </x:c>
      <x:c r="D846" s="32" t="str">
        <x:v>• Uncrewed autonomous helicopter; maritime ISR/targeting; shipboard operations
• Bell 407-based airframe.</x:v>
      </x:c>
      <x:c r="E846" s="32" t="str">
        <x:v>• Tactical ISR and maritime surveillance.</x:v>
      </x:c>
      <x:c r="F846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47" ht="210" customHeight="1">
      <x:c r="A847" s="37" t="str">
        <x:v>Northrop Grumman</x:v>
      </x:c>
      <x:c r="B847" s="32" t="str">
        <x:v>UAVs/Drones</x:v>
      </x:c>
      <x:c r="C847" s="32" t="str">
        <x:v>MQ-4C Triton</x:v>
      </x:c>
      <x:c r="D847" s="32" t="str">
        <x:v>• wide-area strategic ISR over ocean/coastal regions; current detailed performance is program/configuration controlled.
• Altitude: &gt;50,000 ft
• Endurance: 24+ h
• Range: 7,400 nmi
• Length: 14.5 m
• Wingspan: 39.9 m
• Height: 4.7 m
• Max design gross take-off weight: 14,628 kg
• Speed: ~320 kt
• Engine: Rolls-Royce AE3007H</x:v>
      </x:c>
      <x:c r="E847" s="32" t="str">
        <x:v>• Maritime domain awareness, ISR and communications relay.
• HALE maritime ISR UAS; autonomous operation
• Autonomous HALE maritime ISR
• 360° multi-intelligence sensor suite
• Persistent targeting and signals intelligence
• U.S. Navy / RAAF operations</x:v>
      </x:c>
      <x:c r="F847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https://www.northropgrumman.com/what-we-do/aircraft/triton
https://www.navair.navy.mil/product/MQ-4C
https://www.navy.mil/Resources/Fact-Files/Display-FactFiles/Article/2160569/mq-4c-triton/</x:v>
      </x:c>
    </x:row>
    <x:row r="848" ht="210" customHeight="1">
      <x:c r="A848" s="37" t="str">
        <x:v>Northrop Grumman</x:v>
      </x:c>
      <x:c r="B848" s="32" t="str">
        <x:v>UAVs/Drones</x:v>
      </x:c>
      <x:c r="C848" s="32" t="str">
        <x:v>RQ-4 Global Hawk</x:v>
      </x:c>
      <x:c r="D848" s="32" t="str">
        <x:v>• long-endurance wide-area surveillance; high-altitude operation; block-specific performance varies.
• Ceiling: up to ~65,000 ft
• Endurance: 30+ h; early public reference &gt;36 h
• Historic long-range reference: up to ~13,500 nmi for early configuration</x:v>
      </x:c>
      <x:c r="E848" s="32" t="str">
        <x:v>• Strategic ISR.
• HALE ISR UAS
• Autonomous HALE ISR
• SAR + EO/IR sensor architecture
• Long-duration strategic reconnaissance</x:v>
      </x:c>
      <x:c r="F848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https://investor.northropgrumman.com/news-releases/news-release-details/first-ever-rq-4-global-hawk-hits-100th-flight-nasa-mission
https://investor.northropgrumman.com/node/10061</x:v>
      </x:c>
    </x:row>
    <x:row r="849" ht="210" customHeight="1">
      <x:c r="A849" s="37" t="str">
        <x:v>Northrop Grumman</x:v>
      </x:c>
      <x:c r="B849" s="32" t="str">
        <x:v>Missiles</x:v>
      </x:c>
      <x:c r="C849" s="32" t="str">
        <x:v>AARGM AGM-88E</x:v>
      </x:c>
      <x:c r="D849" s="32" t="str">
        <x:v>• Length: 417 cm (164 in)
• Diameter: 25 cm (10 in)
• Weight: 361 kg (795 lb)
• Warhead weight: 68 kg (150 lb)
• Type: supersonic, medium-range, air-launched tactical missile.
• Length: 4.17 m
• Diameter: 0.254 m
• Weight: 361 kg
• Warhead: ~68 kg
• Speed: Mach 2+
• Guidance: GPS/INS + anti-radiation homing + terminal millimetre-wave seeker</x:v>
      </x:c>
      <x:c r="E849" s="32" t="str">
        <x:v>• SEAD/DEAD and suppression of enemy air defences.
• SEAD/DEAD missile
• Counter-shutdown capability
• Mobile/time-critical target engagement</x:v>
      </x:c>
      <x:c r="F849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https://cdn.northropgrumman.com/-/media/Project/Northrop-Grumman/ngc/what-we-do/advanced-weapons/AARGM-Datasheet.pdf?rev=45a450048b984b988abed9ac2036a6df
https://www.navair.navy.mil/product/AARGM</x:v>
      </x:c>
    </x:row>
    <x:row r="850" ht="210" customHeight="1">
      <x:c r="A850" s="37" t="str">
        <x:v>Northrop Grumman</x:v>
      </x:c>
      <x:c r="B850" s="32" t="str">
        <x:v>Missiles</x:v>
      </x:c>
      <x:c r="C850" s="32" t="str">
        <x:v>AARGM-ER</x:v>
      </x:c>
      <x:c r="D850" s="32" t="str">
        <x:v>• Extended-range AARGM; medium-range air-to-surface missile with enhanced propulsion and range
• F-35 integration.
• Supersonic extended-range anti-radiation missile
• New air vehicle, propulsion system and advanced warhead over baseline AARGM
• Exact public dimensions/range not released on current Northrop page</x:v>
      </x:c>
      <x:c r="E850" s="32" t="str">
        <x:v>• SEAD/DEAD against advanced emitters.
• Extended-range SEAD/DEAD
• F/A-18E/F, EA-18G and F-35 family integration
• Enhanced survivability and speed</x:v>
      </x:c>
      <x:c r="F850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https://www.northropgrumman.com/what-we-do/advanced-weapons/strike-missiles
https://www.navair.navy.mil/product/AARGM</x:v>
      </x:c>
    </x:row>
    <x:row r="851" ht="210" customHeight="1">
      <x:c r="A851" s="37" t="str">
        <x:v>Northrop Grumman</x:v>
      </x:c>
      <x:c r="B851" s="32" t="str">
        <x:v>Missiles</x:v>
      </x:c>
      <x:c r="C851" s="32" t="str">
        <x:v>Advanced Reactive Strike (AReS)</x:v>
      </x:c>
      <x:c r="D851" s="32" t="str">
        <x:v>• Surface-launched next-generation precision strike weapon
• AARGM-ER propulsion system plus booster
• Extended-range stand-off architecture</x:v>
      </x:c>
      <x:c r="E851" s="32" t="str">
        <x:v>• Land and maritime target strike
• Container-launch deployment
• Designed for contested/denied environments</x:v>
      </x:c>
      <x:c r="F851" s="38" t="str">
        <x:v>https://www.northropgrumman.com/what-we-do/advanced-weapons/strike-missiles</x:v>
      </x:c>
    </x:row>
    <x:row r="852" ht="210" customHeight="1">
      <x:c r="A852" s="37" t="str">
        <x:v>Northrop Grumman</x:v>
      </x:c>
      <x:c r="B852" s="32" t="str">
        <x:v>Missiles</x:v>
      </x:c>
      <x:c r="C852" s="32" t="str">
        <x:v>GMLRS Propulsion &amp; Warhead Subsystems</x:v>
      </x:c>
      <x:c r="D852" s="32" t="str">
        <x:v>• Propulsion and warhead subsystems for Guided Multiple Launch Rocket System</x:v>
      </x:c>
      <x:c r="E852" s="32" t="str">
        <x:v>• Rocket propulsion/warhead subsystem.; precision indirect fires.</x:v>
      </x:c>
      <x:c r="F852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53" ht="210" customHeight="1">
      <x:c r="A853" s="37" t="str">
        <x:v>Northrop Grumman</x:v>
      </x:c>
      <x:c r="B853" s="32" t="str">
        <x:v>Missiles</x:v>
      </x:c>
      <x:c r="C853" s="32" t="str">
        <x:v>HACM</x:v>
      </x:c>
      <x:c r="D853" s="32" t="str">
        <x:v>• Hypersonic Attack Cruise Missile; air-breathing/scramjet propulsion subsystem
• Mach 5+ class programme.</x:v>
      </x:c>
      <x:c r="E853" s="32" t="str">
        <x:v>• Long-range hypersonic strike.</x:v>
      </x:c>
      <x:c r="F853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54" ht="210" customHeight="1">
      <x:c r="A854" s="37" t="str">
        <x:v>Northrop Grumman</x:v>
      </x:c>
      <x:c r="B854" s="32" t="str">
        <x:v>Missiles</x:v>
      </x:c>
      <x:c r="C854" s="32" t="str">
        <x:v>Sentinel ICBM</x:v>
      </x:c>
      <x:c r="D854" s="32" t="str">
        <x:v>• Ground-based strategic deterrent ICBM modernization
• Northrop prime contractor; detailed weapon performance is restricted.</x:v>
      </x:c>
      <x:c r="E854" s="32" t="str">
        <x:v>• Strategic deterrence.</x:v>
      </x:c>
      <x:c r="F854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</x:v>
      </x:c>
    </x:row>
    <x:row r="855" ht="210" customHeight="1">
      <x:c r="A855" s="37" t="str">
        <x:v>Northrop Grumman</x:v>
      </x:c>
      <x:c r="B855" s="32" t="str">
        <x:v>Missiles</x:v>
      </x:c>
      <x:c r="C855" s="32" t="str">
        <x:v>Stand-In Attack Weapon (SiAW)</x:v>
      </x:c>
      <x:c r="D855" s="32" t="str">
        <x:v>• Stand-In Attack Weapon; advanced air-to-surface tactical missile for F-35; designed for time-sensitive targets and integrated air-defence environments.
• Air-launched stand-in precision weapon derived from AARGM-ER technology
• Exact current public dimensions/range not disclosed</x:v>
      </x:c>
      <x:c r="E855" s="32" t="str">
        <x:v>• Stand-in precision strike.
• Rapid engagement of relocatable A2/AD targets
• Open systems architecture
• F-35 integration path</x:v>
      </x:c>
      <x:c r="F855" s="38" t="str">
        <x:v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https://www.northropgrumman.com/what-we-do/advanced-weapons/strike-missiles</x:v>
      </x:c>
    </x:row>
    <x:row r="856" ht="210" customHeight="1">
      <x:c r="A856" s="37" t="str">
        <x:v>Lockheed Martin</x:v>
      </x:c>
      <x:c r="B856" s="32" t="str">
        <x:v>Artillery</x:v>
      </x:c>
      <x:c r="C856" s="32" t="str">
        <x:v>M142 HIMARS (High Mobility Artillery Rocket System)</x:v>
      </x:c>
      <x:c r="D856" s="32" t="str">
        <x:v>• Platform: wheeled multiple-launch rocket / missile system on FMTV XM1140A1 5-ton truck chassis
• Empty weight: 29,800 lb / approximately 13,517 kg
• Combat-loaded weight: 35,800 lb / approximately 16,239 kg
• Maximum speed: 94 km/h
• Maximum cruising range: 483 km
• Crew: 3
• Launcher load: one pod carrying six GMLRS/MLRS rockets, two Precision Strike Missiles (PrSM), or one ATACMS missile
• Munition compatibility: MLRS Family of Munitions; current Lockheed Martin material includes GMLRS, ER GMLRS, PrSM and ATACMS
• Air transportability: C-130 transportable</x:v>
      </x:c>
      <x:c r="E856" s="32" t="str">
        <x:v>• Combat-proven, all-weather, rapidly deployable precision fires launcher
• Wheeled mobility with high strategic and tactical deployability
• Commonality and interoperability with the M270 MLRS family
• Self-loading / self-locating launcher architecture
• Supports long-range precision, counter-battery and expeditionary fires</x:v>
      </x:c>
      <x:c r="F856" s="38" t="str">
        <x:v>https://www.lockheedmartin.com/en-us/products/himars.html
https://asc.army.mil/docs/wsh2/2020-2021-wsh.pdf</x:v>
      </x:c>
    </x:row>
    <x:row r="857" ht="210" customHeight="1">
      <x:c r="A857" s="37" t="str">
        <x:v>Lockheed Martin</x:v>
      </x:c>
      <x:c r="B857" s="32" t="str">
        <x:v>Marine/Naval</x:v>
      </x:c>
      <x:c r="C857" s="32" t="str">
        <x:v>Aegis Combat System</x:v>
      </x:c>
      <x:c r="D857" s="32" t="str">
        <x:v>• Centralized automated naval command-and-control and weapons-control system
• Integrates sensors, interceptors and ship weapons
• Aegis BMD provides sea-based ballistic-missile defence</x:v>
      </x:c>
      <x:c r="E857" s="32" t="str">
        <x:v>• Integrated air and missile defence
• Multi-mission surface warfare / BMD
• Fielded by U.S. Navy and multiple allied navies</x:v>
      </x:c>
      <x:c r="F857" s="38" t="str">
        <x:v>https://www.lockheedmartin.com/en-us/products/aegis-combat-system.html</x:v>
      </x:c>
    </x:row>
    <x:row r="858" ht="210" customHeight="1">
      <x:c r="A858" s="37" t="str">
        <x:v>Lockheed Martin</x:v>
      </x:c>
      <x:c r="B858" s="32" t="str">
        <x:v>UAVs/Drones</x:v>
      </x:c>
      <x:c r="C858" s="32" t="str">
        <x:v>Indago 4 UAS</x:v>
      </x:c>
      <x:c r="D858" s="32" t="str">
        <x:v>• Small quadrotor UAS
• Sub-5 kg class depending payload/configuration
• Portable backpackable system
• Exact endurance/range depend on payload and datalink configuration</x:v>
      </x:c>
      <x:c r="E858" s="32" t="str">
        <x:v>• Rapid launch/recovery
• EO/IR payloads
• Autonomous flight modes
• Military/public-safety ISR</x:v>
      </x:c>
      <x:c r="F858" s="38" t="str">
        <x:v>https://www.lockheedmartin.com/en-us/products/indago-vtol.html</x:v>
      </x:c>
    </x:row>
    <x:row r="859" ht="210" customHeight="1">
      <x:c r="A859" s="37" t="str">
        <x:v>Lockheed Martin</x:v>
      </x:c>
      <x:c r="B859" s="32" t="str">
        <x:v>UAVs/Drones</x:v>
      </x:c>
      <x:c r="C859" s="32" t="str">
        <x:v>Stalker VXE UAS</x:v>
      </x:c>
      <x:c r="D859" s="32" t="str">
        <x:v>• Small fixed-wing/VTOL-capable expeditionary UAS family
• Long-endurance ISR platform; exact current endurance/range configuration dependent</x:v>
      </x:c>
      <x:c r="E859" s="32" t="str">
        <x:v>• Vertical takeoff and landing
• Persistent ISR
• Low acoustic signature
• Modular payloads</x:v>
      </x:c>
      <x:c r="F859" s="38" t="str">
        <x:v>https://www.lockheedmartin.com/en-us/products/stalker.html</x:v>
      </x:c>
    </x:row>
    <x:row r="860" ht="210" customHeight="1">
      <x:c r="A860" s="37" t="str">
        <x:v>Lockheed Martin</x:v>
      </x:c>
      <x:c r="B860" s="32" t="str">
        <x:v>Missiles</x:v>
      </x:c>
      <x:c r="C860" s="32" t="str">
        <x:v>AGM-114 HELLFIRE Family</x:v>
      </x:c>
      <x:c r="D860" s="32" t="str">
        <x:v>• Air-launched precision missile family
• Public Army reference range typically ~8–11 km depending variant/platform
• Semi-active-laser and millimetre-wave seeker variants
• Multipurpose/tandem warheads by model</x:v>
      </x:c>
      <x:c r="E860" s="32" t="str">
        <x:v>• Anti-armour, structures, boats and point targets
• Trajectory shaping
• Broad helicopter/UAS integration</x:v>
      </x:c>
      <x:c r="F860" s="38" t="str">
        <x:v>https://www.lockheedmartin.com/en-us/products/hellfire.html
https://www.lineofdeparture.army.mil/Journals/Aviation-Digest/Aviation-Digest-Archive/Winter-2026/Innovate-or-Die/</x:v>
      </x:c>
    </x:row>
    <x:row r="861" ht="210" customHeight="1">
      <x:c r="A861" s="37" t="str">
        <x:v>Lockheed Martin</x:v>
      </x:c>
      <x:c r="B861" s="32" t="str">
        <x:v>Missiles</x:v>
      </x:c>
      <x:c r="C861" s="32" t="str">
        <x:v>ATACMS</x:v>
      </x:c>
      <x:c r="D861" s="32" t="str">
        <x:v>• Army Tactical Missile System; one missile per standard MLRS/HIMARS pod
• Legacy variants provide ~165–300 km class range depending model
• Inertial/GPS guidance on modern variants</x:v>
      </x:c>
      <x:c r="E861" s="32" t="str">
        <x:v>• Long-range precision surface-to-surface missile
• HIMARS/M270 compatible
• Legacy system being succeeded by PrSM</x:v>
      </x:c>
      <x:c r="F861" s="38" t="str">
        <x:v>https://www.lockheedmartin.com/en-us/capabilities/weapon-systems.html
https://www.army.mil/article/171325/army_tactical_missile_system</x:v>
      </x:c>
    </x:row>
    <x:row r="862" ht="210" customHeight="1">
      <x:c r="A862" s="37" t="str">
        <x:v>Lockheed Martin</x:v>
      </x:c>
      <x:c r="B862" s="32" t="str">
        <x:v>Missiles</x:v>
      </x:c>
      <x:c r="C862" s="32" t="str">
        <x:v>ER GMLRS</x:v>
      </x:c>
      <x:c r="D862" s="32" t="str">
        <x:v>• Extended-Range Guided MLRS rocket
• Common 227 mm-class launcher interface with GMLRS family
• Range target exceeds legacy GMLRS; public programme objective ~150 km class</x:v>
      </x:c>
      <x:c r="E862" s="32" t="str">
        <x:v>• Extends HIMARS/M270 precision-rocket reach
• Common launcher/logistics architecture</x:v>
      </x:c>
      <x:c r="F862" s="38" t="str">
        <x:v>https://www.lockheedmartin.org/en-us/products/guided-mlrs-unitary-rocket.html
https://www.army.mil/article/272011/army_successfully_fires_extended_range_guided_multiple_launch_rocket_system</x:v>
      </x:c>
    </x:row>
    <x:row r="863" ht="210" customHeight="1">
      <x:c r="A863" s="37" t="str">
        <x:v>Lockheed Martin</x:v>
      </x:c>
      <x:c r="B863" s="32" t="str">
        <x:v>Missiles</x:v>
      </x:c>
      <x:c r="C863" s="32" t="str">
        <x:v>GMLRS Unitary / Alternative Warhead</x:v>
      </x:c>
      <x:c r="D863" s="32" t="str">
        <x:v>• Guided 227 mm rocket family
• Range: 70 km and beyond on current production family
• Six rockets per launch pod
• M270 carries two pods; HIMARS one pod
• Reliability &gt;98% reported by Lockheed Martin</x:v>
      </x:c>
      <x:c r="E863" s="32" t="str">
        <x:v>• All-weather precision rocket artillery
• Unitary and area-effects alternatives
• GPS/INS guidance
• Low collateral-damage precision fires</x:v>
      </x:c>
      <x:c r="F863" s="38" t="str">
        <x:v>https://www.lockheedmartin.org/en-us/products/guided-mlrs-unitary-rocket.html
https://www.lockheedmartin.com/en-us/capabilities/weapon-systems.html</x:v>
      </x:c>
    </x:row>
    <x:row r="864" ht="210" customHeight="1">
      <x:c r="A864" s="37" t="str">
        <x:v>Lockheed Martin</x:v>
      </x:c>
      <x:c r="B864" s="32" t="str">
        <x:v>Missiles</x:v>
      </x:c>
      <x:c r="C864" s="32" t="str">
        <x:v>JAGM AGM-179</x:v>
      </x:c>
      <x:c r="D864" s="32" t="str">
        <x:v>• Diameter: ~178 mm / 7 in
• Weight: ~49 kg / 108 lb legacy programme reference
• Length: ~1.78 m / 70 in
• Rotary-wing range: public programme references ~0.5–16 km; platform/variant dependent
• Dual-mode semi-active laser + millimetre-wave radar seeker</x:v>
      </x:c>
      <x:c r="E864" s="32" t="str">
        <x:v>• Common multi-purpose warhead
• Moving/static land and maritime targets
• M299 launcher compatibility
• All-weather precision engagement</x:v>
      </x:c>
      <x:c r="F864" s="38" t="str">
        <x:v>https://www.lockheedmartin.com/en-us/products/jagm.html
https://asc.army.mil/docs/wsh2/2012-wsh.pdf</x:v>
      </x:c>
    </x:row>
    <x:row r="865" ht="210" customHeight="1">
      <x:c r="A865" s="37" t="str">
        <x:v>Lockheed Martin</x:v>
      </x:c>
      <x:c r="B865" s="32" t="str">
        <x:v>Missiles</x:v>
      </x:c>
      <x:c r="C865" s="32" t="str">
        <x:v>JASSM / AGM-158A</x:v>
      </x:c>
      <x:c r="D865" s="32" t="str">
        <x:v>• Length: ~4.27 m / 14 ft
• Weight: ~1,021 kg / 2,250 lb
• Standoff range: &gt;200 nmi / &gt;370 km legacy public USAF reference
• Guidance: INS/GPS + terminal imaging-infrared
• Stealthy subsonic cruise missile</x:v>
      </x:c>
      <x:c r="E865" s="32" t="str">
        <x:v>• Air-launched precision strike against hardened/high-value targets
• Low observable
• Autonomous terminal guidance</x:v>
      </x:c>
      <x:c r="F865" s="38" t="str">
        <x:v>https://www.lockheedmartin.com/en-us/products/jassm.html
https://www.afmc.af.mil/News/Article-Display/Article/155587/jassm-the-air-forces-next-generation-cruise-missile/</x:v>
      </x:c>
    </x:row>
    <x:row r="866" ht="210" customHeight="1">
      <x:c r="A866" s="37" t="str">
        <x:v>Lockheed Martin</x:v>
      </x:c>
      <x:c r="B866" s="32" t="str">
        <x:v>Missiles</x:v>
      </x:c>
      <x:c r="C866" s="32" t="str">
        <x:v>JASSM-ER / AGM-158B</x:v>
      </x:c>
      <x:c r="D866" s="32" t="str">
        <x:v>• Extended-range JASSM variant
• Public U.S. programme references commonly cite ~500+ nmi / ~925+ km class range
• Same stealthy JASSM-family airframe lineage with more efficient propulsion/fuel architecture</x:v>
      </x:c>
      <x:c r="E866" s="32" t="str">
        <x:v>• Long-range precision deep strike
• Common family production line with LRASM/JASSM variants</x:v>
      </x:c>
      <x:c r="F866" s="38" t="str">
        <x:v>https://www.lockheedmartin.com/en-us/products/jassm.html
https://www.lockheedmartin.com/en-us/news/features/2024/ramping-up--lockheed-martin-steadily-increasing-production-o.html</x:v>
      </x:c>
    </x:row>
    <x:row r="867" ht="210" customHeight="1">
      <x:c r="A867" s="37" t="str">
        <x:v>Lockheed Martin</x:v>
      </x:c>
      <x:c r="B867" s="32" t="str">
        <x:v>Missiles</x:v>
      </x:c>
      <x:c r="C867" s="32" t="str">
        <x:v>Javelin FGM-148</x:v>
      </x:c>
      <x:c r="D867" s="32" t="str">
        <x:v>• Missile calibre: 127 mm
• Fire-and-forget imaging-infrared seeker
• Top-attack and direct-attack modes
• Current variants provide extended range beyond early 2.5 km baseline; exact variant dependent
• Reusable CLU + disposable missile launch-tube assembly</x:v>
      </x:c>
      <x:c r="E867" s="32" t="str">
        <x:v>• Man-portable anti-armour weapon
• Tandem HEAT warhead
• Soft launch permits firing from enclosures
• Lockheed Martin / Raytheon joint venture</x:v>
      </x:c>
      <x:c r="F867" s="38" t="str">
        <x:v>https://www.lockheedmartin.com/en-us/products/javelin.html
https://rdl.train.army.mil/catalog-ws/view/100.ATSC/58016C43-60DA-41F3-8B76-72536FC5B799-1376939376712/tc_3-22x37.pdf</x:v>
      </x:c>
    </x:row>
    <x:row r="868" ht="210" customHeight="1">
      <x:c r="A868" s="37" t="str">
        <x:v>Lockheed Martin</x:v>
      </x:c>
      <x:c r="B868" s="32" t="str">
        <x:v>Missiles</x:v>
      </x:c>
      <x:c r="C868" s="32" t="str">
        <x:v>LRASM / AGM-158C</x:v>
      </x:c>
      <x:c r="D868" s="32" t="str">
        <x:v>• JASSM-derived long-range anti-ship missile
• Stealthy subsonic cruise missile
• Multi-mode passive/EO-enabled autonomous targeting architecture
• Exact operational range is not officially disclosed</x:v>
      </x:c>
      <x:c r="E868" s="32" t="str">
        <x:v>• Semi-autonomous routing and target selection
• Anti-surface warfare in denied environments
• Air-launched with surface-launch development/integration</x:v>
      </x:c>
      <x:c r="F868" s="38" t="str">
        <x:v>https://www.lockheedmartin.com/en-us/products/long-range-anti-ship-missile.html
https://www.lockheedmartin.com/en-us/news/features/2024/ramping-up--lockheed-martin-steadily-increasing-production-o.html</x:v>
      </x:c>
    </x:row>
    <x:row r="869" ht="210" customHeight="1">
      <x:c r="A869" s="37" t="str">
        <x:v>Lockheed Martin</x:v>
      </x:c>
      <x:c r="B869" s="32" t="str">
        <x:v>Missiles</x:v>
      </x:c>
      <x:c r="C869" s="32" t="str">
        <x:v>PAC-3 Missile Segment Enhancement (PAC-3 MSE)</x:v>
      </x:c>
      <x:c r="D869" s="32" t="str">
        <x:v>• Hit-to-kill air and missile defence interceptor
• MSE configuration uses larger dual-pulse motor and enhanced control surfaces compared with PAC-3 CRI
• Exact engagement envelope is threat/classified dependent</x:v>
      </x:c>
      <x:c r="E869" s="32" t="str">
        <x:v>• Direct body-to-body kinetic intercept
• Defence against tactical ballistic missiles, cruise missiles and aircraft
• Integrated with Patriot and selected THAAD-battery architectures</x:v>
      </x:c>
      <x:c r="F869" s="38" t="str">
        <x:v>https://www.lockheedmartin.com/en-us/products/pac-3.html
https://www.mda.mil/system/thaad.html
https://www.lockheedmartin.com/en-us/news/features/2024/ramping-up--lockheed-martin-steadily-increasing-production-o.html</x:v>
      </x:c>
    </x:row>
    <x:row r="870" ht="210" customHeight="1">
      <x:c r="A870" s="37" t="str">
        <x:v>Lockheed Martin</x:v>
      </x:c>
      <x:c r="B870" s="32" t="str">
        <x:v>Missiles</x:v>
      </x:c>
      <x:c r="C870" s="32" t="str">
        <x:v>Precision Strike Missile (PrSM)</x:v>
      </x:c>
      <x:c r="D870" s="32" t="str">
        <x:v>• Range: 60–499+ km
• Two missiles per launch pod
• Launchers: M270 MLRS and HIMARS
• Insensitive-munition energetic payload
• Open systems architecture</x:v>
      </x:c>
      <x:c r="E870" s="32" t="str">
        <x:v>• Long-range surface-to-surface precision strike
• Higher missile load than ATACMS
• Modular growth for seekers/effects and extended range</x:v>
      </x:c>
      <x:c r="F870" s="38" t="str">
        <x:v>https://www.lockheedmartin.com/en-us/products/precision-strike-missile.html/
https://www.lockheedmartin.com/en-us/products/precision-strike-missile/prsm-media-kit.html</x:v>
      </x:c>
    </x:row>
    <x:row r="871" ht="210" customHeight="1">
      <x:c r="A871" s="37" t="str">
        <x:v>Lockheed Martin</x:v>
      </x:c>
      <x:c r="B871" s="32" t="str">
        <x:v>Missiles</x:v>
      </x:c>
      <x:c r="C871" s="32" t="str">
        <x:v>THAAD Interceptor</x:v>
      </x:c>
      <x:c r="D871" s="32" t="str">
        <x:v>• Launcher load: 8 interceptors
• Land-mobile hit-to-kill terminal-phase interceptor
• Endo- and exo-atmospheric engagement
• Battery includes launcher, AN/TPY-2 radar and fire control</x:v>
      </x:c>
      <x:c r="E871" s="32" t="str">
        <x:v>• High-altitude ballistic-missile defence
• Globally air-transportable / rapidly deployable
• 17 successful intercepts in 17 attempts reported by MDA</x:v>
      </x:c>
      <x:c r="F871" s="38" t="str">
        <x:v>https://www.mda.mil/system/thaad.html
https://www.lockheedmartin.com/en-us/products/thaad.html</x:v>
      </x:c>
    </x:row>
    <x:row r="872" ht="210" customHeight="1">
      <x:c r="A872" s="37" t="str">
        <x:v>RTX (Raytheon)</x:v>
      </x:c>
      <x:c r="B872" s="32" t="str">
        <x:v>Ammunition</x:v>
      </x:c>
      <x:c r="C872" s="32" t="str">
        <x:v>M982A1 Excalibur 155 mm</x:v>
      </x:c>
      <x:c r="D872" s="32" t="str">
        <x:v>• Calibre: 155 mm
• Length: ~1 m / 39 in
• Weight: ~46.3–48.1 kg / 102–106 lb by increment
• Increment Ib max range: 39.2 km in current U.S. Army portfolio reference
• Precision: 10 m CEP portfolio reference</x:v>
      </x:c>
      <x:c r="E872" s="32" t="str">
        <x:v>• GPS/INS-guided extended-range artillery projectile
• All-weather day/night fire-and-forget
• Height-of-burst and point/delay fuze modes</x:v>
      </x:c>
      <x:c r="F872" s="38" t="str">
        <x:v>https://www.cpeae.army.mil/Project-Offices/PM-CAS/Organizations/Precision-Attack-Cannon-Munitions/Products/Excalibur/
https://www.cpeae.army.mil/Portals/94/Documents/JPEOAAPortfolioBook_2025.pdf</x:v>
      </x:c>
    </x:row>
    <x:row r="873" ht="210" customHeight="1">
      <x:c r="A873" s="37" t="str">
        <x:v>RTX (Raytheon)</x:v>
      </x:c>
      <x:c r="B873" s="32" t="str">
        <x:v>Marine/Naval</x:v>
      </x:c>
      <x:c r="C873" s="32" t="str">
        <x:v>Phalanx CIWS Block 1B</x:v>
      </x:c>
      <x:c r="D873" s="32" t="str">
        <x:v>• 20 mm radar-guided rapid-fire Gatling-gun CIWS
• Self-contained search, detection, tracking, engagement and kill assessment
• Block 1B adds FLIR and surface-target mode</x:v>
      </x:c>
      <x:c r="E873" s="32" t="str">
        <x:v>• Last-line ship defence against anti-ship missiles, aircraft and surface craft
• Land C-RAM derivative used by U.S. Army</x:v>
      </x:c>
      <x:c r="F873" s="38" t="str">
        <x:v>https://www.rtx.com/en/raytheon/what-we-do/sea/phalanx-close-in-weapon-system
https://www.rtx.com/news/news-center/2025/09/08/rtxs-raytheon-awarded-205-million-contract-for-continued-production-of-the-phal</x:v>
      </x:c>
    </x:row>
    <x:row r="874" ht="210" customHeight="1">
      <x:c r="A874" s="37" t="str">
        <x:v>RTX (Raytheon)</x:v>
      </x:c>
      <x:c r="B874" s="32" t="str">
        <x:v>Marine/Naval</x:v>
      </x:c>
      <x:c r="C874" s="32" t="str">
        <x:v>SeaRAM</x:v>
      </x:c>
      <x:c r="D874" s="32" t="str">
        <x:v>• Phalanx-derived autonomous sensor/fire-control mount
• Launcher: up to 11 RAM missiles
• Fits Phalanx footprint/power interface</x:v>
      </x:c>
      <x:c r="E874" s="32" t="str">
        <x:v>• Terminal defence against cruise missiles, drones and helicopters
• Extends ship self-defence beyond gun-CIWS range</x:v>
      </x:c>
      <x:c r="F874" s="38" t="str">
        <x:v>https://www.rtx.com/raytheon/what-we-do/sea/searam-ship-defense-system</x:v>
      </x:c>
    </x:row>
    <x:row r="875" ht="210" customHeight="1">
      <x:c r="A875" s="37" t="str">
        <x:v>RTX (Raytheon)</x:v>
      </x:c>
      <x:c r="B875" s="32" t="str">
        <x:v>UAVs/Drones</x:v>
      </x:c>
      <x:c r="C875" s="32" t="str">
        <x:v>Coyote Block 3NK</x:v>
      </x:c>
      <x:c r="D875" s="32" t="str">
        <x:v>• Recoverable loitering counter-UAS platform
• Non-kinetic payload
• Can be recalled and redeployed</x:v>
      </x:c>
      <x:c r="E875" s="32" t="str">
        <x:v>• Drone-swarm defeat
• Reduced collateral damage
• Reusable/recoverable engagement concept</x:v>
      </x:c>
      <x:c r="F875" s="38" t="str">
        <x:v>https://www.rtx.com/raytheon/what-we-do/integrated-air-and-missile-defense/coyote
https://www.rtx.com/news/news-center/2026/02/11/rtxs-raytheons-non-kinetic-coyote-variant-defeats-multiple-drone-swarms</x:v>
      </x:c>
    </x:row>
    <x:row r="876" ht="210" customHeight="1">
      <x:c r="A876" s="37" t="str">
        <x:v>RTX (Raytheon)</x:v>
      </x:c>
      <x:c r="B876" s="32" t="str">
        <x:v>UAVs/Drones</x:v>
      </x:c>
      <x:c r="C876" s="32" t="str">
        <x:v>Coyote LE MR</x:v>
      </x:c>
      <x:c r="D876" s="32" t="str">
        <x:v>• Maximum range: 185+ km
• Endurance: 100 min
• Wingspan: 221 cm
• Length: 133.4 cm
• Diameter: 15.2 cm
• Weight: &lt;18.1 kg
• Cruise: 60 kt; sprint: 100+ kt</x:v>
      </x:c>
      <x:c r="E876" s="32" t="str">
        <x:v>• Medium-range launched effect
• Modular payloads
• Air/land/sea deployment</x:v>
      </x:c>
      <x:c r="F876" s="38" t="str">
        <x:v>https://www.rtx.com/raytheon/what-we-do/integrated-air-and-missile-defense/coyote-launched-effects</x:v>
      </x:c>
    </x:row>
    <x:row r="877" ht="210" customHeight="1">
      <x:c r="A877" s="37" t="str">
        <x:v>RTX (Raytheon)</x:v>
      </x:c>
      <x:c r="B877" s="32" t="str">
        <x:v>UAVs/Drones</x:v>
      </x:c>
      <x:c r="C877" s="32" t="str">
        <x:v>Coyote LE SR</x:v>
      </x:c>
      <x:c r="D877" s="32" t="str">
        <x:v>• Maximum range: 160+ km
• Endurance: 90 min
• Wingspan: 177.7 cm
• Length: 109.2 cm
• Diameter: 15.2 cm
• Weight: &lt;12.2 kg
• Cruise: 60 kt; sprint: 100+ kt</x:v>
      </x:c>
      <x:c r="E877" s="32" t="str">
        <x:v>• Launched-effect ISR/strike platform
• Modular payloads
• Beyond-line-of-sight operations</x:v>
      </x:c>
      <x:c r="F877" s="38" t="str">
        <x:v>https://www.rtx.com/raytheon/what-we-do/integrated-air-and-missile-defense/coyote-launched-effects</x:v>
      </x:c>
    </x:row>
    <x:row r="878" ht="210" customHeight="1">
      <x:c r="A878" s="37" t="str">
        <x:v>RTX (Raytheon)</x:v>
      </x:c>
      <x:c r="B878" s="32" t="str">
        <x:v>UAVs/Drones</x:v>
      </x:c>
      <x:c r="C878" s="32" t="str">
        <x:v>Coyote UAS</x:v>
      </x:c>
      <x:c r="D878" s="32" t="str">
        <x:v>• Small expendable tube-launched UAS
• Endurance: up to ~1 h baseline public page
• Ground, air or ship launch
• Interchangeable payloads</x:v>
      </x:c>
      <x:c r="E878" s="32" t="str">
        <x:v>• ISR, electronic warfare and strike missions
• Swarming/networked operation
• Counter-UAS variants available</x:v>
      </x:c>
      <x:c r="F878" s="38" t="str">
        <x:v>https://www.rtx.com/raytheon/lang/ro/capabilities/products/counter-uas/effectors/coyote</x:v>
      </x:c>
    </x:row>
    <x:row r="879" ht="210" customHeight="1">
      <x:c r="A879" s="37" t="str">
        <x:v>RTX (Raytheon)</x:v>
      </x:c>
      <x:c r="B879" s="32" t="str">
        <x:v>Missiles</x:v>
      </x:c>
      <x:c r="C879" s="32" t="str">
        <x:v>AIM-120D-3 AMRAAM (F3R)</x:v>
      </x:c>
      <x:c r="D879" s="32" t="str">
        <x:v>• Role: beyond-visual-range air-to-air missile; AMRAAM family also supports surface-launch use through NASAMS
• Guidance: inertial navigation with mid-course updates and onboard active-radar terminal seeker
• Variant: AIM-120D-3 / Form, Fit, Function Refresh (F3R)
• F3R guidance-section modernization: newer/faster processors, updated software and 15 upgraded circuit cards
• Electronic protection: enhanced for highly contested environments in current fifth-generation production
• Exact current public range, speed, dimensions and warhead details for AIM-120D-3 are not disclosed by RTX on its current product page</x:v>
      </x:c>
      <x:c r="E879" s="32" t="str">
        <x:v>• Latest-production fifth-generation AMRAAM configuration
• Software-defined capability and enhanced electronic protection
• Operational on modern fighter fleets including F-22/F-35-compatible AMRAAM configurations
• Active-radar fire-and-forget terminal engagement
• Continued modernization while retaining AMRAAM form-factor/platform compatibility</x:v>
      </x:c>
      <x:c r="F879" s="38" t="str">
        <x:v>https://www.rtx.com/raytheon/what-we-do/air/amraam-missile
https://www.rtx.com/news/news-center/2025/09/16/rtxs-raytheon-achieves-longest-known-amraam-shot</x:v>
      </x:c>
    </x:row>
    <x:row r="880" ht="210" customHeight="1">
      <x:c r="A880" s="37" t="str">
        <x:v>RTX (Raytheon)</x:v>
      </x:c>
      <x:c r="B880" s="32" t="str">
        <x:v>Missiles</x:v>
      </x:c>
      <x:c r="C880" s="32" t="str">
        <x:v>AIM-9X Sidewinder Block II</x:v>
      </x:c>
      <x:c r="D880" s="32" t="str">
        <x:v>• Short-range infrared-guided air-to-air / surface-to-air missile
• High off-boresight imaging-infrared seeker
• Lock-on-after-launch capability on Block II
• Exact range is engagement-condition dependent</x:v>
      </x:c>
      <x:c r="E880" s="32" t="str">
        <x:v>• Air and surface launch
• Highly agile thrust-vector-controlled interceptor
• Used by 35+ allied/partner nations</x:v>
      </x:c>
      <x:c r="F880" s="38" t="str">
        <x:v>https://www.rtx.com/raytheon/what-we-do/air/air-to-air-missiles/air-to-air-missiles
https://www.rtx.com/news/news-center/2026/06/26/rtxs-raytheon-awarded-1-1-billion-u-s-navy-contract-to-produce-aim-9x-block-ii-3</x:v>
      </x:c>
    </x:row>
    <x:row r="881" ht="210" customHeight="1">
      <x:c r="A881" s="37" t="str">
        <x:v>RTX (Raytheon)</x:v>
      </x:c>
      <x:c r="B881" s="32" t="str">
        <x:v>Missiles</x:v>
      </x:c>
      <x:c r="C881" s="32" t="str">
        <x:v>AMRAAM AIM-120</x:v>
      </x:c>
      <x:c r="D881" s="32" t="str">
        <x:v>• Beyond-visual-range air-to-air missile
• Guidance: inertial + mid-course updates + active-radar terminal seeker
• Ground-launched without modification in NASAMS</x:v>
      </x:c>
      <x:c r="E881" s="32" t="str">
        <x:v>• All-weather active-radar homing
• Air-to-air and surface-to-air roles
• Integrated on F-15/F-16/F/A-18/F-22/F-35/Typhoon/Gripen and others</x:v>
      </x:c>
      <x:c r="F881" s="38" t="str">
        <x:v>https://www.rtx.com/raytheon/what-we-do/air/amraam-missile</x:v>
      </x:c>
    </x:row>
    <x:row r="882" ht="210" customHeight="1">
      <x:c r="A882" s="37" t="str">
        <x:v>RTX (Raytheon)</x:v>
      </x:c>
      <x:c r="B882" s="32" t="str">
        <x:v>Missiles</x:v>
      </x:c>
      <x:c r="C882" s="32" t="str">
        <x:v>AMRAAM-ER</x:v>
      </x:c>
      <x:c r="D882" s="32" t="str">
        <x:v>• Ground-launched extended-range AMRAAM derivative
• Larger rocket motor and optimized flight-control algorithms
• NASAMS integration
• Kongsberg states ~50% range / ~70% altitude improvement over AIM-120 C7 in NASAMS context</x:v>
      </x:c>
      <x:c r="E882" s="32" t="str">
        <x:v>• Medium-range ground-based air defence
• Active-radar seeker
• Common NASAMS architecture</x:v>
      </x:c>
      <x:c r="F882" s="38" t="str">
        <x:v>https://www.rtx.com/raytheon/what-we-do/air/amraam-missile
https://www.kongsberg.com/globalassets/kongsberg/1.-what-we-do/1.-defence-and-security/intergrated-air-and-missile-defence/nasams-air-defence-system/nasams_brochure_2026.pdf</x:v>
      </x:c>
    </x:row>
    <x:row r="883" ht="210" customHeight="1">
      <x:c r="A883" s="37" t="str">
        <x:v>RTX (Raytheon)</x:v>
      </x:c>
      <x:c r="B883" s="32" t="str">
        <x:v>Missiles</x:v>
      </x:c>
      <x:c r="C883" s="32" t="str">
        <x:v>Coyote Block 2 C-UAS</x:v>
      </x:c>
      <x:c r="D883" s="32" t="str">
        <x:v>• Rail-launched counter-UAS missile/effecter
• Boost rocket motor + turbine engine
• Kinetic warhead</x:v>
      </x:c>
      <x:c r="E883" s="32" t="str">
        <x:v>• Defeats small to large UAS
• Integrated with KuRFS/LIDS
• Mobile/fixed-site deployment</x:v>
      </x:c>
      <x:c r="F883" s="38" t="str">
        <x:v>https://www.rtx.com/raytheon/what-we-do/integrated-air-and-missile-defense/coyote</x:v>
      </x:c>
    </x:row>
    <x:row r="884" ht="210" customHeight="1">
      <x:c r="A884" s="37" t="str">
        <x:v>RTX (Raytheon)</x:v>
      </x:c>
      <x:c r="B884" s="32" t="str">
        <x:v>Missiles</x:v>
      </x:c>
      <x:c r="C884" s="32" t="str">
        <x:v>Javelin FGM-148 — Raytheon/Lockheed JV</x:v>
      </x:c>
      <x:c r="D884" s="32" t="str">
        <x:v>• 127 mm fire-and-forget imaging-infrared anti-tank missile
• Top/direct attack
• Current production through Javelin Joint Venture</x:v>
      </x:c>
      <x:c r="E884" s="32" t="str">
        <x:v>• Man-portable anti-armour
• Tandem HEAT
• Enclosure firing
• Joint Raytheon / Lockheed Martin product</x:v>
      </x:c>
      <x:c r="F884" s="38" t="str">
        <x:v>https://www.rtx.com/raytheon/what-we-do/land/javelin
https://www.lockheedmartin.com/en-us/products/javelin.html</x:v>
      </x:c>
    </x:row>
    <x:row r="885" ht="210" customHeight="1">
      <x:c r="A885" s="37" t="str">
        <x:v>RTX (Raytheon)</x:v>
      </x:c>
      <x:c r="B885" s="32" t="str">
        <x:v>Missiles</x:v>
      </x:c>
      <x:c r="C885" s="32" t="str">
        <x:v>RAM Rolling Airframe Missile</x:v>
      </x:c>
      <x:c r="D885" s="32" t="str">
        <x:v>• Supersonic quick-reaction fire-and-forget naval missile
• Launched via Mk49 GMLS or SeaRAM Mk15 Mod 32
• Passive RF / infrared guidance family depending block</x:v>
      </x:c>
      <x:c r="E885" s="32" t="str">
        <x:v>• Close-in anti-ship-missile defence
• Deployed on 100+ ships</x:v>
      </x:c>
      <x:c r="F885" s="38" t="str">
        <x:v>https://www.rtx.com/raytheon/what-we-do/sea/ram-missile</x:v>
      </x:c>
    </x:row>
    <x:row r="886" ht="210" customHeight="1">
      <x:c r="A886" s="37" t="str">
        <x:v>RTX (Raytheon)</x:v>
      </x:c>
      <x:c r="B886" s="32" t="str">
        <x:v>Missiles</x:v>
      </x:c>
      <x:c r="C886" s="32" t="str">
        <x:v>SM-2 Standard Missile</x:v>
      </x:c>
      <x:c r="D886" s="32" t="str">
        <x:v>• Naval surface-to-air missile family
• Semi-active radar homing on established variants
• Mk41 / ship launcher integration depending customer configuration</x:v>
      </x:c>
      <x:c r="E886" s="32" t="str">
        <x:v>• Fleet area air defence
• Aircraft and cruise-missile engagement
• Long-running Standard Missile family</x:v>
      </x:c>
      <x:c r="F886" s="38" t="str">
        <x:v>https://www.rtx.com/raytheon/what-we-do/sea/standard-missile-2</x:v>
      </x:c>
    </x:row>
    <x:row r="887" ht="210" customHeight="1">
      <x:c r="A887" s="37" t="str">
        <x:v>RTX (Raytheon)</x:v>
      </x:c>
      <x:c r="B887" s="32" t="str">
        <x:v>Missiles</x:v>
      </x:c>
      <x:c r="C887" s="32" t="str">
        <x:v>SM-3 Block IB</x:v>
      </x:c>
      <x:c r="D887" s="32" t="str">
        <x:v>• Exo-atmospheric ballistic-missile interceptor
• Three-stage solid-rocket booster stack + kinetic kill vehicle
• Hit-to-kill</x:v>
      </x:c>
      <x:c r="E887" s="32" t="str">
        <x:v>• Aegis BMD interceptor
• Medium/intermediate-range ballistic missile defence</x:v>
      </x:c>
      <x:c r="F887" s="38" t="str">
        <x:v>https://www.rtx.com/raytheon/what-we-do/sea/sm-3-interceptor
https://www.rtx.com/news/news-center/2026/02/04/rtxs-raytheon-partners-with-department-of-war-on-five-landmark-agreements-to-exp</x:v>
      </x:c>
    </x:row>
    <x:row r="888" ht="210" customHeight="1">
      <x:c r="A888" s="37" t="str">
        <x:v>RTX (Raytheon)</x:v>
      </x:c>
      <x:c r="B888" s="32" t="str">
        <x:v>Missiles</x:v>
      </x:c>
      <x:c r="C888" s="32" t="str">
        <x:v>SM-3 Block IIA</x:v>
      </x:c>
      <x:c r="D888" s="32" t="str">
        <x:v>• Larger-diameter SM-3 variant developed with Japan
• Exo-atmospheric hit-to-kill ballistic-missile interceptor
• Kinetic warhead / advanced seeker</x:v>
      </x:c>
      <x:c r="E888" s="32" t="str">
        <x:v>• Greater defended area and range than earlier SM-3 variants
• Aegis BMD sea/land integration</x:v>
      </x:c>
      <x:c r="F888" s="38" t="str">
        <x:v>https://www.rtx.com/raytheon/what-we-do/sea/sm-3-interceptor
https://www.rtx.com/news/news-center/2026/02/04/rtxs-raytheon-partners-with-department-of-war-on-five-landmark-agreements-to-exp</x:v>
      </x:c>
    </x:row>
    <x:row r="889" ht="210" customHeight="1">
      <x:c r="A889" s="37" t="str">
        <x:v>RTX (Raytheon)</x:v>
      </x:c>
      <x:c r="B889" s="32" t="str">
        <x:v>Missiles</x:v>
      </x:c>
      <x:c r="C889" s="32" t="str">
        <x:v>SM-6</x:v>
      </x:c>
      <x:c r="D889" s="32" t="str">
        <x:v>• Multi-mission Standard Missile family
• Naval/ground and demonstrated air-launch roles
• Extended-range active/semi-active guidance architecture
• Exact operational range is not publicly disclosed by Raytheon</x:v>
      </x:c>
      <x:c r="E889" s="32" t="str">
        <x:v>• Anti-air warfare
• Sea-based terminal ballistic-missile defence
• Anti-surface / strike capability
• Typhon ground-launch integration</x:v>
      </x:c>
      <x:c r="F889" s="38" t="str">
        <x:v>https://www.rtx.com/raytheon/what-we-do/sea/sm-6-missile</x:v>
      </x:c>
    </x:row>
    <x:row r="890" ht="210" customHeight="1">
      <x:c r="A890" s="37" t="str">
        <x:v>RTX (Raytheon)</x:v>
      </x:c>
      <x:c r="B890" s="32" t="str">
        <x:v>Missiles</x:v>
      </x:c>
      <x:c r="C890" s="32" t="str">
        <x:v>StormBreaker Smart Weapon</x:v>
      </x:c>
      <x:c r="D890" s="32" t="str">
        <x:v>• Air-launched precision glide weapon
• Range: &gt;45 miles / &gt;72 km
• Tri-mode seeker: millimetre-wave radar + imaging infrared + semi-active laser</x:v>
      </x:c>
      <x:c r="E890" s="32" t="str">
        <x:v>• Moving-target engagement in adverse weather
• Network-enabled precision
• Carried by F-15E, F/A-18E/F and F-35 integration path</x:v>
      </x:c>
      <x:c r="F890" s="38" t="str">
        <x:v>https://www.rtx.com/raytheon/what-we-do/air
https://www.rtx.com/raytheon/what-we-do/air/stormbreaker-smart-weapon</x:v>
      </x:c>
    </x:row>
    <x:row r="891" ht="210" customHeight="1">
      <x:c r="A891" s="37" t="str">
        <x:v>RTX (Raytheon)</x:v>
      </x:c>
      <x:c r="B891" s="32" t="str">
        <x:v>Missiles</x:v>
      </x:c>
      <x:c r="C891" s="32" t="str">
        <x:v>Tomahawk Block V / Va / Vb</x:v>
      </x:c>
      <x:c r="D891" s="32" t="str">
        <x:v>• Range: ~1,000 miles / ~1,600 km
• Ship, submarine and ground launch
• Block Va adds maritime moving-target capability
• Block Vb adds joint multi-effects warhead</x:v>
      </x:c>
      <x:c r="E891" s="32" t="str">
        <x:v>• Long-range land attack and maritime strike
• In-flight retargeting / loitering lineage
• GPS-enabled precision cruise missile</x:v>
      </x:c>
      <x:c r="F891" s="38" t="str">
        <x:v>https://www.rtx.com/raytheon/what-we-do/sea/tomahawk-cruise-missile
https://www.rtx.com/news/news-center/2026/02/04/rtxs-raytheon-partners-with-department-of-war-on-five-landmark-agreements-to-exp</x:v>
      </x:c>
    </x:row>
    <x:row r="892" ht="210" customHeight="1">
      <x:c r="A892" s="37" t="str">
        <x:v>RTX (Raytheon)</x:v>
      </x:c>
      <x:c r="B892" s="32" t="str">
        <x:v>Missiles</x:v>
      </x:c>
      <x:c r="C892" s="32" t="str">
        <x:v>TOW 2B / TOW 2A Family</x:v>
      </x:c>
      <x:c r="D892" s="32" t="str">
        <x:v>• Tube-launched optically tracked wire/radio-frequency guided anti-tank missile family
• TOW 2A direct-attack tandem warhead; TOW 2B top-attack explosively formed penetrators
• Range varies by model, ~3.75–4.5 km class</x:v>
      </x:c>
      <x:c r="E892" s="32" t="str">
        <x:v>• Vehicle/tripod/helicopter integration
• Heavy anti-armour / bunker engagement</x:v>
      </x:c>
      <x:c r="F892" s="38" t="str">
        <x:v>https://www.rtx.com/raytheon/what-we-do/land/tow-weapon-system</x:v>
      </x:c>
    </x:row>
    <x:row r="893" ht="210" customHeight="1">
      <x:c r="A893" s="37" t="str">
        <x:v>SAAB</x:v>
      </x:c>
      <x:c r="B893" s="32" t="str">
        <x:v>Ammunition</x:v>
      </x:c>
      <x:c r="C893" s="32" t="str">
        <x:v>AT4CS AST</x:v>
      </x:c>
      <x:c r="D893" s="32" t="str">
        <x:v>• Weight: ~9 kg
• Effective range: 200 m
• 84 mm anti-structure weapon</x:v>
      </x:c>
      <x:c r="E893" s="32" t="str">
        <x:v>• Confined-space breaching / anti-structure effect
• Disposable single-shot</x:v>
      </x:c>
      <x:c r="F893" s="38" t="str">
        <x:v>https://www.saab.com/products/at4</x:v>
      </x:c>
    </x:row>
    <x:row r="894" ht="210" customHeight="1">
      <x:c r="A894" s="37" t="str">
        <x:v>SAAB</x:v>
      </x:c>
      <x:c r="B894" s="32" t="str">
        <x:v>Ammunition</x:v>
      </x:c>
      <x:c r="C894" s="32" t="str">
        <x:v>AT4CS ER</x:v>
      </x:c>
      <x:c r="D894" s="32" t="str">
        <x:v>• Weight: &lt;9 kg
• Effective range: 600 m
• Armour penetration: ~460 mm
• 84 mm disposable weapon</x:v>
      </x:c>
      <x:c r="E894" s="32" t="str">
        <x:v>• Confined-space anti-armour weapon
• Single-shot disposable support weapon</x:v>
      </x:c>
      <x:c r="F894" s="38" t="str">
        <x:v>https://www.saab.com/products/at4</x:v>
      </x:c>
    </x:row>
    <x:row r="895" ht="210" customHeight="1">
      <x:c r="A895" s="37" t="str">
        <x:v>SAAB</x:v>
      </x:c>
      <x:c r="B895" s="32" t="str">
        <x:v>Ammunition</x:v>
      </x:c>
      <x:c r="C895" s="32" t="str">
        <x:v>AT4CS HE</x:v>
      </x:c>
      <x:c r="D895" s="32" t="str">
        <x:v>• Weight: &lt;9 kg
• Range: 600 m point targets / 1,000 m airburst
• 84 mm disposable HE support weapon</x:v>
      </x:c>
      <x:c r="E895" s="32" t="str">
        <x:v>• Impact/airburst modes
• Anti-personnel / light materiel effects
• Confined-space capable</x:v>
      </x:c>
      <x:c r="F895" s="38" t="str">
        <x:v>https://www.saab.com/products/at4</x:v>
      </x:c>
    </x:row>
    <x:row r="896" ht="210" customHeight="1">
      <x:c r="A896" s="37" t="str">
        <x:v>SAAB</x:v>
      </x:c>
      <x:c r="B896" s="32" t="str">
        <x:v>Ammunition</x:v>
      </x:c>
      <x:c r="C896" s="32" t="str">
        <x:v>Carl-Gustaf ADM 401</x:v>
      </x:c>
      <x:c r="D896" s="32" t="str">
        <x:v>• Calibre: 84 mm
• Area-defence / close-range anti-personnel munition</x:v>
      </x:c>
      <x:c r="E896" s="32" t="str">
        <x:v>• Short-range protection against soft targets</x:v>
      </x:c>
      <x:c r="F896" s="38" t="str">
        <x:v>https://www.saab.com/site-settings/html5/cg-ammo/index.html</x:v>
      </x:c>
    </x:row>
    <x:row r="897" ht="210" customHeight="1">
      <x:c r="A897" s="37" t="str">
        <x:v>SAAB</x:v>
      </x:c>
      <x:c r="B897" s="32" t="str">
        <x:v>Ammunition</x:v>
      </x:c>
      <x:c r="C897" s="32" t="str">
        <x:v>Carl-Gustaf HE 441D / 441D RS</x:v>
      </x:c>
      <x:c r="D897" s="32" t="str">
        <x:v>• Calibre: 84 mm
• High-explosive anti-personnel round
• Airburst/time-fuze capability</x:v>
      </x:c>
      <x:c r="E897" s="32" t="str">
        <x:v>• Defeats soft targets and troops behind cover</x:v>
      </x:c>
      <x:c r="F897" s="38" t="str">
        <x:v>https://www.saab.com/site-settings/html5/cg-ammo/index.html
https://www.saab.com/newsroom/stories/2020/april/a-battleground-hero</x:v>
      </x:c>
    </x:row>
    <x:row r="898" ht="210" customHeight="1">
      <x:c r="A898" s="37" t="str">
        <x:v>SAAB</x:v>
      </x:c>
      <x:c r="B898" s="32" t="str">
        <x:v>Ammunition</x:v>
      </x:c>
      <x:c r="C898" s="32" t="str">
        <x:v>Carl-Gustaf HEAT 551 / 551C RS</x:v>
      </x:c>
      <x:c r="D898" s="32" t="str">
        <x:v>• Calibre: 84 mm
• Anti-armour HEAT round family
• Exact range/penetration varies by 551/551C RS configuration</x:v>
      </x:c>
      <x:c r="E898" s="32" t="str">
        <x:v>• Anti-armour effect; confined-space variant available</x:v>
      </x:c>
      <x:c r="F898" s="38" t="str">
        <x:v>https://www.saab.com/site-settings/html5/cg-ammo/index.html</x:v>
      </x:c>
    </x:row>
    <x:row r="899" ht="210" customHeight="1">
      <x:c r="A899" s="37" t="str">
        <x:v>SAAB</x:v>
      </x:c>
      <x:c r="B899" s="32" t="str">
        <x:v>Ammunition</x:v>
      </x:c>
      <x:c r="C899" s="32" t="str">
        <x:v>Carl-Gustaf HEDP 502 / 502 RS</x:v>
      </x:c>
      <x:c r="D899" s="32" t="str">
        <x:v>• Calibre: 84 mm
• Round weight: ~3.3 kg
• Effective range: 500 m
• Impact and delay modes</x:v>
      </x:c>
      <x:c r="E899" s="32" t="str">
        <x:v>• Dual-purpose against armoured vehicles and protected troops/structures</x:v>
      </x:c>
      <x:c r="F899" s="38" t="str">
        <x:v>https://www.saab.com/site-settings/html5/cg-ammo/index.html</x:v>
      </x:c>
    </x:row>
    <x:row r="900" ht="210" customHeight="1">
      <x:c r="A900" s="37" t="str">
        <x:v>SAAB</x:v>
      </x:c>
      <x:c r="B900" s="32" t="str">
        <x:v>Ammunition</x:v>
      </x:c>
      <x:c r="C900" s="32" t="str">
        <x:v>Carl-Gustaf SMOKE 469C</x:v>
      </x:c>
      <x:c r="D900" s="32" t="str">
        <x:v>• Calibre: 84 mm
• Smoke-screen support round</x:v>
      </x:c>
      <x:c r="E900" s="32" t="str">
        <x:v>• Rapid battlefield obscuration / concealment</x:v>
      </x:c>
      <x:c r="F900" s="38" t="str">
        <x:v>https://www.saab.com/site-settings/html5/cg-ammo/index.html</x:v>
      </x:c>
    </x:row>
    <x:row r="901" ht="210" customHeight="1">
      <x:c r="A901" s="37" t="str">
        <x:v>SAAB</x:v>
      </x:c>
      <x:c r="B901" s="32" t="str">
        <x:v>Small Arms</x:v>
      </x:c>
      <x:c r="C901" s="32" t="str">
        <x:v>Carl-Gustaf M4 Recoilless Rifle</x:v>
      </x:c>
      <x:c r="D901" s="32" t="str">
        <x:v>• Calibre: 84 mm
• Weight: ~7 kg
• Length: &lt;1 m
• Sight options: open/red-dot/telescopic/advanced fire-control device</x:v>
      </x:c>
      <x:c r="E901" s="32" t="str">
        <x:v>• Reusable multi-role recoilless support weapon
• Anti-armour, anti-structure, anti-personnel and support ammunition</x:v>
      </x:c>
      <x:c r="F901" s="38" t="str">
        <x:v>https://www.saab.com/products/carl-gustaf-m4</x:v>
      </x:c>
    </x:row>
    <x:row r="902" ht="210" customHeight="1">
      <x:c r="A902" s="37" t="str">
        <x:v>SAAB</x:v>
      </x:c>
      <x:c r="B902" s="32" t="str">
        <x:v>Marine/Naval</x:v>
      </x:c>
      <x:c r="C902" s="32" t="str">
        <x:v>Blekinge-class / A26 Submarine</x:v>
      </x:c>
      <x:c r="D902" s="32" t="str">
        <x:v>• Length: 66.1 m
• Beam: 6.75 m
• Displacement: ~1,925 t
• Propulsion: 3 diesel + 3 Stirling engines
• Complement: 17–26, maximum 35
• Armament/payload: torpedoes, mines, AUV/ROV and special-forces systems</x:v>
      </x:c>
      <x:c r="E902" s="32" t="str">
        <x:v>• Stirling AIP
• Oceanic/littoral operations
• Multi Mission Portal / special operations
• Low-signature modular design</x:v>
      </x:c>
      <x:c r="F902" s="38" t="str">
        <x:v>https://www.saab.com/newsroom/stories/2022/june/keel-laying-ceremony-for-the-first-blekinge-class-submarine</x:v>
      </x:c>
    </x:row>
    <x:row r="903" ht="210" customHeight="1">
      <x:c r="A903" s="37" t="str">
        <x:v>SAAB</x:v>
      </x:c>
      <x:c r="B903" s="32" t="str">
        <x:v>Marine/Naval</x:v>
      </x:c>
      <x:c r="C903" s="32" t="str">
        <x:v>CB90 Next Generation / CB90HSM</x:v>
      </x:c>
      <x:c r="D903" s="32" t="str">
        <x:v>• Light displacement: 18 t; max: 24.5 t
• Length: 16.3 m
• Beam: 3.8 m
• Draught: 0.9 m
• Max-load speed: &gt;40 kt
• Cruise: 38 kt
• Range at cruise: 300 nmi
• Engines: 2×900 hp
• Waterjets: 2</x:v>
      </x:c>
      <x:c r="E903" s="32" t="str">
        <x:v>• High-speed assault/patrol craft
• Trackfire/CMS integration
• Shallow-water operations</x:v>
      </x:c>
      <x:c r="F903" s="38" t="str">
        <x:v>https://www.saab.com/products/docksta-cb90</x:v>
      </x:c>
    </x:row>
    <x:row r="904" ht="210" customHeight="1">
      <x:c r="A904" s="37" t="str">
        <x:v>SAAB</x:v>
      </x:c>
      <x:c r="B904" s="32" t="str">
        <x:v>Marine/Naval</x:v>
      </x:c>
      <x:c r="C904" s="32" t="str">
        <x:v>Gotland-class Submarine MLU</x:v>
      </x:c>
      <x:c r="D904" s="32" t="str">
        <x:v>• Length: 62 m
• Beam: 6.2 m
• Surfaced displacement: 1,580 t
• Propulsion: diesel-electric + Stirling AIP
• Crew: 25
• Submerged endurance: weeks</x:v>
      </x:c>
      <x:c r="E904" s="32" t="str">
        <x:v>• Upgraded masts, sonars, communications and Stirling AIP MkIII
• Torpedo armament
• Many systems common with A26</x:v>
      </x:c>
      <x:c r="F904" s="38" t="str">
        <x:v>https://www.saab.com/newsroom/press-releases/2018/sea-trials-commence-of-upgraded-gotland-submarine</x:v>
      </x:c>
    </x:row>
    <x:row r="905" ht="210" customHeight="1">
      <x:c r="A905" s="37" t="str">
        <x:v>SAAB</x:v>
      </x:c>
      <x:c r="B905" s="32" t="str">
        <x:v>Marine/Naval</x:v>
      </x:c>
      <x:c r="C905" s="32" t="str">
        <x:v>Saab Lightweight Torpedo (Torpedo 47)</x:v>
      </x:c>
      <x:c r="D905" s="32" t="str">
        <x:v>• Lightweight anti-submarine torpedo
• Designed for difficult shallow-water/littoral environments
• Current exact speed/range values are not fully public on Saab product pages</x:v>
      </x:c>
      <x:c r="E905" s="32" t="str">
        <x:v>• Wire-guided/advanced homing architecture
• Ship, submarine and helicopter integration depending user</x:v>
      </x:c>
      <x:c r="F905" s="38" t="str">
        <x:v>https://www.saab.com/products/torpedo-47
https://www.saab.com/products/visby-class-corvette</x:v>
      </x:c>
    </x:row>
    <x:row r="906" ht="210" customHeight="1">
      <x:c r="A906" s="37" t="str">
        <x:v>SAAB</x:v>
      </x:c>
      <x:c r="B906" s="32" t="str">
        <x:v>Marine/Naval</x:v>
      </x:c>
      <x:c r="C906" s="32" t="str">
        <x:v>Visby-class Corvette</x:v>
      </x:c>
      <x:c r="D906" s="32" t="str">
        <x:v>• Length: 72.7 m
• Beam: 10.4 m
• Draught: 2.4 m
• Displacement: 650 t
• Speed: 35+ kt
• Complement: 43
• CODOG / waterjet propulsion</x:v>
      </x:c>
      <x:c r="E906" s="32" t="str">
        <x:v>• Carbon-fibre composite stealth hull
• ASuW/ASW/MCM/patrol
• Shallow-draught littoral manoeuvrability</x:v>
      </x:c>
      <x:c r="F906" s="38" t="str">
        <x:v>https://www.saab.com/products/visby-class-corvette</x:v>
      </x:c>
    </x:row>
    <x:row r="907" ht="210" customHeight="1">
      <x:c r="A907" s="37" t="str">
        <x:v>SAAB</x:v>
      </x:c>
      <x:c r="B907" s="32" t="str">
        <x:v>UAVs/Drones</x:v>
      </x:c>
      <x:c r="C907" s="32" t="str">
        <x:v>SKELDAR V-200</x:v>
      </x:c>
      <x:c r="D907" s="32" t="str">
        <x:v>• Rotary-wing medium-range unmanned aircraft
• Autonomous high-level command operation
• Exact current MTOW/endurance varies by payload configuration; multi-hour hover/endurance class</x:v>
      </x:c>
      <x:c r="E907" s="32" t="str">
        <x:v>• Maritime/land ISR, target acquisition and electronic warfare
• Shipboard VTOL
• UMS SKELDAR JV (Saab + UMS Aero)</x:v>
      </x:c>
      <x:c r="F907" s="38" t="str">
        <x:v>https://www.saab.com/products/skeldar-v-200</x:v>
      </x:c>
    </x:row>
    <x:row r="908" ht="210" customHeight="1">
      <x:c r="A908" s="37" t="str">
        <x:v>SAAB</x:v>
      </x:c>
      <x:c r="B908" s="32" t="str">
        <x:v>Missiles</x:v>
      </x:c>
      <x:c r="C908" s="32" t="str">
        <x:v>NLAW</x:v>
      </x:c>
      <x:c r="D908" s="32" t="str">
        <x:v>• Weight: &lt;13 kg
• Combat range: 20–800 m
• Engagement time: ~5 sec
• Shelf life: 20 years
• Predicted-line-of-sight guidance</x:v>
      </x:c>
      <x:c r="E908" s="32" t="str">
        <x:v>• Single-soldier anti-tank weapon
• Overfly-top attack and direct attack
• Confined-space capable</x:v>
      </x:c>
      <x:c r="F908" s="38" t="str">
        <x:v>https://www.saab.com/products/nlaw</x:v>
      </x:c>
    </x:row>
    <x:row r="909" ht="210" customHeight="1">
      <x:c r="A909" s="37" t="str">
        <x:v>SAAB</x:v>
      </x:c>
      <x:c r="B909" s="32" t="str">
        <x:v>Missiles</x:v>
      </x:c>
      <x:c r="C909" s="32" t="str">
        <x:v>RBS 70 NG / BOLIDE</x:v>
      </x:c>
      <x:c r="D909" s="32" t="str">
        <x:v>• Effective range: &gt;9,000 m
• Altitude coverage: 0–5,000 m
• Deployment time: 45 sec
• Reload: &lt;5 sec MANPADS
• BOLIDE max speed: Mach 2</x:v>
      </x:c>
      <x:c r="E909" s="32" t="str">
        <x:v>• Unjammable laser-beam riding guidance
• Auto-tracking
• Day/night engagement
• Vehicle/network/remote-control integration</x:v>
      </x:c>
      <x:c r="F909" s="38" t="str">
        <x:v>https://www.saab.com/products/rbs-70-ng</x:v>
      </x:c>
    </x:row>
    <x:row r="910" ht="210" customHeight="1">
      <x:c r="A910" s="37" t="str">
        <x:v>SAAB</x:v>
      </x:c>
      <x:c r="B910" s="32" t="str">
        <x:v>Missiles</x:v>
      </x:c>
      <x:c r="C910" s="32" t="str">
        <x:v>RBS15 Gungnir / Mk4</x:v>
      </x:c>
      <x:c r="D910" s="32" t="str">
        <x:v>• Length: 4.35 m
• Diameter: 0.50 m
• Wingspan: 1.40 m
• In-flight weight: ~650 kg
• Weight with boosters: ~810 kg
• Speed: Mach 0.9
• Range: &gt;300 km
• Warhead: ~200 kg
• Active-radar seeker</x:v>
      </x:c>
      <x:c r="E910" s="32" t="str">
        <x:v>• Air, ship and truck launch
• Anti-jam GPS + INS
• Sea/land attack
• 30-year service life</x:v>
      </x:c>
      <x:c r="F910" s="38" t="str">
        <x:v>https://www.saab.com/products/the-rbs15-family
https://www.saab.com/site-settings/html5/gungnir/index.html</x:v>
      </x:c>
    </x:row>
    <x:row r="911" ht="210" customHeight="1">
      <x:c r="A911" s="37" t="str">
        <x:v>SAAB</x:v>
      </x:c>
      <x:c r="B911" s="32" t="str">
        <x:v>Missiles</x:v>
      </x:c>
      <x:c r="C911" s="32" t="str">
        <x:v>RBS15 Mk3</x:v>
      </x:c>
      <x:c r="D911" s="32" t="str">
        <x:v>• Length: 4.35 m
• Diameter: 0.50 m
• Wingspan: 1.40 m
• In-flight weight: ~660 kg
• Weight with boosters: ~820 kg
• Speed: Mach 0.9
• Range: &gt;200 km
• Warhead: ~200 kg
• Seeker: active radar</x:v>
      </x:c>
      <x:c r="E911" s="32" t="str">
        <x:v>• Ship and truck launch
• Anti-ship plus land-attack capability
• 3D waypoints
• INS/GPS navigation</x:v>
      </x:c>
      <x:c r="F911" s="38" t="str">
        <x:v>https://www.saab.com/products/the-rbs15-family</x:v>
      </x:c>
    </x:row>
    <x:row r="912" ht="210" customHeight="1">
      <x:c r="A912" s="37" t="str">
        <x:v>Thyssenkrupp Marine Systems</x:v>
      </x:c>
      <x:c r="B912" s="32" t="str">
        <x:v>Marine/Naval</x:v>
      </x:c>
      <x:c r="C912" s="32" t="str">
        <x:v>ARCIMS Unmanned Surface System</x:v>
      </x:c>
      <x:c r="D912" s="32" t="str">
        <x:v>• Unmanned surface craft / mission-system family
• Modular payload architecture
• Mine-countermeasure variants available</x:v>
      </x:c>
      <x:c r="E912" s="32" t="str">
        <x:v>• MCM, ASW and surveillance missions
• Remote/autonomous operations
• ATLAS ELEKTRONIK product</x:v>
      </x:c>
      <x:c r="F912" s="38" t="str">
        <x:v>https://www.atlas-elektronik.com/solutions/unmanned-systems/arcims</x:v>
      </x:c>
    </x:row>
    <x:row r="913" ht="210" customHeight="1">
      <x:c r="A913" s="37" t="str">
        <x:v>Thyssenkrupp Marine Systems</x:v>
      </x:c>
      <x:c r="B913" s="32" t="str">
        <x:v>Marine/Naval</x:v>
      </x:c>
      <x:c r="C913" s="32" t="str">
        <x:v>HDW Class 209 / 1400mod</x:v>
      </x:c>
      <x:c r="D913" s="32" t="str">
        <x:v>• Conventional diesel-electric export submarine family
• 1400mod represents modernized high-displacement variant
• Exact dimensions/crew differ by customer</x:v>
      </x:c>
      <x:c r="E913" s="32" t="str">
        <x:v>• Widely exported submarine platform
• ASW/ASuW / mine / special-operations capability</x:v>
      </x:c>
      <x:c r="F913" s="38" t="str">
        <x:v>https://www.tkmsgroup.com/submarines</x:v>
      </x:c>
    </x:row>
    <x:row r="914" ht="210" customHeight="1">
      <x:c r="A914" s="37" t="str">
        <x:v>Thyssenkrupp Marine Systems</x:v>
      </x:c>
      <x:c r="B914" s="32" t="str">
        <x:v>Marine/Naval</x:v>
      </x:c>
      <x:c r="C914" s="32" t="str">
        <x:v>HDW Class 212A Submarine</x:v>
      </x:c>
      <x:c r="D914" s="32" t="str">
        <x:v>• Non-nuclear diesel-electric submarine with hydrogen fuel-cell AIP
• Compact Baltic/blue-water-capable design
• Exact configuration varies by German/Italian units and modernization state</x:v>
      </x:c>
      <x:c r="E914" s="32" t="str">
        <x:v>• Extremely low acoustic signature
• AIP submerged endurance
• Modernization path supports sensors/weapons upgrades</x:v>
      </x:c>
      <x:c r="F914" s="38" t="str">
        <x:v>https://www.tkmsgroup.com/submarines</x:v>
      </x:c>
    </x:row>
    <x:row r="915" ht="210" customHeight="1">
      <x:c r="A915" s="37" t="str">
        <x:v>Thyssenkrupp Marine Systems</x:v>
      </x:c>
      <x:c r="B915" s="32" t="str">
        <x:v>Marine/Naval</x:v>
      </x:c>
      <x:c r="C915" s="32" t="str">
        <x:v>HDW Class 212CD Submarine</x:v>
      </x:c>
      <x:c r="D915" s="32" t="str">
        <x:v>• Advanced non-nuclear submarine
• Larger diamond-shaped hull than 212A for signature reduction
• Diesel-electric + hydrogen fuel-cell AIP
• Exact displacement/crew/range not publicly detailed by TKMS current page</x:v>
      </x:c>
      <x:c r="E915" s="32" t="str">
        <x:v>• Very low acoustic/radar signature
• Long submerged endurance
• German-Norwegian common design</x:v>
      </x:c>
      <x:c r="F915" s="38" t="str">
        <x:v>https://www.tkmsgroup.com/
https://www.tkmsgroup.com/en/products-services/our-digital-training-solutions/crew-optimization-and-manning-training</x:v>
      </x:c>
    </x:row>
    <x:row r="916" ht="210" customHeight="1">
      <x:c r="A916" s="37" t="str">
        <x:v>Thyssenkrupp Marine Systems</x:v>
      </x:c>
      <x:c r="B916" s="32" t="str">
        <x:v>Marine/Naval</x:v>
      </x:c>
      <x:c r="C916" s="32" t="str">
        <x:v>HDW Class 214 Submarine</x:v>
      </x:c>
      <x:c r="D916" s="32" t="str">
        <x:v>• Export diesel-electric submarine with fuel-cell AIP
• Ocean-going conventional attack-submarine family
• Exact displacement/length differ by customer variant</x:v>
      </x:c>
      <x:c r="E916" s="32" t="str">
        <x:v>• Long submerged endurance
• Anti-surface/ASW and special operations
• Export-proven family</x:v>
      </x:c>
      <x:c r="F916" s="38" t="str">
        <x:v>https://www.tkmsgroup.com/submarines</x:v>
      </x:c>
    </x:row>
    <x:row r="917" ht="210" customHeight="1">
      <x:c r="A917" s="37" t="str">
        <x:v>Thyssenkrupp Marine Systems</x:v>
      </x:c>
      <x:c r="B917" s="32" t="str">
        <x:v>Marine/Naval</x:v>
      </x:c>
      <x:c r="C917" s="32" t="str">
        <x:v>HDW Class 218SG Submarine</x:v>
      </x:c>
      <x:c r="D917" s="32" t="str">
        <x:v>• Large export AIP submarine for Singapore
• Fuel-cell air-independent propulsion
• Customer configuration/specifications partly controlled</x:v>
      </x:c>
      <x:c r="E917" s="32" t="str">
        <x:v>• Extended-endurance conventional submarine
• Advanced combat/sensor suite
• Tropical/oceanic mission design</x:v>
      </x:c>
      <x:c r="F917" s="38" t="str">
        <x:v>https://www.tkmsgroup.com/news/article/tkms-remains-on-course-for-growth-order-backlog-reaches-new-high-in-the-first-quarter</x:v>
      </x:c>
    </x:row>
    <x:row r="918" ht="210" customHeight="1">
      <x:c r="A918" s="37" t="str">
        <x:v>Thyssenkrupp Marine Systems</x:v>
      </x:c>
      <x:c r="B918" s="32" t="str">
        <x:v>Marine/Naval</x:v>
      </x:c>
      <x:c r="C918" s="32" t="str">
        <x:v>MEKO A-100 Corvette</x:v>
      </x:c>
      <x:c r="D918" s="32" t="str">
        <x:v>• Compact MEKO corvette family
• Customer-specific displacement, sensors and weapons</x:v>
      </x:c>
      <x:c r="E918" s="32" t="str">
        <x:v>• Modular surface combatant
• Patrol, ASuW, ASW and air-defence configurations</x:v>
      </x:c>
      <x:c r="F918" s="38" t="str">
        <x:v>https://www.tkmsgroup.com/surface-vessels/corvettes</x:v>
      </x:c>
    </x:row>
    <x:row r="919" ht="210" customHeight="1">
      <x:c r="A919" s="37" t="str">
        <x:v>Thyssenkrupp Marine Systems</x:v>
      </x:c>
      <x:c r="B919" s="32" t="str">
        <x:v>Marine/Naval</x:v>
      </x:c>
      <x:c r="C919" s="32" t="str">
        <x:v>MEKO A-200 Frigate</x:v>
      </x:c>
      <x:c r="D919" s="32" t="str">
        <x:v>• Length: 121 m
• Beam: 16.4 m
• Design draught: 4.4 m
• Full displacement: 3,950 t
• Core crew: 125 + 49 embarked
• Max speed: &gt;29 kt
• Range: &gt;6,500 nmi at 16 kt
• Propulsion: CODAG-WARP; 20 MW gas turbine + 2×6 MW diesels</x:v>
      </x:c>
      <x:c r="E919" s="32" t="str">
        <x:v>• Low RCS/IR/acoustic signature
• Modular MEKO mission architecture
• Two 6-t or one 11-t helicopter + 2 UAVs
• 2×8 m RHIB</x:v>
      </x:c>
      <x:c r="F919" s="38" t="str">
        <x:v>https://www.tkmsgroup.com/surface-vessels/frigates/meko-a-200</x:v>
      </x:c>
    </x:row>
    <x:row r="920" ht="210" customHeight="1">
      <x:c r="A920" s="37" t="str">
        <x:v>Thyssenkrupp Marine Systems</x:v>
      </x:c>
      <x:c r="B920" s="32" t="str">
        <x:v>Marine/Naval</x:v>
      </x:c>
      <x:c r="C920" s="32" t="str">
        <x:v>MEKO A-400 AMD Frigate</x:v>
      </x:c>
      <x:c r="D920" s="32" t="str">
        <x:v>• Heavy combat / air-and-missile-defence frigate concept
• MEKO modular design
• Exact dimensions/displacement depend on final customer configuration</x:v>
      </x:c>
      <x:c r="E920" s="32" t="str">
        <x:v>• Designed for wide range of command and weapon-engagement systems
• NATO interoperability
• Advanced area air/missile defence</x:v>
      </x:c>
      <x:c r="F920" s="38" t="str">
        <x:v>https://www.tkmsgroup.com/
https://www.tkmsgroup.com/fileadmin/website/downloads/20250929_TKMS_CMD_Presentation_UPLOAD_vF.pdf</x:v>
      </x:c>
    </x:row>
    <x:row r="921" ht="210" customHeight="1">
      <x:c r="A921" s="37" t="str">
        <x:v>Thyssenkrupp Marine Systems</x:v>
      </x:c>
      <x:c r="B921" s="32" t="str">
        <x:v>Marine/Naval</x:v>
      </x:c>
      <x:c r="C921" s="32" t="str">
        <x:v>MEKO S-X Semi-Submersible</x:v>
      </x:c>
      <x:c r="D921" s="32" t="str">
        <x:v>• Uncrewed/semi-submersible naval system concept
• Exact public size/performance data not disclosed</x:v>
      </x:c>
      <x:c r="E921" s="32" t="str">
        <x:v>• Complementary uncrewed maritime platform
• Connected crewed-uncrewed operational concept</x:v>
      </x:c>
      <x:c r="F921" s="38" t="str">
        <x:v>https://www.tkmsgroup.com/fileadmin/website/downloads/20250929_TKMS_CMD_Presentation_UPLOAD_vF.pdf</x:v>
      </x:c>
    </x:row>
    <x:row r="922" ht="210" customHeight="1">
      <x:c r="A922" s="37" t="str">
        <x:v>Thyssenkrupp Marine Systems</x:v>
      </x:c>
      <x:c r="B922" s="32" t="str">
        <x:v>Marine/Naval</x:v>
      </x:c>
      <x:c r="C922" s="32" t="str">
        <x:v>SeaHake mod4 / DM2A4 Heavyweight Torpedo</x:v>
      </x:c>
      <x:c r="D922" s="32" t="str">
        <x:v>• Heavyweight submarine-launched torpedo family
• 533 mm class
• Fiber-optic guidance / advanced acoustic homing
• Electric propulsion</x:v>
      </x:c>
      <x:c r="E922" s="32" t="str">
        <x:v>• Long-range anti-submarine / anti-surface weapon
• Low acoustic signature and wire/fiber guidance</x:v>
      </x:c>
      <x:c r="F922" s="38" t="str">
        <x:v>https://www.atlas-elektronik.com/solutions/naval-weapons/seahake-mod4</x:v>
      </x:c>
    </x:row>
    <x:row r="923" ht="210" customHeight="1">
      <x:c r="A923" s="37" t="str">
        <x:v>Thyssenkrupp Marine Systems</x:v>
      </x:c>
      <x:c r="B923" s="32" t="str">
        <x:v>Marine/Naval</x:v>
      </x:c>
      <x:c r="C923" s="32" t="str">
        <x:v>SeaSpider Anti-Torpedo Torpedo</x:v>
      </x:c>
      <x:c r="D923" s="32" t="str">
        <x:v>• Defensive hard-kill anti-torpedo interceptor
• Compact high-agility underwater weapon
• Exact dimensions/range not fully public</x:v>
      </x:c>
      <x:c r="E923" s="32" t="str">
        <x:v>• Detect-to-defeat torpedo defence
• Surface-ship/submarine integration within ATLAS/TKMS ecosystem</x:v>
      </x:c>
      <x:c r="F923" s="38" t="str">
        <x:v>https://www.tkmsgroup.com/fileadmin/website/downloads/20250929_TKMS_CMD_Presentation_UPLOAD_vF.pdf</x:v>
      </x:c>
    </x:row>
    <x:row r="924" ht="210" customHeight="1">
      <x:c r="A924" s="37" t="str">
        <x:v>Thyssenkrupp Marine Systems</x:v>
      </x:c>
      <x:c r="B924" s="32" t="str">
        <x:v>Marine/Naval</x:v>
      </x:c>
      <x:c r="C924" s="32" t="str">
        <x:v>Stargazer AUV</x:v>
      </x:c>
      <x:c r="D924" s="32" t="str">
        <x:v>• Autonomous underwater vehicle in current TKMS product roadmap
• Exact public dimensions/endurance not disclosed</x:v>
      </x:c>
      <x:c r="E924" s="32" t="str">
        <x:v>• Underwater surveillance / ASW use cases
• Integrated crewed-uncrewed fleet concept</x:v>
      </x:c>
      <x:c r="F924" s="38" t="str">
        <x:v>https://www.tkmsgroup.com/fileadmin/website/downloads/20250929_TKMS_CMD_Presentation_UPLOAD_vF.pdf</x:v>
      </x:c>
    </x:row>
    <x:row r="925" ht="210" customHeight="1">
      <x:c r="A925" s="37" t="str">
        <x:v>Naval Group</x:v>
      </x:c>
      <x:c r="B925" s="32" t="str">
        <x:v>Marine/Naval</x:v>
      </x:c>
      <x:c r="C925" s="32" t="str">
        <x:v>Barracuda / Suffren-class SSN</x:v>
      </x:c>
      <x:c r="D925" s="32" t="str">
        <x:v>• Surface displacement: 4,700 t
• Submerged displacement: 5,200 t
• Length: 99 m
• Diameter: 8.8 m
• Diving depth: &gt;300 m public reference
• Crew: 65 + commandos
• Hybrid nuclear/electric propulsion</x:v>
      </x:c>
      <x:c r="E925" s="32" t="str">
        <x:v>• NCM deep-strike cruise missiles
• F21 torpedoes
• SM39 anti-ship missiles
• Special-forces deployment
• Very low acoustic signature</x:v>
      </x:c>
      <x:c r="F925" s="38" t="str">
        <x:v>https://www.naval-group.com/en/ssn-suffren-starts-its-sea-trials
https://www.naval-group.com/en/naval-group-delivers-suffren-french-defence-procurement-agency-dga</x:v>
      </x:c>
    </x:row>
    <x:row r="926" ht="210" customHeight="1">
      <x:c r="A926" s="37" t="str">
        <x:v>Naval Group</x:v>
      </x:c>
      <x:c r="B926" s="32" t="str">
        <x:v>Marine/Naval</x:v>
      </x:c>
      <x:c r="C926" s="32" t="str">
        <x:v>CANTO-S Anti-Torpedo Countermeasure</x:v>
      </x:c>
      <x:c r="D926" s="32" t="str">
        <x:v>• Submarine-launched torpedo countermeasure
• Dilution/confusion principle rather than seduction decoy
• Exact cartridge/endurance parameters not public</x:v>
      </x:c>
      <x:c r="E926" s="32" t="str">
        <x:v>• Protects submarines against modern and legacy torpedoes
• Reactive anti-torpedo defence</x:v>
      </x:c>
      <x:c r="F926" s="38" t="str">
        <x:v>https://www.naval-group.com/en/underwater-weapons</x:v>
      </x:c>
    </x:row>
    <x:row r="927" ht="210" customHeight="1">
      <x:c r="A927" s="37" t="str">
        <x:v>Naval Group</x:v>
      </x:c>
      <x:c r="B927" s="32" t="str">
        <x:v>Marine/Naval</x:v>
      </x:c>
      <x:c r="C927" s="32" t="str">
        <x:v>CANTO-V Anti-Torpedo Countermeasure</x:v>
      </x:c>
      <x:c r="D927" s="32" t="str">
        <x:v>• Surface-vessel CANTO variant
• Countermeasure launch from frigates/surface combatants
• Exact public dimensions not disclosed</x:v>
      </x:c>
      <x:c r="E927" s="32" t="str">
        <x:v>• Torpedo-defence confusion/dilution concept
• Surface-ship survivability</x:v>
      </x:c>
      <x:c r="F927" s="38" t="str">
        <x:v>https://www.naval-group.com/en/underwater-weapons</x:v>
      </x:c>
    </x:row>
    <x:row r="928" ht="210" customHeight="1">
      <x:c r="A928" s="37" t="str">
        <x:v>Naval Group</x:v>
      </x:c>
      <x:c r="B928" s="32" t="str">
        <x:v>Marine/Naval</x:v>
      </x:c>
      <x:c r="C928" s="32" t="str">
        <x:v>F21 Heavyweight Torpedo</x:v>
      </x:c>
      <x:c r="D928" s="32" t="str">
        <x:v>• Heavyweight submarine torpedo
• Wire-guided / autonomous terminal mission system
• Advanced electric energy architecture
• Exact current speed/range values are not disclosed on Naval Group public page</x:v>
      </x:c>
      <x:c r="E928" s="32" t="str">
        <x:v>• Autonomous complex-mission execution
• High computing/sensor processing
• In service on French Navy submarines and Brazilian Scorpène</x:v>
      </x:c>
      <x:c r="F928" s="38" t="str">
        <x:v>https://www.naval-group.com/en/underwater-weapons
https://www.naval-group.com/en/euronaval-2024-underwater-weapons-f21r-second-none-heavyweight-torpedo-category</x:v>
      </x:c>
    </x:row>
    <x:row r="929" ht="210" customHeight="1">
      <x:c r="A929" s="37" t="str">
        <x:v>Naval Group</x:v>
      </x:c>
      <x:c r="B929" s="32" t="str">
        <x:v>Marine/Naval</x:v>
      </x:c>
      <x:c r="C929" s="32" t="str">
        <x:v>FDI / Defence &amp; Intervention Frigate</x:v>
      </x:c>
      <x:c r="D929" s="32" t="str">
        <x:v>• Displacement: 4,500 t class
• Length: 122 m
• Beam: 18 m
• Speed: 27 kt
• Endurance: 45 days
• Accommodation: 125 crew + 28 passengers</x:v>
      </x:c>
      <x:c r="E929" s="32" t="str">
        <x:v>• Aster 15/30, Exocet MM40 B3C, MU90 and naval gun integration
• SeaFire radar
• SETIS CMS
• 10-t helicopter + UAV support</x:v>
      </x:c>
      <x:c r="F929" s="38" t="str">
        <x:v>https://www.naval-group.com/en/first-defence-and-intervention-frigate-fdi-amiral-ronarch-begins-sea-trials
https://www.naval-group.com/en/naval-group-delivers-first-defence-and-intervention-frigate</x:v>
      </x:c>
    </x:row>
    <x:row r="930" ht="210" customHeight="1">
      <x:c r="A930" s="37" t="str">
        <x:v>Naval Group</x:v>
      </x:c>
      <x:c r="B930" s="32" t="str">
        <x:v>Marine/Naval</x:v>
      </x:c>
      <x:c r="C930" s="32" t="str">
        <x:v>FREMM DA Frigate</x:v>
      </x:c>
      <x:c r="D930" s="32" t="str">
        <x:v>• Length: 142 m
• Beam: 20 m
• Displacement: 6,000 t
• Max speed: 27 kt
• Range: 6,000 nmi at 15 kt
• Accommodation: up to 165; operational crew ~118 + helicopter detachment</x:v>
      </x:c>
      <x:c r="E930" s="32" t="str">
        <x:v>• Enhanced air-defence FREMM
• Aster 15/30, Exocet MM40, MU90
• NH90 helicopter
• SETIS CMS</x:v>
      </x:c>
      <x:c r="F930" s="38" t="str">
        <x:v>https://www.naval-group.com/en/naval-group-delivers-fremm-da-frigate-alsace-first-multimissions-frigate-enhanced-air-defence
https://www.naval-group.com/en/first-sea-trial-fremm-da-lorraine-tenth-and-last-multi-mission-frigate-series</x:v>
      </x:c>
    </x:row>
    <x:row r="931" ht="210" customHeight="1">
      <x:c r="A931" s="37" t="str">
        <x:v>Naval Group</x:v>
      </x:c>
      <x:c r="B931" s="32" t="str">
        <x:v>Marine/Naval</x:v>
      </x:c>
      <x:c r="C931" s="32" t="str">
        <x:v>Gowind Corvette</x:v>
      </x:c>
      <x:c r="D931" s="32" t="str">
        <x:v>• Length: 102 m
• Beam: 16 m
• Displacement: 2,800 t
• Max speed: 25.5 kt
• Accommodation: 95
• Endurance: 21 days
• Propulsion: CODLOD
• 10-t helicopter + S-100-type UAV + 2×7 m RHIB</x:v>
      </x:c>
      <x:c r="E931" s="32" t="str">
        <x:v>• Stealth multirole corvette
• SETIS CMS + integrated mast/PSIM
• ASW/ASuW/air-defence capability</x:v>
      </x:c>
      <x:c r="F931" s="38" t="str">
        <x:v>https://www.naval-group.com/en/naval-group-launches-first-gowindr-corvette-united-arab-emirates-navy</x:v>
      </x:c>
    </x:row>
    <x:row r="932" ht="210" customHeight="1">
      <x:c r="A932" s="37" t="str">
        <x:v>Naval Group</x:v>
      </x:c>
      <x:c r="B932" s="32" t="str">
        <x:v>Marine/Naval</x:v>
      </x:c>
      <x:c r="C932" s="32" t="str">
        <x:v>MU90 Lightweight Torpedo</x:v>
      </x:c>
      <x:c r="D932" s="32" t="str">
        <x:v>• 324 mm-class lightweight anti-submarine torpedo
• Ship / helicopter / maritime aircraft launch
• Exact performance partly controlled; Naval Group markets as reference LWT</x:v>
      </x:c>
      <x:c r="E932" s="32" t="str">
        <x:v>• Anti-submarine warfare in littoral/blue-water environments
• Used by 9+ navies</x:v>
      </x:c>
      <x:c r="F932" s="38" t="str">
        <x:v>https://www.naval-group.com/en/underwater-weapons
https://www.naval-group.com/sites/default/files/2025-04/Annual%20report%20Naval%20Group%202024%20EN_0.pdf</x:v>
      </x:c>
    </x:row>
    <x:row r="933" ht="210" customHeight="1">
      <x:c r="A933" s="37" t="str">
        <x:v>Naval Group</x:v>
      </x:c>
      <x:c r="B933" s="32" t="str">
        <x:v>Marine/Naval</x:v>
      </x:c>
      <x:c r="C933" s="32" t="str">
        <x:v>Scorpène Conventional Attack Submarine</x:v>
      </x:c>
      <x:c r="D933" s="32" t="str">
        <x:v>• Brazilian Scorpène reference: surfaced displacement 1,600–2,000 t
• Length: ~72 m
• Submerged speed: &gt;20 kt
• Diving depth: &gt;350 m
• Autonomy: &gt;80 days
• Crew: 35
• Weapons payload: 18
• Torpedo tubes: 6</x:v>
      </x:c>
      <x:c r="E933" s="32" t="str">
        <x:v>• Ocean-going + shallow-water operations
• ASW/ASuW, intelligence, mine laying and special operations
• High stealth / transfer-of-technology export design</x:v>
      </x:c>
      <x:c r="F933" s="38" t="str">
        <x:v>https://www.naval-group.com/en/key-milestones-brazilian-submarine-program-celebrated-itaguai
https://www.naval-group.com/en/naval-group-showcases-its-latest-innovations-products-and-services-euronaval-2024</x:v>
      </x:c>
    </x:row>
    <x:row r="934" ht="210" customHeight="1">
      <x:c r="A934" s="37" t="str">
        <x:v>Naval Group</x:v>
      </x:c>
      <x:c r="B934" s="32" t="str">
        <x:v>Marine/Naval</x:v>
      </x:c>
      <x:c r="C934" s="32" t="str">
        <x:v>Seagent M AUV</x:v>
      </x:c>
      <x:c r="D934" s="32" t="str">
        <x:v>• Autonomous underwater system
• Deployable from submarine, surface ship or land
• Modular payload architecture</x:v>
      </x:c>
      <x:c r="E934" s="32" t="str">
        <x:v>• Training, surveillance and intelligence missions
• Mission-specific endurance/speed/manoeuvrability</x:v>
      </x:c>
      <x:c r="F934" s="38" t="str">
        <x:v>https://www.naval-group.com/en/drones</x:v>
      </x:c>
    </x:row>
    <x:row r="935" ht="210" customHeight="1">
      <x:c r="A935" s="37" t="str">
        <x:v>Naval Group</x:v>
      </x:c>
      <x:c r="B935" s="32" t="str">
        <x:v>Marine/Naval</x:v>
      </x:c>
      <x:c r="C935" s="32" t="str">
        <x:v>Seagent XL Autonomous Underwater Combat System</x:v>
      </x:c>
      <x:c r="D935" s="32" t="str">
        <x:v>• Large autonomous underwater system
• Operable from dock or surface ship
• Long-endurance/discreet design
• Multiple payloads</x:v>
      </x:c>
      <x:c r="E935" s="32" t="str">
        <x:v>• Offensive and defensive missions
• Hostile-environment autonomous operations
• Fleet force multiplier</x:v>
      </x:c>
      <x:c r="F935" s="38" t="str">
        <x:v>https://www.naval-group.com/en/drones</x:v>
      </x:c>
    </x:row>
    <x:row r="936" ht="210" customHeight="1">
      <x:c r="A936" s="37" t="str">
        <x:v>Naval Group</x:v>
      </x:c>
      <x:c r="B936" s="32" t="str">
        <x:v>Marine/Naval</x:v>
      </x:c>
      <x:c r="C936" s="32" t="str">
        <x:v>Seaquest M / L USV</x:v>
      </x:c>
      <x:c r="D936" s="32" t="str">
        <x:v>• Seaquest M: 15–50 m class
• Seaquest L: &gt;50 m class
• Long-endurance autonomous surface systems</x:v>
      </x:c>
      <x:c r="E936" s="32" t="str">
        <x:v>• Operate independently or alongside manned vessels
• Combat-ready force multipliers</x:v>
      </x:c>
      <x:c r="F936" s="38" t="str">
        <x:v>https://www.naval-group.com/en/drones</x:v>
      </x:c>
    </x:row>
    <x:row r="937" ht="210" customHeight="1">
      <x:c r="A937" s="37" t="str">
        <x:v>Naval Group</x:v>
      </x:c>
      <x:c r="B937" s="32" t="str">
        <x:v>Marine/Naval</x:v>
      </x:c>
      <x:c r="C937" s="32" t="str">
        <x:v>Seaquest S USV</x:v>
      </x:c>
      <x:c r="D937" s="32" t="str">
        <x:v>• Small autonomous surface-system family: 6.5–12.5 m
• Can operate alone or in swarms
• Designed for native integration aboard surface ships</x:v>
      </x:c>
      <x:c r="E937" s="32" t="str">
        <x:v>• ISR, surveillance and effect delivery
• Modular payloads
• Sirehna / Naval Group</x:v>
      </x:c>
      <x:c r="F937" s="38" t="str">
        <x:v>https://www.naval-group.com/en/drones
https://www.naval-group.com/en/nid-2025-drones-and-small-arms-enhanced-surveillance-effective-response</x:v>
      </x:c>
    </x:row>
    <x:row r="938" ht="210" customHeight="1">
      <x:c r="A938" s="37" t="str">
        <x:v>Naval Group</x:v>
      </x:c>
      <x:c r="B938" s="32" t="str">
        <x:v>UAVs/Drones</x:v>
      </x:c>
      <x:c r="C938" s="32" t="str">
        <x:v>Cormorant Multi-Environment Drone</x:v>
      </x:c>
      <x:c r="D938" s="32" t="str">
        <x:v>• Airborne drone with underwater operating capability
• Dive depth: up to 40 m
• Operation: sea state 4 public 2025 reference
• NATO-standard rail for sensors/effectors</x:v>
      </x:c>
      <x:c r="E938" s="32" t="str">
        <x:v>• Can approach target underwater then surface
• Swarm deployment from Seaquest S
• Maritime surveillance/security and effect missions</x:v>
      </x:c>
      <x:c r="F938" s="38" t="str">
        <x:v>https://www.naval-group.com/en/nid-2025-drones-and-small-arms-enhanced-surveillance-effective-response</x:v>
      </x:c>
    </x:row>
    <x:row r="939" ht="210" customHeight="1">
      <x:c r="A939" s="37" t="str">
        <x:v>Huntington Ingalls Industries</x:v>
      </x:c>
      <x:c r="B939" s="32" t="str">
        <x:v>Marine/Naval</x:v>
      </x:c>
      <x:c r="C939" s="32" t="str">
        <x:v>America-class LHA</x:v>
      </x:c>
      <x:c r="D939" s="32" t="str">
        <x:v>• Length: 844 ft (257.3 m)
• Beam: 106 ft (32.3 m)
• Displacement: &gt;44,000 tons
• Crew: 1,204
• Troop capacity: up to 1,800
• Main propulsion: 2 gas turbines
• Propulsion power: 70,000 shaft hp
• Auxiliary propulsion: 2 electric motors
• Flight deck: &gt;2 acres
• Aircraft example load: 5 F-35B, 4 AH-1Z, 2 UH-1Y, 4 CH-53E, 12 MV-22, 2 MH-60S.
• Length: ~844 ft / 257 m
• Full-load displacement: ~44,000+ t
• Speed: 20+ kt
• Embarked Marines: ~1,600+
• Flight deck supports F-35B, MV-22 and helicopters</x:v>
      </x:c>
      <x:c r="E939" s="32" t="str">
        <x:v>• Aviation-optimized amphibious assault; sea basing; command and control; humanitarian/disaster response.
• Large-deck amphibious assault ship
• Aviation-centric expeditionary strike capability
• Later ships restore well-deck capability</x:v>
      </x:c>
      <x:c r="F939" s="38" t="str">
        <x:v>https://www.hii.com/products/america-class
https://hii.com/what-we-do/capabilities/ships/amphibious-assault-ships/
https://www.navy.mil/Resources/Fact-Files/Display-FactFiles/Article/2169839/amphibious-assault-ships-lhdlha/</x:v>
      </x:c>
    </x:row>
    <x:row r="940" ht="210" customHeight="1">
      <x:c r="A940" s="37" t="str">
        <x:v>Huntington Ingalls Industries</x:v>
      </x:c>
      <x:c r="B940" s="32" t="str">
        <x:v>Marine/Naval</x:v>
      </x:c>
      <x:c r="C940" s="32" t="str">
        <x:v>Arleigh Burke-class Flight III Destroyer</x:v>
      </x:c>
      <x:c r="D940" s="32" t="str">
        <x:v>• Length: 509 ft (155.1 m)
• Beam: 66 ft (20.1 m)
• Displacement: 9,300 t
• Crew: 350+
• Hull: steel
• Combat system: Aegis
• Radar: AN/SPY-6(V)1 on Flight III
• Propulsion: gas-turbine, configuration dependent
• VLS: Mk 41, 96 cells on DDG-51 class.
• Length: ~509.5 ft / 155.3 m
• Full-load displacement: ~9,700+ t Flight III class
• Aegis combat system with AN/SPY-6(V)1 radar
• Mk41 VLS, 5-inch gun, CIWS and helicopter facilities</x:v>
      </x:c>
      <x:c r="E940" s="32" t="str">
        <x:v>• Multi-mission guided-missile destroyer; air defence; ballistic-missile defence; surface and undersea warfare.
• Integrated air and missile defence
• ASW/ASuW/strike roles
• Ingalls is one of two U.S. DDG-51 builders</x:v>
      </x:c>
      <x:c r="F940" s="38" t="str">
        <x:v>https://www.hii.com/capabilities/arleigh-burke-flight-iii
https://www.hii.com/news/flight-iii-destroyer-ted-stevens-ddg-128-sails-aways-from-hiis-ingalls-shipbuilding
https://www.navy.mil/Resources/Fact-Files/Display-FactFiles/Article/2169871/destroyers-ddg-51/</x:v>
      </x:c>
    </x:row>
    <x:row r="941" ht="210" customHeight="1">
      <x:c r="A941" s="37" t="str">
        <x:v>Huntington Ingalls Industries</x:v>
      </x:c>
      <x:c r="B941" s="32" t="str">
        <x:v>Marine/Naval</x:v>
      </x:c>
      <x:c r="C941" s="32" t="str">
        <x:v>Columbia-class Ballistic Missile Submarine</x:v>
      </x:c>
      <x:c r="D941" s="32" t="str">
        <x:v>• Type: Nuclear-powered ballistic-missile submarine
• Length: ~560 ft (170.7 m)
• Beam: ~43 ft (13.1 m)
• Displacement: ~20,800 t submerged class
• Propulsion: nuclear-electric
• Ballistic missile tubes: 16
• Reactor: life-of-ship core design
• Crew: ~155 class.
• Length: ~560 ft / 170.7 m
• Beam: ~43 ft / 13.1 m
• Submerged displacement: ~20,800 long tons
• Missile tubes: 16 Trident II D5LE
• Life-of-ship reactor core</x:v>
      </x:c>
      <x:c r="E941" s="32" t="str">
        <x:v>• Strategic nuclear deterrence; long-endurance patrol.
• Next-generation U.S. sea-based strategic deterrent
• Electric-drive propulsion
• HII Newport News major construction partner to Electric Boat</x:v>
      </x:c>
      <x:c r="F941" s="38" t="str">
        <x:v>https://www.hii.com/products/columbia-class
https://www.hii.com/news/hii-is-awarded-contracts-for-construction-of-block-vi-virginia-class-and-build-ii-columbia-class-submarines
https://www.navy.mil/Resources/Fact-Files/Display-FactFiles/Article/2169628/ballistic-missile-submarines-ssbn/</x:v>
      </x:c>
    </x:row>
    <x:row r="942" ht="210" customHeight="1">
      <x:c r="A942" s="37" t="str">
        <x:v>Huntington Ingalls Industries</x:v>
      </x:c>
      <x:c r="B942" s="32" t="str">
        <x:v>Marine/Naval</x:v>
      </x:c>
      <x:c r="C942" s="32" t="str">
        <x:v>Gerald R. Ford-class Aircraft Carrier</x:v>
      </x:c>
      <x:c r="D942" s="32" t="str">
        <x:v>• Type: Nuclear-powered aircraft carrier
• Length: 1,092 ft (333 m)
• Beam: 256 ft (78 m) flight-deck width class
• Displacement: ~100,000 t
• Crew: ~4,660 ship's company + air wing personnel
• Propulsion: 2 nuclear reactors
• Aircraft: 75+ class
• Launch/recovery: EMALS + AAG
• Elevators: 11 aircraft weapons elevators.
• Length: ~1,092 ft / 333 m
• Full-load displacement: ~100,000 long tons
• Crew/air wing: roughly 4,500 combined
• EMALS catapults and Advanced Arresting Gear</x:v>
      </x:c>
      <x:c r="E942" s="32" t="str">
        <x:v>• Carrier strike; sustained aviation operations; nuclear-powered sea basing.
• U.S. Navy nuclear supercarrier
• Higher sortie-generation design than Nimitz class
• Dual-band/advanced radar architecture
• Newport News Shipbuilding is sole U.S. nuclear aircraft-carrier designer/builder</x:v>
      </x:c>
      <x:c r="F942" s="38" t="str">
        <x:v>https://www.hii.com/products/gerald-r-ford-class
https://www.hii.com/news/hiis-newport-news-shipbuilding-completes-successful-builders-sea-trials-of-john-f-kennedy-cvn-79
https://www.navy.mil/Resources/Fact-Files/Display-FactFiles/Article/2169795/aircraft-carriers-cvn/</x:v>
      </x:c>
    </x:row>
    <x:row r="943" ht="210" customHeight="1">
      <x:c r="A943" s="37" t="str">
        <x:v>Huntington Ingalls Industries</x:v>
      </x:c>
      <x:c r="B943" s="32" t="str">
        <x:v>Marine/Naval</x:v>
      </x:c>
      <x:c r="C943" s="32" t="str">
        <x:v>Legend-class National Security Cutter</x:v>
      </x:c>
      <x:c r="D943" s="32" t="str">
        <x:v>• Length: 418 ft
• Beam: 54 ft
• Full-load displacement: ~4,500 t
• Top speed: 28 kt
• Range: ~12,000 miles
• Endurance: 60 days
• Crew: ~110–120</x:v>
      </x:c>
      <x:c r="E943" s="32" t="str">
        <x:v>• U.S. Coast Guard flagship cutter
• Aft RHIB launch/recovery
• Flight deck for manned/unmanned rotary-wing aircraft
• Homeland security, law enforcement and national defence</x:v>
      </x:c>
      <x:c r="F943" s="38" t="str">
        <x:v>https://www.hii.com/news/ingalls-shipbuilding-launches-national-security-cutter-munro</x:v>
      </x:c>
    </x:row>
    <x:row r="944" ht="210" customHeight="1">
      <x:c r="A944" s="37" t="str">
        <x:v>Huntington Ingalls Industries</x:v>
      </x:c>
      <x:c r="B944" s="32" t="str">
        <x:v>Marine/Naval</x:v>
      </x:c>
      <x:c r="C944" s="32" t="str">
        <x:v>REMUS 130 UUV</x:v>
      </x:c>
      <x:c r="D944" s="32" t="str">
        <x:v>• Diameter: Small-class UUV
• Depth rating: 100 m
• Endurance: up to 10 h
• Speed: up to 5 kt
• Portability: two-person
• Battery: field-swappable
• Sonar: 900/1800 kHz dual-frequency side-scan, up to 5 cm resolution and 160 m swath.
• Depth: 100 m
• Range: up to 55 km
• Speed: &gt;4 kt
• Battery: 1.5 kWh
• Standard sonar: 900/1800 kHz dual-frequency side-scan</x:v>
      </x:c>
      <x:c r="E944" s="32" t="str">
        <x:v>• Mine countermeasures; survey; search and recovery; modular payload integration.
• Open-architecture UUV
• Swappable sensors/payloads
• Mine countermeasures, hydrography, ISR and research missions</x:v>
      </x:c>
      <x:c r="F944" s="38" t="str">
        <x:v>https://www.hii.com/products/remus-130-uuvs
https://www.hii.com/products/remus-uuvs</x:v>
      </x:c>
    </x:row>
    <x:row r="945" ht="210" customHeight="1">
      <x:c r="A945" s="37" t="str">
        <x:v>Huntington Ingalls Industries</x:v>
      </x:c>
      <x:c r="B945" s="32" t="str">
        <x:v>Marine/Naval</x:v>
      </x:c>
      <x:c r="C945" s="32" t="str">
        <x:v>REMUS 300 UUV</x:v>
      </x:c>
      <x:c r="D945" s="32" t="str">
        <x:v>• Diameter: 19 cm standard
• Length: 2.39 m standard battery configuration
• Weight: 58.5 kg standard battery
• Endurance: 20 h standard battery / up to 30 h with 4.5 kWh battery
• Maximum range: 110 km standard / up to 165 km
• Depth rating: 305 m
• Speed: 0–4 kt
• Battery: 3.0 kWh standard, 1.5/4.5 kWh options
• Sonar: 900/1800 kHz, up to 5 cm resolution, up to 160 m swath
• DVL: 300 kHz, up to 200 m bottom lock.
• Depth: 305 m
• Endurance: up to 30 h
• Range: up to 165 km
• Speed: &gt;4 kt
• Battery: up to 4.5 kWh
• Removable 1 TB storage</x:v>
      </x:c>
      <x:c r="E945" s="32" t="str">
        <x:v>• Expeditionary UUV
• MCM; hydrography
• ISR; modular payload operations.
• Open-architecture UUV
• Swappable sensors/payloads
• Mine countermeasures, hydrography, ISR and research missions</x:v>
      </x:c>
      <x:c r="F945" s="38" t="str">
        <x:v>https://www.hii.com/products/remus-300-uuvs
https://hii.com/wp-content/uploads/2026/02/REMUS-300-data-sheet.pdf
https://www.hii.com/products/remus-uuvs</x:v>
      </x:c>
    </x:row>
    <x:row r="946" ht="210" customHeight="1">
      <x:c r="A946" s="37" t="str">
        <x:v>Huntington Ingalls Industries</x:v>
      </x:c>
      <x:c r="B946" s="32" t="str">
        <x:v>Marine/Naval</x:v>
      </x:c>
      <x:c r="C946" s="32" t="str">
        <x:v>REMUS 6000 UUV</x:v>
      </x:c>
      <x:c r="D946" s="32" t="str">
        <x:v>• Depth rating: 6,000 m
• Endurance: up to 25 h
• Speed: up to 4.2 kt
• Battery: up to 17.55 kWh
• Data storage: 2×8 TB swappable data bottles
• Size class: large UUV.
• Depth: 6,000 m
• Two 8 TB swappable data bottles</x:v>
      </x:c>
      <x:c r="E946" s="32" t="str">
        <x:v>• Deep-ocean survey, recovery and high-capacity payload missions.
• Open-architecture UUV
• Swappable sensors/payloads
• Mine countermeasures, hydrography, ISR and research missions</x:v>
      </x:c>
      <x:c r="F946" s="38" t="str">
        <x:v>https://www.hii.com/products/remus-6000-uuvs
https://www.hii.com/products/remus-uuvs</x:v>
      </x:c>
    </x:row>
    <x:row r="947" ht="210" customHeight="1">
      <x:c r="A947" s="37" t="str">
        <x:v>Huntington Ingalls Industries</x:v>
      </x:c>
      <x:c r="B947" s="32" t="str">
        <x:v>Marine/Naval</x:v>
      </x:c>
      <x:c r="C947" s="32" t="str">
        <x:v>REMUS 620 UUV</x:v>
      </x:c>
      <x:c r="D947" s="32" t="str">
        <x:v>• Depth rating: 600 m
• Endurance: up to 110 h
• Range: 275 nmi / ~509 km
• Speed: up to 8 kt
• Battery: up to 9.6 kWh
• Data storage: removable 8 TB
• Sonar: Kraken Aquapix interferometric SAS
• Real-time resolution: 3.0×3.3 cm
• Swath: up to 400 m with MINSAS-120.
• Depth: 600 m
• Range: up to 509 km / 275 nmi
• SAS swath up to 400 m with MINSAS-120</x:v>
      </x:c>
      <x:c r="E947" s="32" t="str">
        <x:v>• Long-range multi-day UUV
• MCM; hydrography
• ISR; electromagnetic warfare.
• Open-architecture UUV
• Swappable sensors/payloads
• Mine countermeasures, hydrography, ISR and research missions</x:v>
      </x:c>
      <x:c r="F947" s="38" t="str">
        <x:v>https://www.hii.com/products/remus-620-uuvs
https://www.hii.com/products/remus-uuvs</x:v>
      </x:c>
    </x:row>
    <x:row r="948" ht="210" customHeight="1">
      <x:c r="A948" s="37" t="str">
        <x:v>Huntington Ingalls Industries</x:v>
      </x:c>
      <x:c r="B948" s="32" t="str">
        <x:v>Marine/Naval</x:v>
      </x:c>
      <x:c r="C948" s="32" t="str">
        <x:v>ROMULUS family USV</x:v>
      </x:c>
      <x:c r="D948" s="32" t="str">
        <x:v>• Type: Unmanned surface vessel family
• Hull size and payload: variant dependent
• Propulsion: diesel/electric architecture depending variant
• Endurance, speed and payload: configuration dependent.</x:v>
      </x:c>
      <x:c r="E948" s="32" t="str">
        <x:v>• Autonomous surface operations; distributed maritime sensing and mission payload hosting.</x:v>
      </x:c>
      <x:c r="F948" s="38" t="str">
        <x:v>https://www.hii.com/products</x:v>
      </x:c>
    </x:row>
    <x:row r="949" ht="210" customHeight="1">
      <x:c r="A949" s="37" t="str">
        <x:v>Huntington Ingalls Industries</x:v>
      </x:c>
      <x:c r="B949" s="32" t="str">
        <x:v>Marine/Naval</x:v>
      </x:c>
      <x:c r="C949" s="32" t="str">
        <x:v>San Antonio-class LPD Flight II</x:v>
      </x:c>
      <x:c r="D949" s="32" t="str">
        <x:v>• Length: 684 ft (208.5 m)
• Beam: 105 ft (32 m)
• Speed: &gt;22 kt
• Main propulsion: 4 diesel engines
• Armament: 2×30 mm Bushmaster II, 2 RAM launchers
• Amphibious craft: 2 LCAC + 1 LCU
• AAV capacity: 14
• Aviation: helicopter/tilt-rotor operations
• Personnel/vehicle capacity: configuration dependent.
• Length: ~684 ft / 208.5 m
• Displacement: ~25,000 t full load
• Speed: 22+ kt
• Crew: ~380
• Embarked Marines: ~700
• Well deck + flight deck/hangar</x:v>
      </x:c>
      <x:c r="E949" s="32" t="str">
        <x:v>• Amphibious transport dock
• Marine force projection; sea control; humanitarian assistance.
• Moves Marines, vehicles, landing craft and aircraft
• Flight II construction ongoing at Ingalls</x:v>
      </x:c>
      <x:c r="F949" s="38" t="str">
        <x:v>https://www.hii.com/products/san-antonio-class
https://www.hii.com/news/hiis-ingalls-shipbuilding-authenticates-keel-of-philadelphia-lpd-32
https://www.navy.mil/Resources/Fact-Files/Display-FactFiles/Article/2169835/amphibious-transport-dock-lpd/</x:v>
      </x:c>
    </x:row>
    <x:row r="950" ht="210" customHeight="1">
      <x:c r="A950" s="37" t="str">
        <x:v>Huntington Ingalls Industries</x:v>
      </x:c>
      <x:c r="B950" s="32" t="str">
        <x:v>Marine/Naval</x:v>
      </x:c>
      <x:c r="C950" s="32" t="str">
        <x:v>Virginia-class Attack Submarine</x:v>
      </x:c>
      <x:c r="D950" s="32" t="str">
        <x:v>• Type: Nuclear-powered attack submarine
• Length: ~377 ft (115 m)
• Beam: 34 ft (10.4 m)
• Displacement: ~7,800 t submerged
• Propulsion: nuclear reactor + steam turbine/electric drive
• Speed: 25+ kt class
• Armament: 12 VLS tubes on early blocks / Virginia Payload Module on later boats
• Torpedo tubes: 4×533 mm.
• Length: ~377 ft / 114.9 m early blocks
• Virginia Payload Module blocks are longer
• Submerged displacement: ~7,800 t early blocks
• Crew: ~132
• Weapons: 533 mm torpedo tubes
• Tomahawk/VLS/VPM depending block</x:v>
      </x:c>
      <x:c r="E950" s="32" t="str">
        <x:v>• Attack submarine
• ISR; special operations; strike
• ASW/ASuW.
• Fast-attack SSN for ASW, ASuW, strike, ISR and special operations
• HII Newport News co-builds with General Dynamics Electric Boat</x:v>
      </x:c>
      <x:c r="F950" s="38" t="str">
        <x:v>https://www.hii.com/products/virginia-class
https://www.hii.com/news/hii-is-awarded-contracts-for-construction-of-block-vi-virginia-class-and-build-ii-columbia-class-submarines
https://www.navy.mil/Resources/Fact-Files/Display-FactFiles/Article/2169558/attack-submarines-ssn/</x:v>
      </x:c>
    </x:row>
    <x:row r="951" ht="210" customHeight="1">
      <x:c r="A951" s="37" t="str">
        <x:v>Huntington Ingalls Industries</x:v>
      </x:c>
      <x:c r="B951" s="32" t="str">
        <x:v>Marine/Naval</x:v>
      </x:c>
      <x:c r="C951" s="32" t="str">
        <x:v>Zumwalt-class DDG-1000</x:v>
      </x:c>
      <x:c r="D951" s="32" t="str">
        <x:v>• Length: 610 ft (185.9 m)
• Beam: 80 ft (24.4 m)
• Displacement: ~15,000 t
• Propulsion: integrated electric power system
• Main machinery: gas-turbine generators + electric drive
• Crew: ~175–200 class
• VLS: 80 peripheral cells
• Main gun: 155 mm Advanced Gun System (original fit; current configuration evolving).</x:v>
      </x:c>
      <x:c r="E951" s="32" t="str">
        <x:v>• Low-observable multi-mission destroyer; surface strike; land attack; undersea/aviation mission support.</x:v>
      </x:c>
      <x:c r="F951" s="38" t="str">
        <x:v>https://www.hii.com/products/zumwalt-class</x:v>
      </x:c>
    </x:row>
    <x:row r="952" ht="210" customHeight="1">
      <x:c r="A952" s="37" t="str">
        <x:v>Babcock</x:v>
      </x:c>
      <x:c r="B952" s="32" t="str">
        <x:v>Artillery</x:v>
      </x:c>
      <x:c r="C952" s="32" t="str">
        <x:v>120 mm Ground Deployed Advanced Mortar System (GDAMS)</x:v>
      </x:c>
      <x:c r="D952" s="32" t="str">
        <x:v>• Calibre: 120 mm smoothbore
• Crew: 2
• Deploy/stow time: ~15 sec
• Extended range: up to 9 km
• Compatible ammunition: HE, illumination, IR illumination and smoke</x:v>
      </x:c>
      <x:c r="E952" s="32" t="str">
        <x:v>• Vehicle-agnostic hinged mortar
• Jackal/Coyote/Foxhound integration
• Digital fire control
• Manual/electronic/smart fuzes
• Blast diffuser</x:v>
      </x:c>
      <x:c r="F952" s="38" t="str">
        <x:v>https://www.babcockinternational.com/what-we-do/product/design-develop-and-manufacture/ground-deployed-advanced-mortar-system/
https://www.babcockinternational.com/news/babcock-and-st-engineering-launch-uk-manufactured-120mm-mortar-to-strengthen-uk-defence-capabilities/</x:v>
      </x:c>
    </x:row>
    <x:row r="953" ht="210" customHeight="1">
      <x:c r="A953" s="37" t="str">
        <x:v>Babcock</x:v>
      </x:c>
      <x:c r="B953" s="32" t="str">
        <x:v>Protected Vehicles</x:v>
      </x:c>
      <x:c r="C953" s="32" t="str">
        <x:v>General Logistics Vehicle (GLV)</x:v>
      </x:c>
      <x:c r="D953" s="32" t="str">
        <x:v>• Medium-wheelbase military logistics vehicle concept
• Exact final GVW/payload configuration depends on customer selection</x:v>
      </x:c>
      <x:c r="E953" s="32" t="str">
        <x:v>• UK/international logistics vehicle offering
• Designed for maintainability and military fleet support</x:v>
      </x:c>
      <x:c r="F953" s="38" t="str">
        <x:v>https://www.babcockinternational.com/what-we-do/product/design-develop-and-manufacture/
https://www.babcockinternational.com/wp-content/uploads/2024/11/Babcock-HY25-half-year-results-statement-13.11.24.pdf</x:v>
      </x:c>
    </x:row>
    <x:row r="954" ht="210" customHeight="1">
      <x:c r="A954" s="37" t="str">
        <x:v>Babcock</x:v>
      </x:c>
      <x:c r="B954" s="32" t="str">
        <x:v>Protected Vehicles</x:v>
      </x:c>
      <x:c r="C954" s="32" t="str">
        <x:v>Jackal 3 / HMT High Mobility Transporter Programme</x:v>
      </x:c>
      <x:c r="D954" s="32" t="str">
        <x:v>• 4×4 Jackal 3 and 6×6 Extenda programme configurations
• Detailed vehicle dimensions/power are Supacat-platform dependent and not restated by Babcock on current product pages</x:v>
      </x:c>
      <x:c r="E954" s="32" t="str">
        <x:v>• Babcock assembly/integration programme for British Army
• High-mobility reconnaissance/strike platform
• Extenda 6×6 variant contracted</x:v>
      </x:c>
      <x:c r="F954" s="38" t="str">
        <x:v>https://www.babcockinternational.com/what-we-do/product/design-develop-and-manufacture/
https://www.babcockinternational.com/wp-content/uploads/2024/11/Babcock-HY25-half-year-results-statement-13.11.24.pdf</x:v>
      </x:c>
    </x:row>
    <x:row r="955" ht="210" customHeight="1">
      <x:c r="A955" s="37" t="str">
        <x:v>Babcock</x:v>
      </x:c>
      <x:c r="B955" s="32" t="str">
        <x:v>Marine/Naval</x:v>
      </x:c>
      <x:c r="C955" s="32" t="str">
        <x:v>Arrowhead 120 Frigate</x:v>
      </x:c>
      <x:c r="D955" s="32" t="str">
        <x:v>• Length: 124 m
• Displacement: 4,650 t
• Steel hull with lightweight composite superstructure
• DNV Ice Class 1C
• Winterisation to -25°C</x:v>
      </x:c>
      <x:c r="E955" s="32" t="str">
        <x:v>• Multi-mission frigate optimized for Baltic/Arctic conditions
• Open architecture and modular mission fit</x:v>
      </x:c>
      <x:c r="F955" s="38" t="str">
        <x:v>https://www.babcockinternational.com/what-we-do/product/design-develop-and-manufacture/the-arrowhead-family/arrowhead-120/</x:v>
      </x:c>
    </x:row>
    <x:row r="956" ht="210" customHeight="1">
      <x:c r="A956" s="37" t="str">
        <x:v>Babcock</x:v>
      </x:c>
      <x:c r="B956" s="32" t="str">
        <x:v>Marine/Naval</x:v>
      </x:c>
      <x:c r="C956" s="32" t="str">
        <x:v>Arrowhead 140 Frigate</x:v>
      </x:c>
      <x:c r="D956" s="32" t="str">
        <x:v>• Length: ~138 m class
• Beam: ~19.8 m class
• Full-load displacement: ~6,000 t class
• Speed: 26+ kt class
• Range: ~7,000 nmi class
• Crew: ~100–125 core crew depending fit
• Aviation: helicopter hangar/deck
• Mission bays: configuration dependent.
• Length: ~139 m Type 31 baseline
• Displacement: ~5,700 t Type 31 baseline
• Open modular frigate design derived from proven Danish hull philosophy</x:v>
      </x:c>
      <x:c r="E956" s="32" t="str">
        <x:v>• Modular export frigate; anti-surface, maritime security, ISR and task-group missions.
• Export-ready multi-mission frigate
• Anti-surface, task-group, maritime security, ISR and HADR mission fits
• Selected by UK, Poland and Indonesia programmes</x:v>
      </x:c>
      <x:c r="F956" s="38" t="str">
        <x:v>https://www.babcockinternational.com/what-we-do/product/design-develop-and-manufacture/the-arrowhead-family/arrowhead-140/
https://www.babcockinternational.com/news/hms-venturer-ventures-forth-as-the-first-type-31-frigate-makes-its-debut/</x:v>
      </x:c>
    </x:row>
    <x:row r="957" ht="210" customHeight="1">
      <x:c r="A957" s="37" t="str">
        <x:v>Babcock</x:v>
      </x:c>
      <x:c r="B957" s="32" t="str">
        <x:v>Marine/Naval</x:v>
      </x:c>
      <x:c r="C957" s="32" t="str">
        <x:v>Type 31 Inspiration-class Frigate</x:v>
      </x:c>
      <x:c r="D957" s="32" t="str">
        <x:v>• Length: ~138 m
• Beam: ~19.75 m
• Displacement: ~5,700 t full load class
• Speed: ~26 kt
• Range: ~7,000 nmi class
• Crew: ~157 class
• Main gun: 57 mm Bofors Mk3
• Secondary guns: 40 mm class
• VLS: 32-cell Sea Ceptor
• Aviation: Merlin/Wildcat-class helicopter capability.
• Length: 139 m
• Displacement: ~5,700 t
• Five-ship Royal Navy programme</x:v>
      </x:c>
      <x:c r="E957" s="32" t="str">
        <x:v>• General-purpose frigate; maritime security; escort; task-group operations.
• General-purpose frigate based on Arrowhead 140
• Modular/digital shipbuilding architecture
• Royal Navy programme assembled at Rosyth</x:v>
      </x:c>
      <x:c r="F957" s="38" t="str">
        <x:v>https://www.babcockinternational.com/what-we-do/product/design-develop-and-manufacture/type-31/
https://www.babcockinternational.com/news/hms-venturer-ventures-forth-as-the-first-type-31-frigate-makes-its-debut/</x:v>
      </x:c>
    </x:row>
    <x:row r="958" ht="210" customHeight="1">
      <x:c r="A958" s="37" t="str">
        <x:v>Diehl Defence</x:v>
      </x:c>
      <x:c r="B958" s="32" t="str">
        <x:v>Ammunition</x:v>
      </x:c>
      <x:c r="C958" s="32" t="str">
        <x:v>120 mm Tank Ammunition Portfolio</x:v>
      </x:c>
      <x:c r="D958" s="32" t="str">
        <x:v>• Calibre: 120 mm
• Kinetic / multipurpose tank-ammunition expertise; model-level data vary by round</x:v>
      </x:c>
      <x:c r="E958" s="32" t="str">
        <x:v>• Main-battle-tank ammunition capability</x:v>
      </x:c>
      <x:c r="F958" s="38" t="str">
        <x:v>https://new.diehl.com/defence/en/
https://new.diehl.com/defence/en/company/facts-and-figures</x:v>
      </x:c>
    </x:row>
    <x:row r="959" ht="210" customHeight="1">
      <x:c r="A959" s="37" t="str">
        <x:v>Diehl Defence</x:v>
      </x:c>
      <x:c r="B959" s="32" t="str">
        <x:v>Ammunition</x:v>
      </x:c>
      <x:c r="C959" s="32" t="str">
        <x:v>155 mm Artillery Ammunition Portfolio</x:v>
      </x:c>
      <x:c r="D959" s="32" t="str">
        <x:v>• Calibre: 155 mm
• HE / extended-range / insensitive-munition and fuze/propellant solutions depend on variant</x:v>
      </x:c>
      <x:c r="E959" s="32" t="str">
        <x:v>• Large-calibre artillery ammunition and energetic-system capability
• Model-level public figures limited on current English site</x:v>
      </x:c>
      <x:c r="F959" s="38" t="str">
        <x:v>https://new.diehl.com/defence/en/
https://new.diehl.com/defence/en/company/facts-and-figures</x:v>
      </x:c>
    </x:row>
    <x:row r="960" ht="210" customHeight="1">
      <x:c r="A960" s="37" t="str">
        <x:v>Diehl Defence</x:v>
      </x:c>
      <x:c r="B960" s="32" t="str">
        <x:v>Ammunition</x:v>
      </x:c>
      <x:c r="C960" s="32" t="str">
        <x:v>2DGMArt 155 guidance module</x:v>
      </x:c>
      <x:c r="D960" s="32" t="str">
        <x:v>• Calibre: 155 mm
• Guidance: 2D guidance module
• Maximum range: up to 40 km
• Accuracy: improved over unguided projectile
• Integration: artillery projectile dependent.</x:v>
      </x:c>
      <x:c r="E960" s="32" t="str">
        <x:v>• Adds guidance and extended range to compatible artillery ammunition.</x:v>
      </x:c>
      <x:c r="F960" s="38" t="str">
        <x:v>https://www.diehl.com/cms/files/Diehl_Broschuere_Defence_EN_q.pdf</x:v>
      </x:c>
    </x:row>
    <x:row r="961" ht="210" customHeight="1">
      <x:c r="A961" s="37" t="str">
        <x:v>Diehl Defence</x:v>
      </x:c>
      <x:c r="B961" s="32" t="str">
        <x:v>Ammunition</x:v>
      </x:c>
      <x:c r="C961" s="32" t="str">
        <x:v>SMArt 155</x:v>
      </x:c>
      <x:c r="D961" s="32" t="str">
        <x:v>• Calibre: 155 mm
• Projectile type: sensor-fuzed artillery projectile
• Payload: 2 submunitions
• Sensors: 3 sensor types cited by Diehl
• EFP penetration: up to 15 cm armored steel
• Guidance: sensor-based terminal target detection
• Range: gun/ammunition combination dependent.</x:v>
      </x:c>
      <x:c r="E961" s="32" t="str">
        <x:v>• Top-attack anti-armour artillery; autonomous target detection.</x:v>
      </x:c>
      <x:c r="F961" s="38" t="str">
        <x:v>https://www.diehl.com/cms/files/Diehl_Broschuere_Defence_EN_q.pdf</x:v>
      </x:c>
    </x:row>
    <x:row r="962" ht="210" customHeight="1">
      <x:c r="A962" s="37" t="str">
        <x:v>Diehl Defence</x:v>
      </x:c>
      <x:c r="B962" s="32" t="str">
        <x:v>Ammunition</x:v>
      </x:c>
      <x:c r="C962" s="32" t="str">
        <x:v>VULCANO 155 GLR</x:v>
      </x:c>
      <x:c r="D962" s="32" t="str">
        <x:v>• Calibre: 155 mm
• Projectile type: sub-calibre guided artillery ammunition
• Guidance: GNSS mid-course + terminal seeker for SAL version
• SAL range: up to 70 km
• Accuracy: &lt;3 m for SAL version
• Variants: BER, GLR, SAL.</x:v>
      </x:c>
      <x:c r="E962" s="32" t="str">
        <x:v>• Extended-range precision artillery; moving-target engagement with SAL variant.</x:v>
      </x:c>
      <x:c r="F962" s="38" t="str">
        <x:v>https://www.diehl.com/cms/files/Diehl_Broschuere_Defence_EN_q.pdf</x:v>
      </x:c>
    </x:row>
    <x:row r="963" ht="210" customHeight="1">
      <x:c r="A963" s="37" t="str">
        <x:v>Diehl Defence</x:v>
      </x:c>
      <x:c r="B963" s="32" t="str">
        <x:v>Missiles</x:v>
      </x:c>
      <x:c r="C963" s="32" t="str">
        <x:v>CICADA eMissile</x:v>
      </x:c>
      <x:c r="D963" s="32" t="str">
        <x:v>• Electrically propelled counter-UAS missile
• Lethal fragmentation-warhead or non-lethal safety-net configuration
• Ground-sensor pre-cue, datalink guidance and onboard endgame seeker</x:v>
      </x:c>
      <x:c r="E963" s="32" t="str">
        <x:v>• Low-cost drone/swarms defence
• Heart of SKY SPHERE modular C-UAS system</x:v>
      </x:c>
      <x:c r="F963" s="38" t="str">
        <x:v>https://new.diehl.com/defence/en/products/drone-defence-counter-uas</x:v>
      </x:c>
    </x:row>
    <x:row r="964" ht="210" customHeight="1">
      <x:c r="A964" s="37" t="str">
        <x:v>Diehl Defence</x:v>
      </x:c>
      <x:c r="B964" s="32" t="str">
        <x:v>Missiles</x:v>
      </x:c>
      <x:c r="C964" s="32" t="str">
        <x:v>IDAS Submarine-Launched Missile</x:v>
      </x:c>
      <x:c r="D964" s="32" t="str">
        <x:v>• Type: submarine-launched multi-purpose missile
• Launch platform: submerged submarine
• Guidance: electro-optical/IR terminal seeker architecture
• Diameter, mass, range and warhead: not consistently disclosed in current public Diehl data.
• Submarine-launched guided missile
• Launched from torpedo tube
• Fibre-optic data link / imaging infrared seeker architecture</x:v>
      </x:c>
      <x:c r="E964" s="32" t="str">
        <x:v>• Submarine self-defence and engagement of air/surface/land targets.
• Engages helicopters, ships and land targets from submerged submarine
• Man-in-the-loop target update</x:v>
      </x:c>
      <x:c r="F964" s="38" t="str">
        <x:v>https://new.diehl.com/defence/en/products/guided-missiles/</x:v>
      </x:c>
    </x:row>
    <x:row r="965" ht="210" customHeight="1">
      <x:c r="A965" s="37" t="str">
        <x:v>Diehl Defence</x:v>
      </x:c>
      <x:c r="B965" s="32" t="str">
        <x:v>Missiles</x:v>
      </x:c>
      <x:c r="C965" s="32" t="str">
        <x:v>IRIS-T Air-to-Air Missile</x:v>
      </x:c>
      <x:c r="D965" s="32" t="str">
        <x:v>• Type: short-range air-to-air missile
• Length: ~2.94 m
• Diameter: ~127 mm
• Launch weight: ~87 kg
• Propulsion: smokeless solid-propellant rocket motor
• Guidance: imaging infrared seeker + inertial/command updates
• Control: thrust-vectoring + aerodynamic control
• Speed: Mach 3 class
• Range: variant/launch profile dependent.
• Short-range air-to-air missile
• Imaging infrared seeker
• Thrust-vector + aerodynamic control
• High off-boresight / rear-hemisphere engagement capability</x:v>
      </x:c>
      <x:c r="E965" s="32" t="str">
        <x:v>• High-agility short-range AAM; high off-boresight; terminal imaging-IR guidance.
• Standard weapon on Eurofighter and other European fighters
• Very high agility
• Jamming-resistant imaging seeker</x:v>
      </x:c>
      <x:c r="F965" s="38" t="str">
        <x:v>https://new.diehl.com/defence/en/render-tab-content/2511
https://new.diehl.com/defence/en/products/guided-missiles/
https://new.diehl.com/defence/en/press-media/news/diehl-defence-and-hellenic-defence-systems-renew-partnership-on-iris-t</x:v>
      </x:c>
    </x:row>
    <x:row r="966" ht="210" customHeight="1">
      <x:c r="A966" s="37" t="str">
        <x:v>Diehl Defence</x:v>
      </x:c>
      <x:c r="B966" s="32" t="str">
        <x:v>Missiles</x:v>
      </x:c>
      <x:c r="C966" s="32" t="str">
        <x:v>IRIS-T SLM</x:v>
      </x:c>
      <x:c r="D966" s="32" t="str">
        <x:v>• Type: ground-based medium-range air-defence interceptor
• Effective intercept range: up to 40 km (current Diehl system page)
• Altitude coverage: up to 20 km
• Seeker: imaging IR
• Propulsion: adapted IRIS-T propulsion
• Launch: vertical
• Guidance: uplink + imaging-IR terminal guidance.
• Interceptor range: 40 km official interceptor page
• 2026 system marketing references up to 60 km effective system range
• Altitude coverage: 20 km
• Imaging IR seeker
• Launcher/radar/tactical operations centre architecture</x:v>
      </x:c>
      <x:c r="E966" s="32" t="str">
        <x:v>• Mobile MRAD
• 360° defence; multi-target engagement.
• Combat-proven medium-range GBAD
• 360° defence against aircraft, cruise missiles and drones
• Low manpower and rapid deployment</x:v>
      </x:c>
      <x:c r="F966" s="38" t="str">
        <x:v>https://new.diehl.com/defence/en/render-tab-content/2526
https://new.diehl.com/defence/en/products/drone-defence-counter-uas
https://new.diehl.com/defence/en/press-media/news/contracts-for-iris-t-guided-missiles-signed-with-baainbw</x:v>
      </x:c>
    </x:row>
    <x:row r="967" ht="210" customHeight="1">
      <x:c r="A967" s="37" t="str">
        <x:v>Diehl Defence</x:v>
      </x:c>
      <x:c r="B967" s="32" t="str">
        <x:v>Missiles</x:v>
      </x:c>
      <x:c r="C967" s="32" t="str">
        <x:v>IRIS-T SLS</x:v>
      </x:c>
      <x:c r="D967" s="32" t="str">
        <x:v>• Effective intercept range: up to 12 km
• Altitude coverage: up to 6 km
• Launcher load: 2–4 quad-packs, up to 4 missiles per pack
• Launcher architecture: vehicle-independent 15-ft ISO frame
• Seeker: imaging IR
• Guidance: uplink + terminal imaging IR.</x:v>
      </x:c>
      <x:c r="E967" s="32" t="str">
        <x:v>• SHORAD; mobile point defence
• 360° coverage.</x:v>
      </x:c>
      <x:c r="F967" s="38" t="str">
        <x:v>https://new.diehl.com/defence/en/render-tab-content/31766</x:v>
      </x:c>
    </x:row>
    <x:row r="968" ht="210" customHeight="1">
      <x:c r="A968" s="37" t="str">
        <x:v>Diehl Defence</x:v>
      </x:c>
      <x:c r="B968" s="32" t="str">
        <x:v>Missiles</x:v>
      </x:c>
      <x:c r="C968" s="32" t="str">
        <x:v>IRIS-T SLS MK4</x:v>
      </x:c>
      <x:c r="D968" s="32" t="str">
        <x:v>• Effective range: 12 km
• Altitude coverage: 6 km
• Missile payload: 8 missiles
• Architecture: radar + C2 + launcher on one vehicle
• Carrier interface: vehicle-independent
• Missile: IRIS-T standard air-to-air hardware.
• Launcher payload: 8 missiles
• All-in-one vehicle integrates radar, C2 and launcher</x:v>
      </x:c>
      <x:c r="E968" s="32" t="str">
        <x:v>• All-in-one mobile SHORAD; future fire-on-the-move capability.
• Very-short/short-range mobile air defence
• High automation
• 360° engagement</x:v>
      </x:c>
      <x:c r="F968" s="38" t="str">
        <x:v>https://new.diehl.com/defence/en/render-tab-content/31902
https://new.diehl.com/defence/en/press-media/news/diehl-defence-presents-all-in-one-solution-for-air-defence-iris-t-sls-mk4</x:v>
      </x:c>
    </x:row>
    <x:row r="969" ht="210" customHeight="1">
      <x:c r="A969" s="37" t="str">
        <x:v>Diehl Defence</x:v>
      </x:c>
      <x:c r="B969" s="32" t="str">
        <x:v>Missiles</x:v>
      </x:c>
      <x:c r="C969" s="32" t="str">
        <x:v>IRIS-T SLX</x:v>
      </x:c>
      <x:c r="D969" s="32" t="str">
        <x:v>• Type: long-range ground-based air-defence system/interceptor
• Range and altitude: under development / not publicly finalized
• Seeker and propulsion: derived from IRIS-T SL family with new long-range architecture
• Detailed dimensions and mass: not publicly disclosed.
• Effective intercept range: up to 80 km
• Altitude coverage: &gt;25 km
• Launcher: up to 8 missiles
• Launcher on 20-ft ISO frame; deployable up to 20 km from CTOC
• Imaging IR seeker; near-smokeless propulsion</x:v>
      </x:c>
      <x:c r="E969" s="32" t="str">
        <x:v>• Long-range complement to IRIS-T SLM.
• Long-range extension of IRIS-T family
• Compatible with existing SLM architecture
• Mixed SLM/SLX loadout concept
• ITAR-free</x:v>
      </x:c>
      <x:c r="F969" s="38" t="str">
        <x:v>https://new.diehl.com/defence/en/products/air-defence-systems/
https://www.reuters.com/business/aerospace-defense/diehl-defence-says-new-version-iris-t-system-could-reduce-need-patriot-missiles-2026-07-07/
https://new.diehl.com/defence/en/render-tab-content/31822</x:v>
      </x:c>
    </x:row>
    <x:row r="970" ht="210" customHeight="1">
      <x:c r="A970" s="37" t="str">
        <x:v>Diehl Defence</x:v>
      </x:c>
      <x:c r="B970" s="32" t="str">
        <x:v>Missiles</x:v>
      </x:c>
      <x:c r="C970" s="32" t="str">
        <x:v>PARS 3 LR</x:v>
      </x:c>
      <x:c r="D970" s="32" t="str">
        <x:v>• Type: helicopter-launched anti-armour missile
• Guidance: imaging IR fire-and-forget
• Launch weight: ~49 kg class
• Length: ~1.6 m class
• Diameter: ~159 mm class
• Range: up to 7 km class
• Warhead: tandem HEAT
• Propulsion: solid rocket motor.
• Long-range helicopter-launched anti-tank guided missile
• Fire-and-forget imaging-infrared seeker
• Tandem shaped-charge warhead</x:v>
      </x:c>
      <x:c r="E970" s="32" t="str">
        <x:v>• Top-attack/direct-attack anti-armour; rapid salvo engagement.
• High-priority armoured target engagement
• Salvo capability from Tiger helicopter</x:v>
      </x:c>
      <x:c r="F970" s="38" t="str">
        <x:v>https://new.diehl.com/defence/en/products/guided-missiles/</x:v>
      </x:c>
    </x:row>
    <x:row r="971" ht="210" customHeight="1">
      <x:c r="A971" s="37" t="str">
        <x:v>AeroVironment</x:v>
      </x:c>
      <x:c r="B971" s="32" t="str">
        <x:v>UAVs/Drones</x:v>
      </x:c>
      <x:c r="C971" s="32" t="str">
        <x:v>Blackwing</x:v>
      </x:c>
      <x:c r="D971" s="32" t="str">
        <x:v>• Type: loitering reconnaissance system
• Launch: submarine underwater-to-air canister, shipboard tube, or mobile ground launcher
• Airframe: Switchblade-derived
• Payload: ISR sensor
• Endurance/range: configuration dependent.
• Submarine-launched UAS derived from Switchblade 300
• Legacy SEC disclosure: ~4 lb class; operational range/endurance not publicly disclosed</x:v>
      </x:c>
      <x:c r="E971" s="32" t="str">
        <x:v>• Undersea-launched airborne reconnaissance; ship/ground reconnaissance.
• Underwater-to-surface delivery canister
• Maritime ISR / communications relay rather than warhead-carrying strike</x:v>
      </x:c>
      <x:c r="F971" s="38" t="str">
        <x:v>https://www.avinc.com/images/uploads/media_assets/Corporate_Fact_Sheet.pdf
https://investor.avinc.com/node/17816/html</x:v>
      </x:c>
    </x:row>
    <x:row r="972" ht="210" customHeight="1">
      <x:c r="A972" s="37" t="str">
        <x:v>AeroVironment</x:v>
      </x:c>
      <x:c r="B972" s="32" t="str">
        <x:v>UAVs/Drones</x:v>
      </x:c>
      <x:c r="C972" s="32" t="str">
        <x:v>JUMP 20</x:v>
      </x:c>
      <x:c r="D972" s="32" t="str">
        <x:v>• MTOW: 97.5 kg
• Payload capacity: 13.6 kg
• Endurance: 13+ h
• Operational range: 185 km
• Wingspan: 5.7 m
• Length: 2.8 m
• Operational altitude: 17,000 ft
• Launch/recovery: VTOL
• Deployment time: &lt;30 min.
• Payload: 13.6 kg</x:v>
      </x:c>
      <x:c r="E972" s="32" t="str">
        <x:v>• Runway-independent Group 3 ISR; multi-sensor payload carriage.
• Group 3 fixed-wing VTOL
• Runway-independent
• Autonomous launch/recovery
• Multi-sensor ISR</x:v>
      </x:c>
      <x:c r="F972" s="38" t="str">
        <x:v>https://www.avinc.com/solution/jump-20/
https://investor.avinc.com/news-releases/news-release-details/avs-jump-20-selected-danish-defence-acquisition-and-logistics</x:v>
      </x:c>
    </x:row>
    <x:row r="973" ht="210" customHeight="1">
      <x:c r="A973" s="37" t="str">
        <x:v>AeroVironment</x:v>
      </x:c>
      <x:c r="B973" s="32" t="str">
        <x:v>UAVs/Drones</x:v>
      </x:c>
      <x:c r="C973" s="32" t="str">
        <x:v>JUMP 20-X</x:v>
      </x:c>
      <x:c r="D973" s="32" t="str">
        <x:v>• Endurance: 13+ h
• Range: 185 km + BLOS capability
• Payload: 13.6 kg
• Wingspan: 5.7 m
• Length: 2.8 m
• MTOW: 97.5 kg</x:v>
      </x:c>
      <x:c r="E973" s="32" t="str">
        <x:v>• AI-enhanced navigation/autonomy
• BLOS connectivity
• Runway-independent VTOL</x:v>
      </x:c>
      <x:c r="F973" s="38" t="str">
        <x:v>https://www.avinc.com/solution/jump-20-x/</x:v>
      </x:c>
    </x:row>
    <x:row r="974" ht="210" customHeight="1">
      <x:c r="A974" s="37" t="str">
        <x:v>AeroVironment</x:v>
      </x:c>
      <x:c r="B974" s="32" t="str">
        <x:v>UAVs/Drones</x:v>
      </x:c>
      <x:c r="C974" s="32" t="str">
        <x:v>P550</x:v>
      </x:c>
      <x:c r="D974" s="32" t="str">
        <x:v>• Gross take-off weight: 24.9 kg
• Payload capacity: 6.8 kg
• Endurance: 5+ h
• Link range: 40–60 km depending GCS radio
• Dimensions: 5.2×2.8×0.6 m
• Pack-out dimensions: 1.8×0.6×0.6 m
• Propulsion: all-battery eVTOL.</x:v>
      </x:c>
      <x:c r="E974" s="32" t="str">
        <x:v>• Vertical takeoff/landing ISR; forward deployment without runway or launch gear.</x:v>
      </x:c>
      <x:c r="F974" s="38" t="str">
        <x:v>https://www.avinc.com/solution/p550/</x:v>
      </x:c>
    </x:row>
    <x:row r="975" ht="210" customHeight="1">
      <x:c r="A975" s="37" t="str">
        <x:v>AeroVironment</x:v>
      </x:c>
      <x:c r="B975" s="32" t="str">
        <x:v>UAVs/Drones</x:v>
      </x:c>
      <x:c r="C975" s="32" t="str">
        <x:v>Puma 3 AE</x:v>
      </x:c>
      <x:c r="D975" s="32" t="str">
        <x:v>• Small hand-launched tactical UAS
• Exact current range/endurance depend on latest datalink and battery configuration</x:v>
      </x:c>
      <x:c r="E975" s="32" t="str">
        <x:v>• All-environment tactical ISR
• Interoperable payloads / common GCS with Puma family</x:v>
      </x:c>
      <x:c r="F975" s="38" t="str">
        <x:v>https://www.avinc.com/solution/puma-3-ae/</x:v>
      </x:c>
    </x:row>
    <x:row r="976" ht="210" customHeight="1">
      <x:c r="A976" s="37" t="str">
        <x:v>AeroVironment</x:v>
      </x:c>
      <x:c r="B976" s="32" t="str">
        <x:v>UAVs/Drones</x:v>
      </x:c>
      <x:c r="C976" s="32" t="str">
        <x:v>Puma AE RQ-20B</x:v>
      </x:c>
      <x:c r="D976" s="32" t="str">
        <x:v>• Range: 20 km
• Endurance: 3+ h with LE battery
• Speed: 47–83 km/h (25–45 kt)
• Typical operating altitude: 500 ft AGL
• Wingspan: 2.8 m
• Length: 1.4 m
• Weight: 6.3 kg
• Launch: hand/optional rail
• Recovery: deep-stall
• Payload: gimballed EO/IR, 360° pan, +10° to −90° tilt.</x:v>
      </x:c>
      <x:c r="E976" s="32" t="str">
        <x:v>• Waterproof land/maritime small UAS; autonomous GPS navigation
• EO/IR ISR.</x:v>
      </x:c>
      <x:c r="F976" s="38" t="str">
        <x:v>https://www.avinc.com/images/uploads/product_docs/PumaAE_Datasheet_2017_Web_v1.1.pdf</x:v>
      </x:c>
    </x:row>
    <x:row r="977" ht="210" customHeight="1">
      <x:c r="A977" s="37" t="str">
        <x:v>AeroVironment</x:v>
      </x:c>
      <x:c r="B977" s="32" t="str">
        <x:v>UAVs/Drones</x:v>
      </x:c>
      <x:c r="C977" s="32" t="str">
        <x:v>Puma LE</x:v>
      </x:c>
      <x:c r="D977" s="32" t="str">
        <x:v>• Endurance: 6.5 h
• Range: 20 km standard / 40 km ERA / 60 km LRTA
• Wingspan: 4.6 m
• Length: 2.2 m
• Weight: 10.8 kg
• MGTOW 12.4 kg
• Payload: 2.5 kg</x:v>
      </x:c>
      <x:c r="E977" s="32" t="str">
        <x:v>• Hand or bungee launch
• Persistent tactical ISR
• Modular payload bay
• Visual-navigation upgrade available</x:v>
      </x:c>
      <x:c r="F977" s="38" t="str">
        <x:v>https://www.avinc.com/solution/puma-le/
https://investor.avinc.com/news-releases/news-release-details/aerovironment-expands-pumatm-visual-navigation-system-vns-kit</x:v>
      </x:c>
    </x:row>
    <x:row r="978" ht="210" customHeight="1">
      <x:c r="A978" s="37" t="str">
        <x:v>AeroVironment</x:v>
      </x:c>
      <x:c r="B978" s="32" t="str">
        <x:v>UAVs/Drones</x:v>
      </x:c>
      <x:c r="C978" s="32" t="str">
        <x:v>RQ-11B Raven</x:v>
      </x:c>
      <x:c r="D978" s="32" t="str">
        <x:v>• MTOW: ~1.9 kg class
• Wingspan: 1.4 m
• Endurance: ~60–90 min depending battery/variant
• Operational radius: ~10 km class
• Launch: hand
• Recovery: deep-stall
• Payload: EO/IR.
• Man-portable hand-launched fixed-wing UAS
• Legacy public weight ~1.9 kg / 4.2 lb
• Tactical short-range ISR</x:v>
      </x:c>
      <x:c r="E978" s="32" t="str">
        <x:v>• Man-portable small-unit ISR.
• One of the most widely fielded small UAS
• EO/IR
• Autonomous GPS waypoint flight</x:v>
      </x:c>
      <x:c r="F978" s="38" t="str">
        <x:v>https://www.avinc.com/solution/raven/
https://www.avinc.com/solution/raven-b/</x:v>
      </x:c>
    </x:row>
    <x:row r="979" ht="210" customHeight="1">
      <x:c r="A979" s="37" t="str">
        <x:v>AeroVironment</x:v>
      </x:c>
      <x:c r="B979" s="32" t="str">
        <x:v>UAVs/Drones</x:v>
      </x:c>
      <x:c r="C979" s="32" t="str">
        <x:v>Switchblade 300 Block 20</x:v>
      </x:c>
      <x:c r="D979" s="32" t="str">
        <x:v>• All-up round weight: 3.27 kg
• Munition weight: 1.68 kg
• Endurance: 20+ min
• Range: 30 km with extended-range antenna
• Loiter speed: 101 km/h
• Sprint speed: 161 km/h
• Sensors: high-resolution EO/IR
• Warhead options: fragmentation or EFP
• Launch: tube.
• All-up round: 3.27 kg
• Sprint: 161 km/h
• Operating altitude: &lt;500 ft AGL; supports operations &gt;15,000 ft ASL</x:v>
      </x:c>
      <x:c r="E979" s="32" t="str">
        <x:v>• Backpackable loitering munition; operator-controlled precision strike; wave-off/recommit.
• Backpackable precision loitering munition
• EO/IR
• Wave-off/recommit
• Selectable attack angles / point of detonation
• One-person &lt;2 min deployment</x:v>
      </x:c>
      <x:c r="F979" s="38" t="str">
        <x:v>https://www.avinc.com/solution/switchblade-300-block-20/
https://www.avinc.com/wp-content/uploads/2026/03/2025_Switchblade-300B20_Datasheet_250911_v07.pdf
https://www.avinc.com/images/uploads/product_docs/Switchblade_300_Block20_Datasheet_12_240617.pdf</x:v>
      </x:c>
    </x:row>
    <x:row r="980" ht="210" customHeight="1">
      <x:c r="A980" s="37" t="str">
        <x:v>AeroVironment</x:v>
      </x:c>
      <x:c r="B980" s="32" t="str">
        <x:v>UAVs/Drones</x:v>
      </x:c>
      <x:c r="C980" s="32" t="str">
        <x:v>Switchblade 600</x:v>
      </x:c>
      <x:c r="D980" s="32" t="str">
        <x:v>• AUR weight: 29.5 kg
• Endurance: 40+ min
• Range: 90+ km with forward pass
• Loiter speed: 113 km/h
• Sprint speed: 185 km/h
• Warhead: anti-armour
• Sensors: high-resolution EO/IR
• Launch: ground/vehicle/air systems.
• Munition weight: 15 kg
• All-up round: 29.5 kg
• Sprint: 185 km/h</x:v>
      </x:c>
      <x:c r="E980" s="32" t="str">
        <x:v>• Extended-range loitering munition for hardened targets.
• Anti-armour loitering munition
• High-resolution EO/IR
• Tube launch
• Wave-off/recommit</x:v>
      </x:c>
      <x:c r="F980" s="38" t="str">
        <x:v>https://www.avinc.com/solution/switchblade-600/</x:v>
      </x:c>
    </x:row>
    <x:row r="981" ht="210" customHeight="1">
      <x:c r="A981" s="37" t="str">
        <x:v>Anduril</x:v>
      </x:c>
      <x:c r="B981" s="32" t="str">
        <x:v>Marine/Naval</x:v>
      </x:c>
      <x:c r="C981" s="32" t="str">
        <x:v>Copperhead-100 AUV</x:v>
      </x:c>
      <x:c r="D981" s="32" t="str">
        <x:v>• Diameter: 12.75 in
• Max speed: &gt;30 kt
• Payload examples: sensing, communications, magnetometer, chemical detection
• Family context — Type: high-speed autonomous underwater vehicle family
• Family context — Propulsion: high-speed electric/advanced undersea propulsion
• Family context — Payload: mission dependent
• Family context — Speed, range, endurance and dimensions: not fully publicly disclosed.</x:v>
      </x:c>
      <x:c r="E981" s="32" t="str">
        <x:v>• High-speed software-defined AUV
• Launchable from XL-AUV, ASV or Group 4+ AAV
• Family context — Time-sensitive maritime missions and autonomous undersea effects delivery.</x:v>
      </x:c>
      <x:c r="F981" s="38" t="str">
        <x:v>https://www.anduril.com/copperhead
https://www.anduril.com/sea/seapower</x:v>
      </x:c>
    </x:row>
    <x:row r="982" ht="210" customHeight="1">
      <x:c r="A982" s="37" t="str">
        <x:v>Anduril</x:v>
      </x:c>
      <x:c r="B982" s="32" t="str">
        <x:v>Marine/Naval</x:v>
      </x:c>
      <x:c r="C982" s="32" t="str">
        <x:v>Copperhead-100M</x:v>
      </x:c>
      <x:c r="D982" s="32" t="str">
        <x:v>• Diameter: 12.75 in
• Max speed: &gt;30 kt
• Warhead: lightweight-class</x:v>
      </x:c>
      <x:c r="E982" s="32" t="str">
        <x:v>• Torpedo-like munition variant of Copperhead-100
• Designed for autonomous carrier platforms</x:v>
      </x:c>
      <x:c r="F982" s="38" t="str">
        <x:v>https://www.anduril.com/copperhead
https://www.anduril.com/news/anduril-unveils-copperhead-a-new-era-of-autonomous-undersea-dominance</x:v>
      </x:c>
    </x:row>
    <x:row r="983" ht="210" customHeight="1">
      <x:c r="A983" s="37" t="str">
        <x:v>Anduril</x:v>
      </x:c>
      <x:c r="B983" s="32" t="str">
        <x:v>Marine/Naval</x:v>
      </x:c>
      <x:c r="C983" s="32" t="str">
        <x:v>Copperhead-500 AUV</x:v>
      </x:c>
      <x:c r="D983" s="32" t="str">
        <x:v>• Diameter: 21 in
• Max speed: &gt;30 kt
• Example multi-payload: side-scan sonar + magnetometer</x:v>
      </x:c>
      <x:c r="E983" s="32" t="str">
        <x:v>• Larger high-speed autonomous underwater vehicle
• Launchable from XL-AUV, medium+ ASV or Group 5 AAV</x:v>
      </x:c>
      <x:c r="F983" s="38" t="str">
        <x:v>https://www.anduril.com/copperhead</x:v>
      </x:c>
    </x:row>
    <x:row r="984" ht="210" customHeight="1">
      <x:c r="A984" s="37" t="str">
        <x:v>Anduril</x:v>
      </x:c>
      <x:c r="B984" s="32" t="str">
        <x:v>Marine/Naval</x:v>
      </x:c>
      <x:c r="C984" s="32" t="str">
        <x:v>Copperhead-500M</x:v>
      </x:c>
      <x:c r="D984" s="32" t="str">
        <x:v>• 21-in class munition variant of Copperhead family
• High-speed autonomous underwater weapon; exact warhead/range not publicly disclosed</x:v>
      </x:c>
      <x:c r="E984" s="32" t="str">
        <x:v>• Torpedo-like autonomous maritime effect
• Dive-XL can carry multiple Copperhead-500M weapons</x:v>
      </x:c>
      <x:c r="F984" s="38" t="str">
        <x:v>https://www.anduril.com/news/anduril-unveils-copperhead-a-new-era-of-autonomous-undersea-dominance</x:v>
      </x:c>
    </x:row>
    <x:row r="985" ht="210" customHeight="1">
      <x:c r="A985" s="37" t="str">
        <x:v>Anduril</x:v>
      </x:c>
      <x:c r="B985" s="32" t="str">
        <x:v>Marine/Naval</x:v>
      </x:c>
      <x:c r="C985" s="32" t="str">
        <x:v>Dive-LD AUV</x:v>
      </x:c>
      <x:c r="D985" s="32" t="str">
        <x:v>• Type: large-diameter autonomous underwater vehicle
• Diameter/length: configuration dependent
• Propulsion: electric
• Payload: modular
• Range/endurance/depth: mission configuration dependent and not fully publicly disclosed.
• Length: ~5.8 m
• Diameter: ~1.2 m
• Max endurance: ~10 days
• Max depth: ~6,000 m
• Payload volume: &gt;1 m³
• Direct-drive electric propulsion</x:v>
      </x:c>
      <x:c r="E985" s="32" t="str">
        <x:v>• Long-range autonomous undersea operations; modular payload integration.
• Large-diameter autonomous underwater vehicle
• ISR, mine warfare, precision placement and survey
• Pier/vessel launch and recovery</x:v>
      </x:c>
      <x:c r="F985" s="38" t="str">
        <x:v>https://www.anduril.com/sea/seapower
https://www.anduril.com/dive-ld</x:v>
      </x:c>
    </x:row>
    <x:row r="986" ht="210" customHeight="1">
      <x:c r="A986" s="37" t="str">
        <x:v>Anduril</x:v>
      </x:c>
      <x:c r="B986" s="32" t="str">
        <x:v>Marine/Naval</x:v>
      </x:c>
      <x:c r="C986" s="32" t="str">
        <x:v>Dive-XL</x:v>
      </x:c>
      <x:c r="D986" s="32" t="str">
        <x:v>• Type: extra-large autonomous underwater vehicle
• Architecture: modular Dive-LD-derived
• Payload volume: expanded over Dive-LD
• Propulsion, range, endurance and dimensions: not fully publicly disclosed.</x:v>
      </x:c>
      <x:c r="E986" s="32" t="str">
        <x:v>• Scalable XL autonomous undersea platform.</x:v>
      </x:c>
      <x:c r="F986" s="38" t="str">
        <x:v>https://www.anduril.com/sea/seapower</x:v>
      </x:c>
    </x:row>
    <x:row r="987" ht="210" customHeight="1">
      <x:c r="A987" s="37" t="str">
        <x:v>Anduril</x:v>
      </x:c>
      <x:c r="B987" s="32" t="str">
        <x:v>Marine/Naval</x:v>
      </x:c>
      <x:c r="C987" s="32" t="str">
        <x:v>Seabed Sentry</x:v>
      </x:c>
      <x:c r="D987" s="32" t="str">
        <x:v>• Type: fixed/autonomous undersea sensor
• Sensor: AI-enabled underwater sensing
• Deployment: seabed
• Dimensions, power, acoustic range and depth rating: not publicly disclosed.</x:v>
      </x:c>
      <x:c r="E987" s="32" t="str">
        <x:v>• Persistent seabed awareness and undersea connectivity.</x:v>
      </x:c>
      <x:c r="F987" s="38" t="str">
        <x:v>https://www.anduril.com/sea/seapower</x:v>
      </x:c>
    </x:row>
    <x:row r="988" ht="210" customHeight="1">
      <x:c r="A988" s="37" t="str">
        <x:v>Anduril</x:v>
      </x:c>
      <x:c r="B988" s="32" t="str">
        <x:v>UAVs/Drones</x:v>
      </x:c>
      <x:c r="C988" s="32" t="str">
        <x:v>ALTIUS 600</x:v>
      </x:c>
      <x:c r="D988" s="32" t="str">
        <x:v>• Type: tube-launched Group 2 UAS/loitering munition family
• Launch: pneumatic/tube
• Payload capacity: configuration dependent
• Endurance/range: variant and mission dependent
• Airframe dimensions: public values vary by payload/configuration.
• Tube-launched modular autonomous air vehicle
• Exact current public range/endurance varies by payload and launch configuration</x:v>
      </x:c>
      <x:c r="E988" s="32" t="str">
        <x:v>• Long-range ISR and strike; modular payload architecture.
• ISR, RF decoy, SIGINT, comms relay and EW
• Air/ground/maritime launch
• Collaborative autonomy</x:v>
      </x:c>
      <x:c r="F988" s="38" t="str">
        <x:v>https://www.anduril.com/arsenal
https://www.anduril.com/news/anduril-demonstrates-lattice-for-mission-autonomy-controlling-teams-of-autonomous-assets-at-us</x:v>
      </x:c>
    </x:row>
    <x:row r="989" ht="210" customHeight="1">
      <x:c r="A989" s="37" t="str">
        <x:v>Anduril</x:v>
      </x:c>
      <x:c r="B989" s="32" t="str">
        <x:v>UAVs/Drones</x:v>
      </x:c>
      <x:c r="C989" s="32" t="str">
        <x:v>ALTIUS 600M</x:v>
      </x:c>
      <x:c r="D989" s="32" t="str">
        <x:v>• Loitering-munition variant of ALTIUS 600
• Multiple seeker and warhead options
• Air/ground/maritime launch</x:v>
      </x:c>
      <x:c r="E989" s="32" t="str">
        <x:v>• Autonomous coordinated strike
• Target recognition and teaming
• MOSA modular payload architecture</x:v>
      </x:c>
      <x:c r="F989" s="38" t="str">
        <x:v>https://www.anduril.com/news/anduril-announces-best-in-class-loitering-munition</x:v>
      </x:c>
    </x:row>
    <x:row r="990" ht="210" customHeight="1">
      <x:c r="A990" s="37" t="str">
        <x:v>Anduril</x:v>
      </x:c>
      <x:c r="B990" s="32" t="str">
        <x:v>UAVs/Drones</x:v>
      </x:c>
      <x:c r="C990" s="32" t="str">
        <x:v>ALTIUS 700M</x:v>
      </x:c>
      <x:c r="D990" s="32" t="str">
        <x:v>• Larger loitering munition
• Warhead capacity: up to 35 lb / ~15.9 kg
• Multiple seeker/warhead options</x:v>
      </x:c>
      <x:c r="E990" s="32" t="str">
        <x:v>• Greater payload/endurance/range than 600M family
• Multi-domain launch
• MOSA</x:v>
      </x:c>
      <x:c r="F990" s="38" t="str">
        <x:v>https://www.anduril.com/news/anduril-announces-best-in-class-loitering-munition</x:v>
      </x:c>
    </x:row>
    <x:row r="991" ht="210" customHeight="1">
      <x:c r="A991" s="37" t="str">
        <x:v>Anduril</x:v>
      </x:c>
      <x:c r="B991" s="32" t="str">
        <x:v>UAVs/Drones</x:v>
      </x:c>
      <x:c r="C991" s="32" t="str">
        <x:v>Anvil</x:v>
      </x:c>
      <x:c r="D991" s="32" t="str">
        <x:v>• Type: autonomous kinetic interceptor AAV
• Launch/recovery: vertical
• Propulsion: electric
• Target class: Group 1–2 UAS
• Speed, MTOW and endurance: not publicly disclosed.
• Autonomous rotary-wing interceptor
• Launchbox capacity: 2 Anvils
• Launchbox dimensions: 63 × 46 × 30 in
• Launchbox weight: 253 lb</x:v>
      </x:c>
      <x:c r="E991" s="32" t="str">
        <x:v>• High-speed autonomous kinetic counter-UAS interceptor.
• Kinetic low-collateral defeat of Group 1–2 UAS
• Autonomous Lattice cueing
• Human authorisation</x:v>
      </x:c>
      <x:c r="F991" s="38" t="str">
        <x:v>https://www.anduril.com/counter-uas/
https://www.anduril.com/anvil/</x:v>
      </x:c>
    </x:row>
    <x:row r="992" ht="210" customHeight="1">
      <x:c r="A992" s="37" t="str">
        <x:v>Anduril</x:v>
      </x:c>
      <x:c r="B992" s="32" t="str">
        <x:v>UAVs/Drones</x:v>
      </x:c>
      <x:c r="C992" s="32" t="str">
        <x:v>Anvil-M</x:v>
      </x:c>
      <x:c r="D992" s="32" t="str">
        <x:v>• Munition variant of Anvil
• High-explosive payload
• Targets: Group 1–2 UAS</x:v>
      </x:c>
      <x:c r="E992" s="32" t="str">
        <x:v>• Counter-UAS interceptor for larger/faster drones
• Autonomous intercept with human fire-control authorisation</x:v>
      </x:c>
      <x:c r="F992" s="38" t="str">
        <x:v>https://www.anduril.com/anvil/
https://www.anduril.com/news/anvil-m-launch</x:v>
      </x:c>
    </x:row>
    <x:row r="993" ht="210" customHeight="1">
      <x:c r="A993" s="37" t="str">
        <x:v>Anduril</x:v>
      </x:c>
      <x:c r="B993" s="32" t="str">
        <x:v>UAVs/Drones</x:v>
      </x:c>
      <x:c r="C993" s="32" t="str">
        <x:v>Fury</x:v>
      </x:c>
      <x:c r="D993" s="32" t="str">
        <x:v>• Type: autonomous combat air vehicle
• Propulsion: jet
• Configuration: twin-tail fighter-like airframe
• Crew: unmanned
• Payload/weapon stations: mission dependent
• Range, speed, endurance and MTOW: not fully publicly disclosed.
• Group 5 autonomous air vehicle
• Speed: up to Mach 0.95
• COTS jet engine
• Modular RF, IR and other payloads</x:v>
      </x:c>
      <x:c r="E993" s="32" t="str">
        <x:v>• Autonomous air combat; loyal-wingman/CCA mission set.
• Uncrewed fighter / collaborative combat aircraft
• High-performance fighter-like manoeuvrability
• Mass-production-oriented design</x:v>
      </x:c>
      <x:c r="F993" s="38" t="str">
        <x:v>https://www.anduril.com/arsenal
https://www.wired.com/story/andurils-real-war-is-with-itself/
https://www.anduril.com/fury/</x:v>
      </x:c>
    </x:row>
    <x:row r="994" ht="210" customHeight="1">
      <x:c r="A994" s="37" t="str">
        <x:v>Anduril</x:v>
      </x:c>
      <x:c r="B994" s="32" t="str">
        <x:v>UAVs/Drones</x:v>
      </x:c>
      <x:c r="C994" s="32" t="str">
        <x:v>Ghost</x:v>
      </x:c>
      <x:c r="D994" s="32" t="str">
        <x:v>• Type: small VTOL autonomous air vehicle
• Propulsion: electric
• Launch/recovery: vertical takeoff and landing
• Payload: modular
• Endurance, range, MTOW: configuration dependent/not fully disclosed.</x:v>
      </x:c>
      <x:c r="E994" s="32" t="str">
        <x:v>• Persistent autonomous ISR; distributed operations.</x:v>
      </x:c>
      <x:c r="F994" s="38" t="str">
        <x:v>https://www.anduril.com/arsenal</x:v>
      </x:c>
    </x:row>
    <x:row r="995" ht="210" customHeight="1">
      <x:c r="A995" s="37" t="str">
        <x:v>Anduril</x:v>
      </x:c>
      <x:c r="B995" s="32" t="str">
        <x:v>UAVs/Drones</x:v>
      </x:c>
      <x:c r="C995" s="32" t="str">
        <x:v>Ghost-X</x:v>
      </x:c>
      <x:c r="D995" s="32" t="str">
        <x:v>• Endurance: 80 min cruise
• Range: 25 km
• Payload: 11 kg
• Weight with dual batteries: 25 kg</x:v>
      </x:c>
      <x:c r="E995" s="32" t="str">
        <x:v>• Quiet expeditionary autonomous air vehicle
• Multiple payloads
• Resilient navigation/comms
• Blue UAS approved</x:v>
      </x:c>
      <x:c r="F995" s="38" t="str">
        <x:v>https://armory.anduril.com/products/ghost-x</x:v>
      </x:c>
    </x:row>
    <x:row r="996" ht="210" customHeight="1">
      <x:c r="A996" s="37" t="str">
        <x:v>Anduril</x:v>
      </x:c>
      <x:c r="B996" s="32" t="str">
        <x:v>UAVs/Drones</x:v>
      </x:c>
      <x:c r="C996" s="32" t="str">
        <x:v>Roadrunner</x:v>
      </x:c>
      <x:c r="D996" s="32" t="str">
        <x:v>• Type: reusable VTOL autonomous air vehicle/interceptor
• Propulsion: twin turbojet engines
• Takeoff/landing: vertical
• Payload: modular
• Endurance/range/speed: not fully publicly disclosed.
• Twin turbojet engines
• High-subsonic speed
• Speed, range and payload capacity publicly undisclosed</x:v>
      </x:c>
      <x:c r="E996" s="32" t="str">
        <x:v>• Reusable counter-UAS and air-defence interceptor; operator supervised.
• Launch-loiter-return/reuse
• High-G manoeuvrability
• Modular payloads
• Multi-vehicle supervision</x:v>
      </x:c>
      <x:c r="F996" s="38" t="str">
        <x:v>https://www.anduril.com/counter-uas/
https://www.anduril.com/roadrunner</x:v>
      </x:c>
    </x:row>
    <x:row r="997" ht="210" customHeight="1">
      <x:c r="A997" s="37" t="str">
        <x:v>Anduril</x:v>
      </x:c>
      <x:c r="B997" s="32" t="str">
        <x:v>Missiles</x:v>
      </x:c>
      <x:c r="C997" s="32" t="str">
        <x:v>Barracuda-500</x:v>
      </x:c>
      <x:c r="D997" s="32" t="str">
        <x:v>• Autonomous air vehicle / cruise-missile architecture
• 2024 test flight demonstrated &gt;30 min autonomous flight
• Modular WOSA-compliant hardware/software architecture
• Family context — Type: autonomous air-launched missile family
• Family context — Variants: Barracuda-100/250/500 class family
• Family context — Propulsion: rocket motor
• Family context — Guidance: autonomous/networked guidance architecture
• Family context — Payload: modular
• Family context — Detailed mass, dimensions and range: variant-dependent/not fully publicly disclosed.</x:v>
      </x:c>
      <x:c r="E997" s="32" t="str">
        <x:v>• Mass-producible low-cost precision-strike vehicle
• Vertical/palletized launch testing
• Autonomous terminal guidance
• Family context — Mass-producible autonomous strike; modular payloads; collaborative targeting.</x:v>
      </x:c>
      <x:c r="F997" s="38" t="str">
        <x:v>https://www.anduril.com/news/barracuda-500-selected-to-move-forward-on-the-enterprise-test-vehicle-prototype-project
https://www.anduril.com/arsenal</x:v>
      </x:c>
    </x:row>
    <x:row r="998" ht="210" customHeight="1">
      <x:c r="A998" s="37" t="str">
        <x:v>Anduril</x:v>
      </x:c>
      <x:c r="B998" s="32" t="str">
        <x:v>Missiles</x:v>
      </x:c>
      <x:c r="C998" s="32" t="str">
        <x:v>Barracuda-500M / SLB-500M</x:v>
      </x:c>
      <x:c r="D998" s="32" t="str">
        <x:v>• Long-range precision cruise-missile variant
• Surface-launched production version selected for Polish localisation
• Exact current range/payload values not repeated on 2026 Polish-production release</x:v>
      </x:c>
      <x:c r="E998" s="32" t="str">
        <x:v>• Designed for hyper-scale production
• Low-cost long-range precision strike
• European local production planned at Bydgoszcz</x:v>
      </x:c>
      <x:c r="F998" s="38" t="str">
        <x:v>https://www.anduril.com/news/pgz-and-anduril-to-produce-surface-launched-barracuda-500m-in-bydgoszcz</x:v>
      </x:c>
    </x:row>
    <x:row r="999" ht="210" customHeight="1">
      <x:c r="A999" s="37" t="str">
        <x:v>Anduril</x:v>
      </x:c>
      <x:c r="B999" s="32" t="str">
        <x:v>Missiles</x:v>
      </x:c>
      <x:c r="C999" s="32" t="str">
        <x:v>Roadrunner-M</x:v>
      </x:c>
      <x:c r="D999" s="32" t="str">
        <x:v>• High-explosive interceptor variant of Roadrunner
• Twin-turbojet VTOL architecture
• Speed/range/payload publicly undisclosed</x:v>
      </x:c>
      <x:c r="E999" s="32" t="str">
        <x:v>• Ground-based air-defence interceptor
• Can be recovered/relaunched if no engagement occurs
• Autonomous identification/intercept</x:v>
      </x:c>
      <x:c r="F999" s="38" t="str">
        <x:v>https://www.anduril.com/roadrunner</x:v>
      </x:c>
    </x:row>
    <x:row r="1000" ht="210" customHeight="1">
      <x:c r="A1000" s="37" t="str">
        <x:v>UVision Air</x:v>
      </x:c>
      <x:c r="B1000" s="32" t="str">
        <x:v>UAVs/Drones</x:v>
      </x:c>
      <x:c r="C1000" s="32" t="str">
        <x:v>HERO 120</x:v>
      </x:c>
      <x:c r="D1000" s="32" t="str">
        <x:v>• Weight: 12 kg class in UVision family nomenclature
• Warhead: 4.5 kg class
• Range: 40 km in older published family data / 60+ km in current Rheinmetall canistered configuration
• Endurance: 60 min
• Motor: electric
• Launch: pneumatic, single/multi-canister
• Seeker: gimballed EO/IR.
• Platform: naval vessels / rotary-wing / ground
• Weight: HERO-120 family dependent
• Range: up to 60+ km in current canister configuration
• Seeker: gimballed EO/IR
• Launch: pneumatic.
• Current public configurations vary: Rheinmetall baseline 12 kg munition / 4.5 kg warhead / 40 km / 60 min
• U.S. Army 2026 production baseline reported 24 kg system / 60 km / 60 min / 4.5 kg warhead
• Electric propulsion
• Two-way datalink
• GPS/INS
• EO/IR
• High-speed transit up to ~100 kt in earlier Janes reference</x:v>
      </x:c>
      <x:c r="E1000" s="32" t="str">
        <x:v>• Anti-armour all-domain loitering munition; man-in-the-loop; moving-target tracking; abort/re-acquire
• MOSA-compatible interfaces
• AI-assisted tracking.
• All-domain naval precision strike; plug-and-fight integration; third-party C2/ISR interoperability.
• Medium-range anti-armour / anti-structure loitering munition
• Land/naval/air launch
• Man-in-the-loop
• Abort/re-engage
• CEP &lt;1 m in published baseline</x:v>
      </x:c>
      <x:c r="F1000" s="38" t="str">
        <x:v>https://uvisionuav.com/loitering-munitions/hero-120/
https://www.rheinmetall.com/Rheinmetall%20Group/brochure-download/Uncrewed-Systems/B312e0424-HERO-loitering-munitions.pdf
https://www.rheinmetall.com/en/products/weapons-and-ammunition/loitering-munition/loitering-munitions-hero
https://www.janes.com/defence-intelligence-insights/defence-news/uvision-unveils-new-hero-developments
https://www.armyrecognition.com/news/army-news/2026/us-army-hero-120-loitering-munition-lot-acceptance-tests</x:v>
      </x:c>
    </x:row>
    <x:row r="1001" ht="210" customHeight="1">
      <x:c r="A1001" s="37" t="str">
        <x:v>UVision Air</x:v>
      </x:c>
      <x:c r="B1001" s="32" t="str">
        <x:v>UAVs/Drones</x:v>
      </x:c>
      <x:c r="C1001" s="32" t="str">
        <x:v>HERO 1250</x:v>
      </x:c>
      <x:c r="D1001" s="32" t="str">
        <x:v>• Weight: 155 kg
• Warhead: 50 kg
• Range: 200+ km
• Endurance: 10 h
• Motor: gasoline
• Launch: rail or single/multi-canister.
• Rheinmetall family baseline: 125 kg system weight
• Range: 200 km
• Endurance: 6 h
• Launch: rail / canister family architecture</x:v>
      </x:c>
      <x:c r="E1001" s="32" t="str">
        <x:v>• Very-long-range platform-launched loitering munition; large payload; persistent target search and strike.
• Heavy strategic loitering munition
• Long-range high-lethality engagement
• Land/naval integration</x:v>
      </x:c>
      <x:c r="F1001" s="38" t="str">
        <x:v>https://uvisionuav.com/loitering-munitions/
https://www.rheinmetall.com/Rheinmetall%20Group/brochure-download/Uncrewed-Systems/B312e0424-HERO-loitering-munitions.pdf
https://www.rheinmetall.com/en/products/weapons-and-ammunition/loitering-munition/loitering-munitions-hero</x:v>
      </x:c>
    </x:row>
    <x:row r="1002" ht="210" customHeight="1">
      <x:c r="A1002" s="37" t="str">
        <x:v>UVision Air</x:v>
      </x:c>
      <x:c r="B1002" s="32" t="str">
        <x:v>UAVs/Drones</x:v>
      </x:c>
      <x:c r="C1002" s="32" t="str">
        <x:v>HERO 2500</x:v>
      </x:c>
      <x:c r="D1002" s="32" t="str">
        <x:v>• Type: Very-large loitering munition family
• Range/endurance/weight/warhead: not consistently published in current UVision public pages
• Propulsion: configuration dependent.</x:v>
      </x:c>
      <x:c r="E1002" s="32" t="str">
        <x:v>• Long-range loitering-munition family for high-value target sets.</x:v>
      </x:c>
      <x:c r="F1002" s="38" t="str">
        <x:v>https://uvisionuav.com/loitering-munitions/</x:v>
      </x:c>
    </x:row>
    <x:row r="1003" ht="210" customHeight="1">
      <x:c r="A1003" s="37" t="str">
        <x:v>UVision Air</x:v>
      </x:c>
      <x:c r="B1003" s="32" t="str">
        <x:v>UAVs/Drones</x:v>
      </x:c>
      <x:c r="C1003" s="32" t="str">
        <x:v>HERO 30</x:v>
      </x:c>
      <x:c r="D1003" s="32" t="str">
        <x:v>• Weight: 3 kg
• Warhead: 0.5 kg
• Range: up to 10 km
• Endurance: up to 30 min
• Motor: electric
• Launch: single/multi-canister
• Guidance: EO/IR seeker with operator control.
• Weight: 3–3.9 kg depending current/partner configuration
• 7.8 kg with canister in U.S. Army ODIN reference
• Range: 10–15+ km in Rheinmetall/ODIN public baselines
• UVision export material has shown up to 40 km in newer configurations
• Endurance: 30 min
• Electric propulsion
• EO/IR gimballed payload
• CEP: &lt;1 m
• Pneumatic canister launch</x:v>
      </x:c>
      <x:c r="E1003" s="32" t="str">
        <x:v>• Man-portable tactical loitering munition; precision engagement
• GPS-denied operation; pneumatic launch; high-resolution EO/IR.
• Man-portable short-range loitering munition
• Anti-personnel / anti-materiel
• Abort and re-engage
• GPS-denied mission adaptation
• Urban/mountain precision strike</x:v>
      </x:c>
      <x:c r="F1003" s="38" t="str">
        <x:v>https://uvisionuav.com/loitering-munitions/hero-30/
https://www.rheinmetall.com/en/products/weapons-and-ammunition/loitering-munition/loitering-munitions-hero
https://odin.t2com.army.mil/WEG/Asset/8011f1c0abea03f72a80034fa8a17630</x:v>
      </x:c>
    </x:row>
    <x:row r="1004" ht="210" customHeight="1">
      <x:c r="A1004" s="37" t="str">
        <x:v>UVision Air</x:v>
      </x:c>
      <x:c r="B1004" s="32" t="str">
        <x:v>UAVs/Drones</x:v>
      </x:c>
      <x:c r="C1004" s="32" t="str">
        <x:v>HERO 400 / HERO 400EC</x:v>
      </x:c>
      <x:c r="D1004" s="32" t="str">
        <x:v>• Weight: 50 kg with current Rheinmetall configuration
• Warhead: 10 kg
• Range: 120+ km
• Endurance: 2 h
• Motor: electric
• Launch: rail or single/multi-canister.
• Rheinmetall family baseline: 40 kg
• 10 kg warhead
• 60 km range
• 2 h endurance
• Earlier HERO 400EC demo: length 2.1 m; wingspan 2.4 m
• MTOW 40 kg; datalink 40–150 km; altitude 18,000 ft
• 50–150 kt
• Electric propulsion
• EO/IR
• Rail or multi-canister launch</x:v>
      </x:c>
      <x:c r="E1004" s="32" t="str">
        <x:v>• Vehicle/naval-launched extended-range precision loitering munition
• EO/IR; network connectivity; autonomous navigation.
• Anti-armour / fortified-target loitering munition
• Multiple attack angles
• Abort/reassign/recover capability
• Single-operator control</x:v>
      </x:c>
      <x:c r="F1004" s="38" t="str">
        <x:v>https://uvisionuav.com/loitering-munitions/
https://www.rheinmetall.com/Rheinmetall%20Group/brochure-download/Uncrewed-Systems/B312e0424-HERO-loitering-munitions.pdf
https://www.rheinmetall.com/en/products/weapons-and-ammunition/loitering-munition/loitering-munitions-hero
https://www.mobilityengineeringtech.com/component/content/article/28905-extended-range-loitering-system</x:v>
      </x:c>
    </x:row>
    <x:row r="1005" ht="210" customHeight="1">
      <x:c r="A1005" s="37" t="str">
        <x:v>UVision Air</x:v>
      </x:c>
      <x:c r="B1005" s="32" t="str">
        <x:v>UAVs/Drones</x:v>
      </x:c>
      <x:c r="C1005" s="32" t="str">
        <x:v>HERO 90</x:v>
      </x:c>
      <x:c r="D1005" s="32" t="str">
        <x:v>• Weight: ~12 kg class
• Warhead: ~4.5 kg class
• Range: model/configuration dependent
• Endurance: ~60 min class
• Motor: electric
• Launch: single/multi-canister.
• Weight: 10 kg
• Warhead: 1.5 kg
• Range: 40+ km
• Endurance: 45 min
• Common Launch Tube compatible
• CEP: &lt;1 m</x:v>
      </x:c>
      <x:c r="E1005" s="32" t="str">
        <x:v>• Man-portable long-range tactical loitering munition
• EO/IR; single-operator control.
• Single-soldier anti-armour loitering munition
• Top-attack roof penetration
• EO/IR
• GPS-denied operation
• Anti-armour / anti-tank warheads</x:v>
      </x:c>
      <x:c r="F1005" s="38" t="str">
        <x:v>https://uvisionuav.com/loitering-munitions/
https://uvisionusa.com/smart-loitering-munition-systems/
https://uvisionuav.com/wp-content/uploads/2024/09/Hero-90-2024.pdf
https://uvisionuav.com/loitering-munitions/hero-90/</x:v>
      </x:c>
    </x:row>
    <x:row r="1006" ht="210" customHeight="1">
      <x:c r="A1006" s="37" t="str">
        <x:v>UVision Air</x:v>
      </x:c>
      <x:c r="B1006" s="32" t="str">
        <x:v>UAVs/Drones</x:v>
      </x:c>
      <x:c r="C1006" s="32" t="str">
        <x:v>HERO 900</x:v>
      </x:c>
      <x:c r="D1006" s="32" t="str">
        <x:v>• Weight: 110 kg
• Warhead: 30 kg
• Range: 150+ km
• Endurance: 6 h
• Motor: gasoline
• Launch: rail or single/multi-canister.
• Current UVision page: 30 kg warhead
• 150 km range; up to 6 h endurance
• Older Rheinmetall family table: 90 kg system
• 25 kg warhead
• 150 km
• 2 h; gasoline engine — configuration/date difference retained</x:v>
      </x:c>
      <x:c r="E1006" s="32" t="str">
        <x:v>• Long-endurance platform-launched loitering munition; large-warhead precision strike.
• Strategic long-range loitering munition
• Heavy-warhead precision strike
• Land/naval platform launch
• Long-endurance target search</x:v>
      </x:c>
      <x:c r="F1006" s="38" t="str">
        <x:v>https://uvisionuav.com/loitering-munitions/
https://www.rheinmetall.com/Rheinmetall%20Group/brochure-download/Uncrewed-Systems/B312e0424-HERO-loitering-munitions.pdf
https://uvisionuav.com/loitering-munitions/hero-900/
https://www.rheinmetall.com/en/products/weapons-and-ammunition/loitering-munition/loitering-munitions-hero</x:v>
      </x:c>
    </x:row>
    <x:row r="1007" ht="210" customHeight="1">
      <x:c r="A1007" s="37" t="str">
        <x:v>UVision Air</x:v>
      </x:c>
      <x:c r="B1007" s="32" t="str">
        <x:v>UAVs/Drones</x:v>
      </x:c>
      <x:c r="C1007" s="32" t="str">
        <x:v>PEREGRINE MR</x:v>
      </x:c>
      <x:c r="D1007" s="32" t="str">
        <x:v>• Weight: 6 kg
• Warhead: 1 kg
• Range: up to 20 km
• Endurance: up to 27 min
• Man-in-the-loop automated guidance plus semi-autonomous/manual modes</x:v>
      </x:c>
      <x:c r="E1007" s="32" t="str">
        <x:v>• Mid-range precision fire support
• Hover-to-dive attack
• Low acoustic signature
• Lethal / ISR / hybrid payload adaptation
• Vector-controlled 360° engagement</x:v>
      </x:c>
      <x:c r="F1007" s="38" t="str">
        <x:v>https://uvisionuav.com/wp-content/uploads/2026/01/Peregrine-MR-brochure.pdf
https://uvisionuav.com/loitering-munitions/peregrine-mr/</x:v>
      </x:c>
    </x:row>
    <x:row r="1008" ht="210" customHeight="1">
      <x:c r="A1008" s="37" t="str">
        <x:v>UVision Air</x:v>
      </x:c>
      <x:c r="B1008" s="32" t="str">
        <x:v>UAVs/Drones</x:v>
      </x:c>
      <x:c r="C1008" s="32" t="str">
        <x:v>VIPER 300</x:v>
      </x:c>
      <x:c r="D1008" s="32" t="str">
        <x:v>• Weight: up to 2 kg
• Range: up to 5 km
• Endurance: up to 15 min
• Encapsulated AI-based hovering UAS/loitering weapon</x:v>
      </x:c>
      <x:c r="E1008" s="32" t="str">
        <x:v>• Beyond-line-of-sight precision combat
• AI-assisted targeting
• Hovering in urban/complex terrain
• Stationary or mobile platform launch</x:v>
      </x:c>
      <x:c r="F1008" s="38" t="str">
        <x:v>https://uvisionuav.com/wp-content/uploads/2026/01/VIPER-300-brochure.pdf
https://uvisionuav.com/loitering-munitions/viper-300/</x:v>
      </x:c>
    </x:row>
    <x:row r="1009" ht="210" customHeight="1">
      <x:c r="A1009" s="37" t="str">
        <x:v>UVision Air</x:v>
      </x:c>
      <x:c r="B1009" s="32" t="str">
        <x:v>UAVs/Drones</x:v>
      </x:c>
      <x:c r="C1009" s="32" t="str">
        <x:v>VIPER 750</x:v>
      </x:c>
      <x:c r="D1009" s="32" t="str">
        <x:v>• Weight: up to 3 kg
• Payload: ISR
• Range: up to 15 km
• Endurance: up to 45 min
• Encapsulated sub-to-air UAS</x:v>
      </x:c>
      <x:c r="E1009" s="32" t="str">
        <x:v>• Underwater-to-air transition
• Submarine/AUV launch
• AI-driven routing and BLOS situational awareness
• Special-forces/naval reconnaissance</x:v>
      </x:c>
      <x:c r="F1009" s="38" t="str">
        <x:v>https://uvisionuav.com/wp-content/uploads/2026/01/VIPER-750-brochure.pdf
https://uvisionuav.com/loitering-munitions/viper-750/</x:v>
      </x:c>
    </x:row>
    <x:row r="1010" ht="210" customHeight="1">
      <x:c r="A1010" s="37" t="str">
        <x:v>UVision Air</x:v>
      </x:c>
      <x:c r="B1010" s="32" t="str">
        <x:v>UAVs/Drones</x:v>
      </x:c>
      <x:c r="C1010" s="32" t="str">
        <x:v>VIPER I Interceptor</x:v>
      </x:c>
      <x:c r="D1010" s="32" t="str">
        <x:v>• Low-SWaP encapsulated interceptor UAS
• Exact current public mass/range/endurance not disclosed on product page</x:v>
      </x:c>
      <x:c r="E1010" s="32" t="str">
        <x:v>• Intercepts drones, top-attackers and loitering munitions
• Open architecture
• Integration with APS and third-party sensors/warheads
• Vehicle/naval/UGV installation</x:v>
      </x:c>
      <x:c r="F1010" s="38" t="str">
        <x:v>https://uvisionuav.com/loitering-munitions/viper-i/</x:v>
      </x:c>
    </x:row>
    <x:row r="1011" ht="210" customHeight="1">
      <x:c r="A1011" s="37" t="str">
        <x:v>UVision Air</x:v>
      </x:c>
      <x:c r="B1011" s="32" t="str">
        <x:v>UAVs/Drones</x:v>
      </x:c>
      <x:c r="C1011" s="32" t="str">
        <x:v>VIPER Multi-Canister Launcher (MCL)</x:v>
      </x:c>
      <x:c r="D1011" s="32" t="str">
        <x:v>• Launcher configuration: customizable 4+ canisters
• Launches VIPER 300 from stationary or moving military platforms
• Simultaneous or sequential launch</x:v>
      </x:c>
      <x:c r="E1011" s="32" t="str">
        <x:v>• Swarm and unitary modes
• ISTAR, precision attack and EW payload support
• In-vehicle protected operation</x:v>
      </x:c>
      <x:c r="F1011" s="38" t="str">
        <x:v>https://uvisionuav.com/loitering-munitions/viper-mcl/</x:v>
      </x:c>
    </x:row>
    <x:row r="1012" ht="210" customHeight="1">
      <x:c r="A1012" s="37" t="str">
        <x:v>Adani Defence</x:v>
      </x:c>
      <x:c r="B1012" s="32" t="str">
        <x:v>Artillery</x:v>
      </x:c>
      <x:c r="C1012" s="32" t="str">
        <x:v>Aryan 52 Mounted Gun System</x:v>
      </x:c>
      <x:c r="D1012" s="32" t="str">
        <x:v>• Type: mounted artillery gun system
• Calibre: 155 mm class reported in public coverage
• Barrel: 52-calibre class
• Mobility: truck-mounted
• Detailed mass, range, crew and rate of fire: not fully disclosed.</x:v>
      </x:c>
      <x:c r="E1012" s="32" t="str">
        <x:v>• Vehicle-mounted artillery; indigenous development; field-trialled.</x:v>
      </x:c>
      <x:c r="F1012" s="38" t="str">
        <x:v>https://nsearchives.nseindia.com/annual_reports/AR_29299_ADANIENT_2025_2026_A_17942605_29052026223750.pdf</x:v>
      </x:c>
    </x:row>
    <x:row r="1013" ht="210" customHeight="1">
      <x:c r="A1013" s="37" t="str">
        <x:v>Adani Defence</x:v>
      </x:c>
      <x:c r="B1013" s="32" t="str">
        <x:v>Ammunition</x:v>
      </x:c>
      <x:c r="C1013" s="32" t="str">
        <x:v>12.7×99 mm / .50 Cal Ammunition</x:v>
      </x:c>
      <x:c r="D1013" s="32" t="str">
        <x:v>• Calibre: 12.7×99 mm
• Heavy-machine-gun ammunition family; exact variants not public</x:v>
      </x:c>
      <x:c r="E1013" s="32" t="str">
        <x:v>• Produced at integrated Kanpur ammunition complex; exact model specification retained as not publicly disclosed where unavailable</x:v>
      </x:c>
      <x:c r="F1013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14" ht="210" customHeight="1">
      <x:c r="A1014" s="37" t="str">
        <x:v>Adani Defence</x:v>
      </x:c>
      <x:c r="B1014" s="32" t="str">
        <x:v>Ammunition</x:v>
      </x:c>
      <x:c r="C1014" s="32" t="str">
        <x:v>155 mm Artillery Ammunition Family</x:v>
      </x:c>
      <x:c r="D1014" s="32" t="str">
        <x:v>• Calibre: 155 mm
• Desert trials completed for indigenous 155 mm variants
• Projectile/charge/fuze model values not publicly disclosed in accessible official release</x:v>
      </x:c>
      <x:c r="E1014" s="32" t="str">
        <x:v>• Produced at integrated Kanpur ammunition complex; exact model specification retained as not publicly disclosed where unavailable</x:v>
      </x:c>
      <x:c r="F1014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15" ht="210" customHeight="1">
      <x:c r="A1015" s="37" t="str">
        <x:v>Adani Defence</x:v>
      </x:c>
      <x:c r="B1015" s="32" t="str">
        <x:v>Ammunition</x:v>
      </x:c>
      <x:c r="C1015" s="32" t="str">
        <x:v>30 mm Medium-Calibre Ammunition</x:v>
      </x:c>
      <x:c r="D1015" s="32" t="str">
        <x:v>• Calibre: 30 mm
• Kanpur complex has medium-calibre production capability; exact cartridge variants not fully public</x:v>
      </x:c>
      <x:c r="E1015" s="32" t="str">
        <x:v>• Produced at integrated Kanpur ammunition complex; exact model specification retained as not publicly disclosed where unavailable</x:v>
      </x:c>
      <x:c r="F1015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16" ht="210" customHeight="1">
      <x:c r="A1016" s="37" t="str">
        <x:v>Adani Defence</x:v>
      </x:c>
      <x:c r="B1016" s="32" t="str">
        <x:v>Ammunition</x:v>
      </x:c>
      <x:c r="C1016" s="32" t="str">
        <x:v>5.56×45 mm Small-Arms Ammunition</x:v>
      </x:c>
      <x:c r="D1016" s="32" t="str">
        <x:v>• Calibre: 5.56×45 mm
• Ball/tracer/special load details not publicly disclosed in accessible official material</x:v>
      </x:c>
      <x:c r="E1016" s="32" t="str">
        <x:v>• Produced at integrated Kanpur ammunition complex; exact model specification retained as not publicly disclosed where unavailable</x:v>
      </x:c>
      <x:c r="F1016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17" ht="210" customHeight="1">
      <x:c r="A1017" s="37" t="str">
        <x:v>Adani Defence</x:v>
      </x:c>
      <x:c r="B1017" s="32" t="str">
        <x:v>Ammunition</x:v>
      </x:c>
      <x:c r="C1017" s="32" t="str">
        <x:v>7.62×39 mm Small-Arms Ammunition</x:v>
      </x:c>
      <x:c r="D1017" s="32" t="str">
        <x:v>• Calibre: 7.62×39 mm
• Exact load data not publicly disclosed</x:v>
      </x:c>
      <x:c r="E1017" s="32" t="str">
        <x:v>• Produced at integrated Kanpur ammunition complex; exact model specification retained as not publicly disclosed where unavailable</x:v>
      </x:c>
      <x:c r="F1017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18" ht="210" customHeight="1">
      <x:c r="A1018" s="37" t="str">
        <x:v>Adani Defence</x:v>
      </x:c>
      <x:c r="B1018" s="32" t="str">
        <x:v>Ammunition</x:v>
      </x:c>
      <x:c r="C1018" s="32" t="str">
        <x:v>7.62×51 mm Small-Arms Ammunition</x:v>
      </x:c>
      <x:c r="D1018" s="32" t="str">
        <x:v>• Calibre: 7.62×51 mm NATO
• Exact ball/tracer/AP load data not publicly disclosed</x:v>
      </x:c>
      <x:c r="E1018" s="32" t="str">
        <x:v>• Produced at integrated Kanpur ammunition complex; exact model specification retained as not publicly disclosed where unavailable</x:v>
      </x:c>
      <x:c r="F1018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19" ht="210" customHeight="1">
      <x:c r="A1019" s="37" t="str">
        <x:v>Adani Defence</x:v>
      </x:c>
      <x:c r="B1019" s="32" t="str">
        <x:v>Ammunition</x:v>
      </x:c>
      <x:c r="C1019" s="32" t="str">
        <x:v>9×19 mm Small-Arms Ammunition</x:v>
      </x:c>
      <x:c r="D1019" s="32" t="str">
        <x:v>• Calibre: 9×19 mm
• Model-level projectile mass/velocity not publicly disclosed by Adani in accessible current product material</x:v>
      </x:c>
      <x:c r="E1019" s="32" t="str">
        <x:v>• Produced at integrated Kanpur ammunition complex; exact model specification retained as not publicly disclosed where unavailable</x:v>
      </x:c>
      <x:c r="F1019" s="38" t="str">
        <x:v>https://www.adani.com/newsroom/media-releases/advancing-aatmanirbharta
https://www.linkedin.com/posts/adani-defence-and-aerospace_155mmammunition-activity-7356665494868799488-HNaA
https://www.adanienterprises.com/digital-reports/enterprises/2026/defence-and-aerospace.html</x:v>
      </x:c>
    </x:row>
    <x:row r="1020" ht="210" customHeight="1">
      <x:c r="A1020" s="37" t="str">
        <x:v>Adani Defence</x:v>
      </x:c>
      <x:c r="B1020" s="32" t="str">
        <x:v>Protected Vehicles</x:v>
      </x:c>
      <x:c r="C1020" s="32" t="str">
        <x:v>Vehicle-Mounted Counter-Drone System</x:v>
      </x:c>
      <x:c r="D1020" s="32" t="str">
        <x:v>• Platform: single 4×4 vehicle
• Sensor/neutralisation envelope: up to 10 km
• Effectors: high-energy laser + 7.62 mm gun
• Sensors: radar, SIGINT and EO
• Electronic attack: jammers</x:v>
      </x:c>
      <x:c r="E1020" s="32" t="str">
        <x:v>• Automatic detection, classification, tracking and neutralisation
• Highly mobile integrated counter-UAS platform
• DRDO ToT collaboration</x:v>
      </x:c>
      <x:c r="F1020" s="38" t="str">
        <x:v>https://www.adani.com/newsroom/media-releases/adani-defence-and-aerospace-and-drdo-unveil-indias-vehicle-mounted-counter</x:v>
      </x:c>
    </x:row>
    <x:row r="1021" ht="210" customHeight="1">
      <x:c r="A1021" s="37" t="str">
        <x:v>Adani Defence</x:v>
      </x:c>
      <x:c r="B1021" s="32" t="str">
        <x:v>Marine/Naval</x:v>
      </x:c>
      <x:c r="C1021" s="32" t="str">
        <x:v>Adani autonomous maritime systems</x:v>
      </x:c>
      <x:c r="D1021" s="32" t="str">
        <x:v>• Type: unmanned/autonomous maritime systems
• Hull, payload, endurance and speed: configuration dependent / not fully disclosed.</x:v>
      </x:c>
      <x:c r="E1021" s="32" t="str">
        <x:v>• Autonomous maritime surveillance and mission systems.</x:v>
      </x:c>
      <x:c r="F1021" s="38" t="str">
        <x:v>https://www.adanienterprises.com/digital-reports/enterprises/2026/defence-and-aerospace.html</x:v>
      </x:c>
    </x:row>
    <x:row r="1022" ht="210" customHeight="1">
      <x:c r="A1022" s="37" t="str">
        <x:v>Adani Defence</x:v>
      </x:c>
      <x:c r="B1022" s="32" t="str">
        <x:v>UAVs/Drones</x:v>
      </x:c>
      <x:c r="C1022" s="32" t="str">
        <x:v>Agnikaa</x:v>
      </x:c>
      <x:c r="D1022" s="32" t="str">
        <x:v>• Type: loitering munition
• Endurance: &gt;9 h reported during trials
• Range, MTOW, payload and dimensions: not publicly disclosed in a consistent manufacturer datasheet.</x:v>
      </x:c>
      <x:c r="E1022" s="32" t="str">
        <x:v>• Long-endurance loitering strike; autonomous operations; field-tested platform.</x:v>
      </x:c>
      <x:c r="F1022" s="38" t="str">
        <x:v>https://connect.adani.com/2025/dec2025/rewind/
https://www.adanienterprises.com/digital-reports/enterprises/2026/defence-and-aerospace.html</x:v>
      </x:c>
    </x:row>
    <x:row r="1023" ht="210" customHeight="1">
      <x:c r="A1023" s="37" t="str">
        <x:v>Adani Defence</x:v>
      </x:c>
      <x:c r="B1023" s="32" t="str">
        <x:v>UAVs/Drones</x:v>
      </x:c>
      <x:c r="C1023" s="32" t="str">
        <x:v>AGNIKAA VTOL-1 FPV Kamikaze Drone</x:v>
      </x:c>
      <x:c r="D1023" s="32" t="str">
        <x:v>• Range: up to 5 km
• Endurance: 30 min
• Top speed: 60 km/h
• Lethality radius: 5 m against personnel/soft targets in public reporting
• VTOL / FPV architecture</x:v>
      </x:c>
      <x:c r="E1023" s="32" t="str">
        <x:v>• Close-combat kamikaze drone
• GPS-denied / EW-resilient operation
• Urban and open-battlefield precision attack</x:v>
      </x:c>
      <x:c r="F1023" s="38" t="str">
        <x:v>https://timesofindia.indiatimes.com/defence/news/army-gets-drdo-developed-kamikaze-drone-uav-launched-precision-munition-systems-from-adani-defence/articleshow/131026247.cms
https://www.adanienterprises.com/digital-reports/enterprises/2026/defence-and-aerospace.html</x:v>
      </x:c>
    </x:row>
    <x:row r="1024" ht="210" customHeight="1">
      <x:c r="A1024" s="37" t="str">
        <x:v>Adani Defence</x:v>
      </x:c>
      <x:c r="B1024" s="32" t="str">
        <x:v>UAVs/Drones</x:v>
      </x:c>
      <x:c r="C1024" s="32" t="str">
        <x:v>ALFA-S</x:v>
      </x:c>
      <x:c r="D1024" s="32" t="str">
        <x:v>• Type: autonomous loitering munition / swarm UAS
• Dimensions, weight, speed, endurance and payload: not publicly disclosed in a complete current Adani datasheet.</x:v>
      </x:c>
      <x:c r="E1024" s="32" t="str">
        <x:v>• Swarm-capable precision strike; autonomous mission execution.</x:v>
      </x:c>
      <x:c r="F1024" s="38" t="str">
        <x:v>https://connect.adani.com/2026/mar2026/show/
https://www.adanienterprises.com/digital-reports/enterprises/2026/defence-and-aerospace.html</x:v>
      </x:c>
    </x:row>
    <x:row r="1025" ht="210" customHeight="1">
      <x:c r="A1025" s="37" t="str">
        <x:v>Adani Defence</x:v>
      </x:c>
      <x:c r="B1025" s="32" t="str">
        <x:v>UAVs/Drones</x:v>
      </x:c>
      <x:c r="C1025" s="32" t="str">
        <x:v>DRISHTI 10 Starliner</x:v>
      </x:c>
      <x:c r="D1025" s="32" t="str">
        <x:v>• Endurance: 36 h
• Payload capacity: 450 kg
• Certification: NATO STANAG 4671
• Airspace: segregated and unsegregated
• Class: MALE ISR UAV
• SATCOM: available/installed on Indian variants
• Dimensions, MTOW and cruise speed: not fully disclosed by Adani.
• Endurance: 35+ h
• Payload: up to 450 kg
• Ceiling: 30,000 ft
• Large internal payload bay + 4 wing hardpoints
• SATCOM and fully autonomous operations
• STANAG 4671-certified platform</x:v>
      </x:c>
      <x:c r="E1025" s="32" t="str">
        <x:v>• All-weather ISR; maritime surveillance; long-endurance intelligence platform.
• MALE ISR platform
• All-weather long-endurance surveillance
• Indigenised Indian production ecosystem
• Maritime and land missions</x:v>
      </x:c>
      <x:c r="F1025" s="38" t="str">
        <x:v>https://connect.adani.com/media/2024/jan24/defence/
https://www.drdo.gov.in/drdo/sites/default/files/drdo-news-documents/NPC05Dec2024.pdf
https://insights.globalspec.com/article/21712/india-debuts-first-medium-altitude-long-endurance-spy-drone
https://www.defenceexim.gov.in/WriteReadData/AbovehorizonsIndustry.pdf
https://www.adanienterprises.com/digital-reports/enterprises/2026/defence-and-aerospace.html</x:v>
      </x:c>
    </x:row>
    <x:row r="1026" ht="210" customHeight="1">
      <x:c r="A1026" s="37" t="str">
        <x:v>Adani Defence</x:v>
      </x:c>
      <x:c r="B1026" s="32" t="str">
        <x:v>UAVs/Drones</x:v>
      </x:c>
      <x:c r="C1026" s="32" t="str">
        <x:v>SkyStriker Loitering Munition</x:v>
      </x:c>
      <x:c r="D1026" s="32" t="str">
        <x:v>• Type: loitering munition
• Launch: ground vehicle/canister family
• Endurance/range/warhead: configuration dependent
• Navigation: autonomous/GNSS-assisted
• Payload: mission dependent.
• Adani-Elbit manufactured loitering munition; exact Adani configuration values not fully published on current company site
• Electric fixed-wing family in Elbit baseline</x:v>
      </x:c>
      <x:c r="E1026" s="32" t="str">
        <x:v>• Precision loitering strike; autonomous target search/attack; integrated with tactical C2.
• Precision loitering strike
• Deployed operationally by Indian forces according to Adani FY2025-26 disclosure</x:v>
      </x:c>
      <x:c r="F1026" s="38" t="str">
        <x:v>https://www.adanienterprises.com/digital-reports/enterprises/2026/defence-and-aerospace.html
https://connect.adani.com/2026/mar2026/show/
https://www.adani.com/newsroom/media-releases/adani-defence-and-aerospace-and-elbit-systems-inaugurate-india-first-private-uav-manufacturing</x:v>
      </x:c>
    </x:row>
    <x:row r="1027" ht="210" customHeight="1">
      <x:c r="A1027" s="37" t="str">
        <x:v>Adani Defence</x:v>
      </x:c>
      <x:c r="B1027" s="32" t="str">
        <x:v>UAVs/Drones</x:v>
      </x:c>
      <x:c r="C1027" s="32" t="str">
        <x:v>UAV-Launched Precision Guided Munition (ULPGM)</x:v>
      </x:c>
      <x:c r="D1027" s="32" t="str">
        <x:v>• Operational UAV range: up to 20 km public reporting
• Munition strike range: ~2.5 km
• Warhead: 2 kg
• Accuracy: ~1 m CEP
• Imaging-infrared seeker</x:v>
      </x:c>
      <x:c r="E1027" s="32" t="str">
        <x:v>• UAV-launched precision attack against moving/static hard and soft targets
• EW-resilient / retractable platform integration</x:v>
      </x:c>
      <x:c r="F1027" s="38" t="str">
        <x:v>https://timesofindia.indiatimes.com/defence/news/army-gets-drdo-developed-kamikaze-drone-uav-launched-precision-munition-systems-from-adani-defence/articleshow/131026247.cms</x:v>
      </x:c>
    </x:row>
    <x:row r="1028" ht="210" customHeight="1">
      <x:c r="A1028" s="37" t="str">
        <x:v>Adani Defence</x:v>
      </x:c>
      <x:c r="B1028" s="32" t="str">
        <x:v>Missiles</x:v>
      </x:c>
      <x:c r="C1028" s="32" t="str">
        <x:v>ARKA MANPADS</x:v>
      </x:c>
      <x:c r="D1028" s="32" t="str">
        <x:v>• Type: very-short-range man-portable air-defence missile
• Guidance: infrared homing architecture
• Launch: shoulder/launcher based
• Range, altitude, mass and dimensions: not consistently disclosed publicly.
• Man-portable air-defence missile system
• Adani FY2025-26 confirms operational deployment; detailed missile mass/range/seeker parameters were not publicly exposed in accessible official sources during this pass</x:v>
      </x:c>
      <x:c r="E1028" s="32" t="str">
        <x:v>• Portable air defence; rapid deployment; low-level aerial target engagement.
• Short-range air-defence / MANPADS role
• Indigenous/private-sector guided-weapons capability</x:v>
      </x:c>
      <x:c r="F1028" s="38" t="str">
        <x:v>https://www.adanienterprises.com/digital-reports/enterprises/2026/defence-and-aerospace.html
https://connect.adani.com/2025/dec2025/rewind/</x:v>
      </x:c>
    </x:row>
    <x:row r="1029" ht="210" customHeight="1">
      <x:c r="A1029" s="37" t="str">
        <x:v>BrahMos Aerospace</x:v>
      </x:c>
      <x:c r="B1029" s="32" t="str">
        <x:v>Missiles</x:v>
      </x:c>
      <x:c r="C1029" s="32" t="str">
        <x:v>BRAHMOS Air-Launched Cruise Missile (ALCM)</x:v>
      </x:c>
      <x:c r="D1029" s="32" t="str">
        <x:v>• Length: ~8.0 m
• Diameter: 0.67 m
• Launch weight: ~2,200–2,500 kg
• Payload: ~200 kg
• Speed: Mach 2.8 class
• Range: variant-dependent
• Launch platform: Su-30MKI
• Propulsion: solid booster + liquid ramjet
• Guidance: INS/GNSS + radar terminal guidance.
• Air-launched weight: ~2.5 t in 2019 PIB reference
• Speed: ~Mach 2.8
• Published 2019 range: close to 300 km
• Platform: modified Su-30MKI
• Two-stage supersonic cruise missile
• Range qualification: BrahMos public/export baseline remains 290 km; Indian extended-range variants have been officially demonstrated beyond 400 km, with exact current range dependent on service configuration.</x:v>
      </x:c>
      <x:c r="E1029" s="32" t="str">
        <x:v>• Air-launched stand-off precision strike; anti-ship and land-attack.
• Air-to-land and air-to-sea
• Gravity-assisted release
• Stand-off precision attack
• Day/night all-weather</x:v>
      </x:c>
      <x:c r="F1029" s="38" t="str">
        <x:v>https://www.brahmos.com/
https://missilethreat.csis.org/missile/brahmos/
https://www.brahmos.com/press-release/214
https://www.brahmos.com/index.php/page/air-launch-system
https://drdo.gov.in/drdo/sites/default/files/newsletter-document/april_17.pdf
https://www.pib.gov.in/Pressreleaseshare.aspx?PRID=1824795&amp;lang=2&amp;reg=48</x:v>
      </x:c>
    </x:row>
    <x:row r="1030" ht="210" customHeight="1">
      <x:c r="A1030" s="37" t="str">
        <x:v>BrahMos Aerospace</x:v>
      </x:c>
      <x:c r="B1030" s="32" t="str">
        <x:v>Missiles</x:v>
      </x:c>
      <x:c r="C1030" s="32" t="str">
        <x:v>BRAHMOS Land Attack Block-I</x:v>
      </x:c>
      <x:c r="D1030" s="32" t="str">
        <x:v>• Range: ~290 km class
• Speed: Mach 2.8 class
• Launch platform: mobile autonomous launcher
• Guidance: INS + satellite navigation
• Warhead: conventional
• Launcher: 3-missile class MAL.
• Range qualification: BrahMos public/export baseline remains 290 km; Indian extended-range variants have been officially demonstrated beyond 400 km, with exact current range dependent on service configuration.</x:v>
      </x:c>
      <x:c r="E1030" s="32" t="str">
        <x:v>• Early operational land-attack configuration.</x:v>
      </x:c>
      <x:c r="F1030" s="38" t="str">
        <x:v>https://brahmos.com/content.php?id=16
https://www.brahmos.com/page/land-based-system
https://drdo.gov.in/drdo/sites/default/files/newsletter-document/april_17.pdf
https://www.pib.gov.in/Pressreleaseshare.aspx?PRID=1824795&amp;lang=2&amp;reg=48</x:v>
      </x:c>
    </x:row>
    <x:row r="1031" ht="210" customHeight="1">
      <x:c r="A1031" s="37" t="str">
        <x:v>BrahMos Aerospace</x:v>
      </x:c>
      <x:c r="B1031" s="32" t="str">
        <x:v>Missiles</x:v>
      </x:c>
      <x:c r="C1031" s="32" t="str">
        <x:v>BRAHMOS Land Attack Block-II</x:v>
      </x:c>
      <x:c r="D1031" s="32" t="str">
        <x:v>• Range: ~290 km class
• Speed: Mach 2.8 class
• Guidance: INS/satellite navigation + target discrimination
• Terminal profile: steep-dive capability
• Launch: mobile autonomous launcher.
• Range qualification: BrahMos public/export baseline remains 290 km; Indian extended-range variants have been officially demonstrated beyond 400 km, with exact current range dependent on service configuration.</x:v>
      </x:c>
      <x:c r="E1031" s="32" t="str">
        <x:v>• Improved target discrimination and terminal attack profile.</x:v>
      </x:c>
      <x:c r="F1031" s="38" t="str">
        <x:v>https://brahmos.com/content.php?id=16
https://drdo.gov.in/drdo/sites/default/files/newsletter-document/april_17.pdf
https://www.pib.gov.in/Pressreleaseshare.aspx?PRID=1824795&amp;lang=2&amp;reg=48</x:v>
      </x:c>
    </x:row>
    <x:row r="1032" ht="210" customHeight="1">
      <x:c r="A1032" s="37" t="str">
        <x:v>BrahMos Aerospace</x:v>
      </x:c>
      <x:c r="B1032" s="32" t="str">
        <x:v>Missiles</x:v>
      </x:c>
      <x:c r="C1032" s="32" t="str">
        <x:v>BRAHMOS Land Attack Block-III</x:v>
      </x:c>
      <x:c r="D1032" s="32" t="str">
        <x:v>• Range: ~400 km class in public reporting
• Speed: Mach 2.8 class
• Guidance: INS/satellite navigation
• Launch: mobile autonomous launcher
• Warhead: conventional.
• Range qualification: BrahMos public/export baseline remains 290 km; Indian extended-range variants have been officially demonstrated beyond 400 km, with exact current range dependent on service configuration.</x:v>
      </x:c>
      <x:c r="E1032" s="32" t="str">
        <x:v>• Enhanced land-attack and mountain-terrain capability.</x:v>
      </x:c>
      <x:c r="F1032" s="38" t="str">
        <x:v>https://brahmos.com/content.php?id=16
https://www.brahmos.com/page/land-based-system
https://drdo.gov.in/drdo/sites/default/files/newsletter-document/april_17.pdf
https://www.pib.gov.in/Pressreleaseshare.aspx?PRID=1824795&amp;lang=2&amp;reg=48</x:v>
      </x:c>
    </x:row>
    <x:row r="1033" ht="210" customHeight="1">
      <x:c r="A1033" s="37" t="str">
        <x:v>BrahMos Aerospace</x:v>
      </x:c>
      <x:c r="B1033" s="32" t="str">
        <x:v>Missiles</x:v>
      </x:c>
      <x:c r="C1033" s="32" t="str">
        <x:v>BRAHMOS Land-Based Weapon System</x:v>
      </x:c>
      <x:c r="D1033" s="32" t="str">
        <x:v>• Two-stage missile: solid booster + liquid-fuel ramjet sustainer
• Cruise speed: ~Mach 2.8
• Published baseline range: up to 290 km; later service configurations are known to have extended range but official site retains 290 km baseline
• Cruise altitude: up to 15 km
• Terminal altitude: as low as 5 m
• Fire-and-forget
• Low radar signature
• Mobile Autonomous Launcher; canisterised weapon complex
• PJ-10 family context — Length: ~8.2 m
• PJ-10 family context — Diameter: 0.67 m
• PJ-10 family context — Launch weight: ~3,000 kg
• PJ-10 family context — Payload: up to 300 kg
• PJ-10 family context — Range: ~300–500 km depending variant
• PJ-10 family context — Export range: 290 km class historically
• PJ-10 family context — Speed: Mach 2.0–2.8
• PJ-10 family context — Propulsion: solid booster + liquid-fuel ramjet sustainer
• PJ-10 family context — Guidance: INS/GNSS + active/passive radar terminal guidance.
• Range qualification: BrahMos public/export baseline remains 290 km; Indian extended-range variants have been officially demonstrated beyond 400 km, with exact current range dependent on service configuration.</x:v>
      </x:c>
      <x:c r="E1033" s="32" t="str">
        <x:v>• Land-attack and anti-surface precision strike
• All-weather mobile operations
• PJ-10 family context — Supersonic anti-ship and land-attack cruise missile; sea-skimming/terminal manoeuvre; mobile autonomous launcher system.</x:v>
      </x:c>
      <x:c r="F1033" s="38" t="str">
        <x:v>https://www.brahmos.com/page/brahmos-missile
https://brahmos.com/
https://www.brahmos.com/
https://www.brahmos.com/page/land-based-system
https://missilethreat.csis.org/missile/brahmos/
https://drdo.gov.in/drdo/sites/default/files/newsletter-document/april_17.pdf
https://www.pib.gov.in/Pressreleaseshare.aspx?PRID=1824795&amp;lang=2&amp;reg=48</x:v>
      </x:c>
    </x:row>
    <x:row r="1034" ht="210" customHeight="1">
      <x:c r="A1034" s="37" t="str">
        <x:v>BrahMos Aerospace</x:v>
      </x:c>
      <x:c r="B1034" s="32" t="str">
        <x:v>Missiles</x:v>
      </x:c>
      <x:c r="C1034" s="32" t="str">
        <x:v>BRAHMOS Ship-Based Weapon System</x:v>
      </x:c>
      <x:c r="D1034" s="32" t="str">
        <x:v>• Missile: PJ-10 family
• Public ship-system range: up to 290 km stated by BrahMos
• Launcher: inclined/vertical launch depending ship
• Fire-control: integrated naval combat system
• Missile count: ship configuration dependent.
• Two-stage missile: solid booster + liquid-fuel ramjet sustainer
• Cruise speed: ~Mach 2.8
• Published baseline range: up to 290 km; later service configurations are known to have extended range but official site retains 290 km baseline
• Cruise altitude: up to 15 km
• Terminal altitude: as low as 5 m
• Fire-and-forget
• Low radar signature
• Vertical or inclined naval launch
• Sea-to-sea and sea-to-land modes
• PJ-10 family context — Length: ~8.2 m
• PJ-10 family context — Diameter: 0.67 m
• PJ-10 family context — Launch weight: ~3,000 kg
• PJ-10 family context — Payload: up to 300 kg
• PJ-10 family context — Range: ~300–500 km depending variant
• PJ-10 family context — Export range: 290 km class historically
• PJ-10 family context — Speed: Mach 2.0–2.8
• PJ-10 family context — Propulsion: solid booster + liquid-fuel ramjet sustainer
• PJ-10 family context — Guidance: INS/GNSS + active/passive radar terminal guidance.
• Range qualification: BrahMos public/export baseline remains 290 km; Indian extended-range variants have been officially demonstrated beyond 400 km, with exact current range dependent on service configuration.</x:v>
      </x:c>
      <x:c r="E1034" s="32" t="str">
        <x:v>• Beyond-radar-horizon anti-ship/coastal strike; salvo employment.
• Supersonic anti-ship / land-attack
• Salvo capability
• Beyond-radar-horizon strike
• PJ-10 family context — Supersonic anti-ship and land-attack cruise missile; sea-skimming/terminal manoeuvre; mobile autonomous launcher system.</x:v>
      </x:c>
      <x:c r="F1034" s="38" t="str">
        <x:v>https://www.brahmos.com/
https://www.brahmos.com/page/land-based-system
https://www.brahmos.com/page/brahmos-missile
https://brahmos.com/index.php/page/ship-based-weapon-complex
https://missilethreat.csis.org/missile/brahmos/
https://drdo.gov.in/drdo/sites/default/files/newsletter-document/april_17.pdf
https://www.pib.gov.in/Pressreleaseshare.aspx?PRID=1824795&amp;lang=2&amp;reg=48</x:v>
      </x:c>
    </x:row>
    <x:row r="1035" ht="210" customHeight="1">
      <x:c r="A1035" s="37" t="str">
        <x:v>BrahMos Aerospace</x:v>
      </x:c>
      <x:c r="B1035" s="32" t="str">
        <x:v>Missiles</x:v>
      </x:c>
      <x:c r="C1035" s="32" t="str">
        <x:v>BRAHMOS Submarine-Launched Cruise Missile (SLCM)</x:v>
      </x:c>
      <x:c r="D1035" s="32" t="str">
        <x:v>• Type: conventional submarine-launched cruise missile
• Launch: submerged conventional submarine
• Dimensions/mass/range: variant dependent and not separately published by BrahMos
• Propulsion: solid booster + ramjet family architecture.
• Two-stage missile: solid booster + liquid-fuel ramjet sustainer
• Cruise speed: ~Mach 2.8
• Published baseline range: up to 290 km; later service configurations are known to have extended range but official site retains 290 km baseline
• Cruise altitude: up to 15 km
• Terminal altitude: as low as 5 m
• Fire-and-forget
• Low radar signature
• Underwater-launched conventional attack-submarine configuration
• Range qualification: BrahMos public/export baseline remains 290 km; Indian extended-range variants have been officially demonstrated beyond 400 km, with exact current range dependent on service configuration.</x:v>
      </x:c>
      <x:c r="E1035" s="32" t="str">
        <x:v>• Underwater stand-off precision strike.
• Submerged launch
• Sea/land target capability
• Canisterised submarine weapon concept</x:v>
      </x:c>
      <x:c r="F1035" s="38" t="str">
        <x:v>https://www.brahmos.com/
https://brahmos.com/
https://www.brahmos.com/feature-of-brahmos
https://drdo.gov.in/drdo/sites/default/files/newsletter-document/april_17.pdf
https://www.pib.gov.in/Pressreleaseshare.aspx?PRID=1824795&amp;lang=2&amp;reg=48</x:v>
      </x:c>
    </x:row>
    <x:row r="1036" ht="210" customHeight="1">
      <x:c r="A1036" s="37" t="str">
        <x:v>BrahMos Aerospace</x:v>
      </x:c>
      <x:c r="B1036" s="32" t="str">
        <x:v>Missiles</x:v>
      </x:c>
      <x:c r="C1036" s="32" t="str">
        <x:v>BRAHMOS-II Hypersonic Cruise Missile</x:v>
      </x:c>
      <x:c r="D1036" s="32" t="str">
        <x:v>• Development / future concept
• Target speed class: hypersonic; historic BrahMos statements referenced Mach 5–7 class
• Detailed current dimensions, range, propulsion and warhead are not publicly disclosed
• Range qualification: BrahMos public/export baseline remains 290 km; Indian extended-range variants have been officially demonstrated beyond 400 km, with exact current range dependent on service configuration.</x:v>
      </x:c>
      <x:c r="E1036" s="32" t="str">
        <x:v>• Future hypersonic derivative
• Advanced high-speed strike</x:v>
      </x:c>
      <x:c r="F1036" s="38" t="str">
        <x:v>https://www.brahmos.com/feature-of-brahmos
https://brahmos.com/
https://drdo.gov.in/drdo/sites/default/files/newsletter-document/april_17.pdf
https://www.pib.gov.in/Pressreleaseshare.aspx?PRID=1824795&amp;lang=2&amp;reg=48</x:v>
      </x:c>
    </x:row>
    <x:row r="1037" ht="210" customHeight="1">
      <x:c r="A1037" s="37" t="str">
        <x:v>BrahMos Aerospace</x:v>
      </x:c>
      <x:c r="B1037" s="32" t="str">
        <x:v>Missiles</x:v>
      </x:c>
      <x:c r="C1037" s="32" t="str">
        <x:v>BRAHMOS-NG</x:v>
      </x:c>
      <x:c r="D1037" s="32" t="str">
        <x:v>• Target weight: reduced versus standard BRAHMOS
• Target length/diameter: compacted architecture
• Speed/range: not finalized publicly
• Launch platforms planned: Su-30MKI, LCA Tejas, later ground/naval/submarine systems
• Propulsion: next-generation ramjet architecture under development.
• Development-stage compact derivative
• Reduced dimensions and weight versus current BRAHMOS
• Planned first prototype in air-launched configuration
• Planned integration: Su-30MKI then LCA Tejas; later land/naval/submarine
• Range qualification: BrahMos public/export baseline remains 290 km; Indian extended-range variants have been officially demonstrated beyond 400 km, with exact current range dependent on service configuration.</x:v>
      </x:c>
      <x:c r="E1037" s="32" t="str">
        <x:v>• Smaller, lighter, stealthier derivative; higher platform carriage quantity; enhanced ECCM.
• Next-generation stealth
• Greater ECCM effectiveness
• Vertical-launch readiness
• Higher indigenous content
• More missiles per platform</x:v>
      </x:c>
      <x:c r="F1037" s="38" t="str">
        <x:v>https://www.brahmos.com/page/brahmos-ng
https://brahmos.com/index.php/page/brahmos-ng
https://drdo.gov.in/drdo/sites/default/files/newsletter-document/april_17.pdf
https://www.pib.gov.in/Pressreleaseshare.aspx?PRID=1824795&amp;lang=2&amp;reg=48</x:v>
      </x:c>
    </x:row>
    <x:row r="1038" ht="210" customHeight="1">
      <x:c r="A1038" s="37" t="str">
        <x:v>Premier Explosives</x:v>
      </x:c>
      <x:c r="B1038" s="32" t="str">
        <x:v>Ammunition</x:v>
      </x:c>
      <x:c r="C1038" s="32" t="str">
        <x:v>70 mm Rocket</x:v>
      </x:c>
      <x:c r="D1038" s="32" t="str">
        <x:v>• Calibre: 70 mm
• Type: aircraft rocket
• Propulsion/warhead: development configuration
• Range, mass, motor and warhead: not publicly disclosed.</x:v>
      </x:c>
      <x:c r="E1038" s="32" t="str">
        <x:v>• New defence product under development for Indian Air Force requirements.</x:v>
      </x:c>
      <x:c r="F1038" s="38" t="str">
        <x:v>https://www.pelgel.com/presentations/Investor_Presentation_30052024.pdf</x:v>
      </x:c>
    </x:row>
    <x:row r="1039" ht="210" customHeight="1">
      <x:c r="A1039" s="37" t="str">
        <x:v>Premier Explosives</x:v>
      </x:c>
      <x:c r="B1039" s="32" t="str">
        <x:v>Ammunition</x:v>
      </x:c>
      <x:c r="C1039" s="32" t="str">
        <x:v>Agni Strategic Pyrogen Igniter / Daisy-II Motor</x:v>
      </x:c>
      <x:c r="D1039" s="32" t="str">
        <x:v>• Component: pyrogen igniter / motor technology
• Application: strategic missile program
• Detailed dimensions, mass and performance: not publicly disclosed.
• Pyrogen igniters for strategic missiles
• Daisy-II motor capability
• Exact energetic composition not public</x:v>
      </x:c>
      <x:c r="E1039" s="32" t="str">
        <x:v>• Initiation/propulsion components for strategic missiles.
• Strategic-missile ignition / propulsion subsystem</x:v>
      </x:c>
      <x:c r="F1039" s="38" t="str">
        <x:v>https://www.pelgel.com/annual-reports/Premier_AR_2024.pdf
https://www.pelgel.com/presentations/Investor_Presentation_30052024.pdf
https://nsearchives.nseindia.com/annual_reports/AR_28827_PREMEXPLN_2024_2025_A_1627996_06092025194124.pdf
https://sae-group.net/
https://www.sambuz.com/doc/premier-explosives-limited-ppt-presentation-76138</x:v>
      </x:c>
    </x:row>
    <x:row r="1040" ht="210" customHeight="1">
      <x:c r="A1040" s="37" t="str">
        <x:v>Premier Explosives</x:v>
      </x:c>
      <x:c r="B1040" s="32" t="str">
        <x:v>Ammunition</x:v>
      </x:c>
      <x:c r="C1040" s="32" t="str">
        <x:v>Air Target Imitator Rocket / Motor</x:v>
      </x:c>
      <x:c r="D1040" s="32" t="str">
        <x:v>• Type: aerial target / missile-test target
• Propulsion: rocket/motor dependent
• Dimensions, speed, endurance and signature characteristics: not publicly disclosed.
• Target-imitator propulsion/pyrotechnic product
• Detailed public performance unavailable</x:v>
      </x:c>
      <x:c r="E1040" s="32" t="str">
        <x:v>• Air-defence training and evaluation target.
• Training / air-defence target simulation</x:v>
      </x:c>
      <x:c r="F1040" s="38" t="str">
        <x:v>https://www.pelgel.com/presentations/Investor_Presentation_30052024.pdf
https://nsearchives.nseindia.com/annual_reports/AR_28827_PREMEXPLN_2024_2025_A_1627996_06092025194124.pdf
https://sae-group.net/
https://www.sambuz.com/doc/premier-explosives-limited-ppt-presentation-76138</x:v>
      </x:c>
    </x:row>
    <x:row r="1041" ht="210" customHeight="1">
      <x:c r="A1041" s="37" t="str">
        <x:v>Premier Explosives</x:v>
      </x:c>
      <x:c r="B1041" s="32" t="str">
        <x:v>Ammunition</x:v>
      </x:c>
      <x:c r="C1041" s="32" t="str">
        <x:v>Akash Booster &amp; Sustainer Grains</x:v>
      </x:c>
      <x:c r="D1041" s="32" t="str">
        <x:v>• Component: booster and sustainer grains
• Quantities publicly reported: 2,000+ booster grains and 450+ sustainer grains supplied historically
• Dimensions/formulation: missile-specific and not publicly disclosed.
• Solid-propellant booster grains for Akash SAM
• PEL historically supplied 2,000+ booster grains
• Fuel-rich sustainer propellant grains
• PEL historically supplied 450+ sustainer grains</x:v>
      </x:c>
      <x:c r="E1041" s="32" t="str">
        <x:v>• Indigenous propellant supply for Akash surface-to-air missile.
• Missile propulsion component
• Air-defence missile propulsion component</x:v>
      </x:c>
      <x:c r="F1041" s="38" t="str">
        <x:v>https://www.pelgel.com/annual-reports/Premier_AR_2024.pdf
https://nsearchives.nseindia.com/annual_reports/AR_28827_PREMEXPLN_2024_2025_A_1627996_06092025194124.pdf
https://sae-group.net/
https://www.sambuz.com/doc/premier-explosives-limited-ppt-presentation-76138</x:v>
      </x:c>
    </x:row>
    <x:row r="1042" ht="210" customHeight="1">
      <x:c r="A1042" s="37" t="str">
        <x:v>Premier Explosives</x:v>
      </x:c>
      <x:c r="B1042" s="32" t="str">
        <x:v>Ammunition</x:v>
      </x:c>
      <x:c r="C1042" s="32" t="str">
        <x:v>Astra Solid Propellant</x:v>
      </x:c>
      <x:c r="D1042" s="32" t="str">
        <x:v>• Component: solid rocket motor propellant
• Formulation: non-aluminised propellant publicly identified
• Dimensions, total motor mass and thrust curve: not publicly disclosed.
• Smokeless / non-aluminium propellant compositions developed for Astra AAM
• Exact composition classified/not public</x:v>
      </x:c>
      <x:c r="E1042" s="32" t="str">
        <x:v>• Propulsion supply for Astra air-to-air missile program.
• Air-to-air missile propulsion material</x:v>
      </x:c>
      <x:c r="F1042" s="38" t="str">
        <x:v>https://www.pelgel.com/presentations/Investor_Presentation_30052024.pdf
https://nsearchives.nseindia.com/annual_reports/AR_28827_PREMEXPLN_2024_2025_A_1627996_06092025194124.pdf
https://sae-group.net/
https://www.sambuz.com/doc/premier-explosives-limited-ppt-presentation-76138</x:v>
      </x:c>
    </x:row>
    <x:row r="1043" ht="210" customHeight="1">
      <x:c r="A1043" s="37" t="str">
        <x:v>Premier Explosives</x:v>
      </x:c>
      <x:c r="B1043" s="32" t="str">
        <x:v>Ammunition</x:v>
      </x:c>
      <x:c r="C1043" s="32" t="str">
        <x:v>BrahMos Solid-Propellant Booster Material</x:v>
      </x:c>
      <x:c r="D1043" s="32" t="str">
        <x:v>• Component: missile propulsion-related hardware/propellant contribution
• Specific component dimensions and propellant mass: not publicly disclosed.
• Technology-transfer / production capability for BrahMos solid propellant programme
• Exact formulation and motor performance not public</x:v>
      </x:c>
      <x:c r="E1043" s="32" t="str">
        <x:v>• Industrial participation in BrahMos missile program.
• Cruise-missile booster propulsion</x:v>
      </x:c>
      <x:c r="F1043" s="38" t="str">
        <x:v>https://www.pelgel.com/presentations/Investor_Presentation_30052024.pdf
https://nsearchives.nseindia.com/annual_reports/AR_28827_PREMEXPLN_2024_2025_A_1627996_06092025194124.pdf
https://sae-group.net/
https://www.sambuz.com/doc/premier-explosives-limited-ppt-presentation-76138</x:v>
      </x:c>
    </x:row>
    <x:row r="1044" ht="210" customHeight="1">
      <x:c r="A1044" s="37" t="str">
        <x:v>Premier Explosives</x:v>
      </x:c>
      <x:c r="B1044" s="32" t="str">
        <x:v>Ammunition</x:v>
      </x:c>
      <x:c r="C1044" s="32" t="str">
        <x:v>Chaff &amp; IR Flare Countermeasure Ammunition</x:v>
      </x:c>
      <x:c r="D1044" s="32" t="str">
        <x:v>• Type: countermeasure payloads
• Chaff: RF-reflective payload
• Flare: IR countermeasure payload
• Rocket/cartridge dimensions and payload mass: variant dependent.
• Aircraft countermeasure pyrotechnics
• Exact cartridge composition/burn time depends on product</x:v>
      </x:c>
      <x:c r="E1044" s="32" t="str">
        <x:v>• Aircraft self-protection countermeasures.
• Radar/IR decoy countermeasures</x:v>
      </x:c>
      <x:c r="F1044" s="38" t="str">
        <x:v>https://www.pelgel.com/presentations/Investor_Presentation_30052024.pdf
https://nsearchives.nseindia.com/annual_reports/AR_28827_PREMEXPLN_2024_2025_A_1627996_06092025194124.pdf
https://sae-group.net/
https://www.sambuz.com/doc/premier-explosives-limited-ppt-presentation-76138</x:v>
      </x:c>
    </x:row>
    <x:row r="1045" ht="210" customHeight="1">
      <x:c r="A1045" s="37" t="str">
        <x:v>Premier Explosives</x:v>
      </x:c>
      <x:c r="B1045" s="32" t="str">
        <x:v>Ammunition</x:v>
      </x:c>
      <x:c r="C1045" s="32" t="str">
        <x:v>LRSAM Solid Propellant</x:v>
      </x:c>
      <x:c r="D1045" s="32" t="str">
        <x:v>• Solid propellant for LRSAM programme
• Composition / grain data not public</x:v>
      </x:c>
      <x:c r="E1045" s="32" t="str">
        <x:v>• Missile propulsion material</x:v>
      </x:c>
      <x:c r="F1045" s="38" t="str">
        <x:v>https://nsearchives.nseindia.com/annual_reports/AR_28827_PREMEXPLN_2024_2025_A_1627996_06092025194124.pdf
https://sae-group.net/
https://www.sambuz.com/doc/premier-explosives-limited-ppt-presentation-76138</x:v>
      </x:c>
    </x:row>
    <x:row r="1046" ht="210" customHeight="1">
      <x:c r="A1046" s="37" t="str">
        <x:v>Premier Explosives</x:v>
      </x:c>
      <x:c r="B1046" s="32" t="str">
        <x:v>Ammunition</x:v>
      </x:c>
      <x:c r="C1046" s="32" t="str">
        <x:v>MRSAM Solid Propellant</x:v>
      </x:c>
      <x:c r="D1046" s="32" t="str">
        <x:v>• Component: solid propellant requirement
• Public contribution: PEL states it fulfills 100% of solid-propellant requirements for MRSAM
• Exact grain dimensions, formulation and mass: not publicly disclosed.
• Solid propellant for MRSAM programme
• PEL states it supplies programme requirements; exact grain geometry/composition not public</x:v>
      </x:c>
      <x:c r="E1046" s="32" t="str">
        <x:v>• Critical propulsion-material supplier for MRSAM.
• Missile propulsion material</x:v>
      </x:c>
      <x:c r="F1046" s="38" t="str">
        <x:v>https://www.pelgel.com/annual-reports/Premier_AR_2024.pdf
https://nsearchives.nseindia.com/annual_reports/AR_28827_PREMEXPLN_2024_2025_A_1627996_06092025194124.pdf
https://sae-group.net/
https://www.sambuz.com/doc/premier-explosives-limited-ppt-presentation-76138</x:v>
      </x:c>
    </x:row>
    <x:row r="1047" ht="210" customHeight="1">
      <x:c r="A1047" s="37" t="str">
        <x:v>Premier Explosives</x:v>
      </x:c>
      <x:c r="B1047" s="32" t="str">
        <x:v>Ammunition</x:v>
      </x:c>
      <x:c r="C1047" s="32" t="str">
        <x:v>Pinaka Mk-I Rocket</x:v>
      </x:c>
      <x:c r="D1047" s="32" t="str">
        <x:v>• Rocket-artillery munition produced under ToT
• Exact current rocket mass/range/warhead values are programme-controlled
• PEL lists Pinaka Mk I production</x:v>
      </x:c>
      <x:c r="E1047" s="32" t="str">
        <x:v>• Complete rocket / propellant manufacturing capability</x:v>
      </x:c>
      <x:c r="F1047" s="38" t="str">
        <x:v>https://nsearchives.nseindia.com/annual_reports/AR_28827_PREMEXPLN_2024_2025_A_1627996_06092025194124.pdf
https://sae-group.net/
https://www.sambuz.com/doc/premier-explosives-limited-ppt-presentation-76138</x:v>
      </x:c>
    </x:row>
    <x:row r="1048" ht="210" customHeight="1">
      <x:c r="A1048" s="37" t="str">
        <x:v>Premier Explosives</x:v>
      </x:c>
      <x:c r="B1048" s="32" t="str">
        <x:v>Ammunition</x:v>
      </x:c>
      <x:c r="C1048" s="32" t="str">
        <x:v>Pinaka Mk-II Rocket</x:v>
      </x:c>
      <x:c r="D1048" s="32" t="str">
        <x:v>• Extended-range Pinaka rocket family produced under ToT
• Exact PEL-specific technical data not publicly disclosed</x:v>
      </x:c>
      <x:c r="E1048" s="32" t="str">
        <x:v>• Rocket artillery munition</x:v>
      </x:c>
      <x:c r="F1048" s="38" t="str">
        <x:v>https://nsearchives.nseindia.com/annual_reports/AR_28827_PREMEXPLN_2024_2025_A_1627996_06092025194124.pdf
https://sae-group.net/
https://www.sambuz.com/doc/premier-explosives-limited-ppt-presentation-76138</x:v>
      </x:c>
    </x:row>
    <x:row r="1049" ht="210" customHeight="1">
      <x:c r="A1049" s="37" t="str">
        <x:v>Premier Explosives</x:v>
      </x:c>
      <x:c r="B1049" s="32" t="str">
        <x:v>Ammunition</x:v>
      </x:c>
      <x:c r="C1049" s="32" t="str">
        <x:v>Pinaka Rocket Propellant</x:v>
      </x:c>
      <x:c r="D1049" s="32" t="str">
        <x:v>• Component: solid rocket motor/propellant
• Variants: Pinaka Mk-I and Mk-II publicly identified
• Motor geometry, propellant mass and thrust: not publicly disclosed.</x:v>
      </x:c>
      <x:c r="E1049" s="32" t="str">
        <x:v>• Propellant contribution to Pinaka rocket family.</x:v>
      </x:c>
      <x:c r="F1049" s="38" t="str">
        <x:v>https://www.pelgel.com/presentations/Investor_Presentation_30052024.pdf</x:v>
      </x:c>
    </x:row>
    <x:row r="1050" ht="210" customHeight="1">
      <x:c r="A1050" s="37" t="str">
        <x:v>Premier Explosives</x:v>
      </x:c>
      <x:c r="B1050" s="32" t="str">
        <x:v>Ammunition</x:v>
      </x:c>
      <x:c r="C1050" s="32" t="str">
        <x:v>QRSAM / NGARM Solid Propellant Family</x:v>
      </x:c>
      <x:c r="D1050" s="32" t="str">
        <x:v>• Component: solid rocket motor propellant
• Applications: QRSAM and NGARM
• Exact formulation, grain geometry, mass and performance: not publicly disclosed.
• Solid propellant for QRSAM programme
• P1 &amp; P2 dual-pulse rocket-motor / propellant capability listed by industry suppliers and PEL programme material</x:v>
      </x:c>
      <x:c r="E1050" s="32" t="str">
        <x:v>• Indigenous high-energy propulsion materials.
• Missile propulsion material
• Anti-radiation missile propulsion</x:v>
      </x:c>
      <x:c r="F1050" s="38" t="str">
        <x:v>https://www.pelgel.com/presentations/Investor_Presentation_30052024.pdf
https://nsearchives.nseindia.com/annual_reports/AR_28827_PREMEXPLN_2024_2025_A_1627996_06092025194124.pdf
https://sae-group.net/
https://www.sambuz.com/doc/premier-explosives-limited-ppt-presentation-76138</x:v>
      </x:c>
    </x:row>
    <x:row r="1051" ht="210" customHeight="1">
      <x:c r="A1051" s="37" t="str">
        <x:v>Premier Explosives</x:v>
      </x:c>
      <x:c r="B1051" s="32" t="str">
        <x:v>Ammunition</x:v>
      </x:c>
      <x:c r="C1051" s="32" t="str">
        <x:v>Rocket Motor Hardware</x:v>
      </x:c>
      <x:c r="D1051" s="32" t="str">
        <x:v>• Type: motor case/nozzle/hardware
• Materials: program dependent
• Dimensions and pressure ratings: customer/program specific and not publicly disclosed.</x:v>
      </x:c>
      <x:c r="E1051" s="32" t="str">
        <x:v>• Manufacture and integration of solid rocket motor hardware.</x:v>
      </x:c>
      <x:c r="F1051" s="38" t="str">
        <x:v>https://www.pelgel.com/presentations/Investor_Presentation_30052024.pdf</x:v>
      </x:c>
    </x:row>
    <x:row r="1052" ht="210" customHeight="1">
      <x:c r="A1052" s="37" t="str">
        <x:v>Premier Explosives</x:v>
      </x:c>
      <x:c r="B1052" s="32" t="str">
        <x:v>Ammunition</x:v>
      </x:c>
      <x:c r="C1052" s="32" t="str">
        <x:v>Sledge Rocket Motor</x:v>
      </x:c>
      <x:c r="D1052" s="32" t="str">
        <x:v>• In-house / ToT rocket motor product
• Detailed thrust, burn time and dimensions not public</x:v>
      </x:c>
      <x:c r="E1052" s="32" t="str">
        <x:v>• Test / defence rocket propulsion</x:v>
      </x:c>
      <x:c r="F1052" s="38" t="str">
        <x:v>https://nsearchives.nseindia.com/annual_reports/AR_28827_PREMEXPLN_2024_2025_A_1627996_06092025194124.pdf
https://sae-group.net/
https://www.sambuz.com/doc/premier-explosives-limited-ppt-presentation-76138</x:v>
      </x:c>
    </x:row>
    <x:row r="1053" ht="210" customHeight="1">
      <x:c r="A1053" s="37" t="str">
        <x:v>Premier Explosives</x:v>
      </x:c>
      <x:c r="B1053" s="32" t="str">
        <x:v>Ammunition</x:v>
      </x:c>
      <x:c r="C1053" s="32" t="str">
        <x:v>Solid Propellant Families</x:v>
      </x:c>
      <x:c r="D1053" s="32" t="str">
        <x:v>• Propellant types: composite solid propellants
• Materials publicly identified: Ammonium Perchlorate, HTPB, CL-20 and related high-energy formulations
• Grain geometry: program dependent
• Burn characteristics: formulation dependent
• Dimensions/mass: missile-specific.</x:v>
      </x:c>
      <x:c r="E1053" s="32" t="str">
        <x:v>• Propellant manufacturing for tactical and strategic missile programs.</x:v>
      </x:c>
      <x:c r="F1053" s="38" t="str">
        <x:v>https://www.pelgel.com/presentations/Investor_Presentation_30052024.pdf
https://www.pelgel.com/annual-reports/Premier_AR_2024.pdf</x:v>
      </x:c>
    </x:row>
    <x:row r="1054" ht="210" customHeight="1">
      <x:c r="A1054" s="37" t="str">
        <x:v>Premier Explosives</x:v>
      </x:c>
      <x:c r="B1054" s="32" t="str">
        <x:v>Ammunition</x:v>
      </x:c>
      <x:c r="C1054" s="32" t="str">
        <x:v>Warhead / High-Energy Material Products</x:v>
      </x:c>
      <x:c r="D1054" s="32" t="str">
        <x:v>• Materials: RDX/HMX and energetic compounds
• Application: missile/rocket warheads
• Filling mass, geometry and exact formulations: program dependent/not disclosed.</x:v>
      </x:c>
      <x:c r="E1054" s="32" t="str">
        <x:v>• Warhead and energetic-material manufacturing for defence programs.</x:v>
      </x:c>
      <x:c r="F1054" s="38" t="str">
        <x:v>https://www.pelgel.com/annual-reports/Premier_AR_2024.pdf</x:v>
      </x:c>
    </x:row>
    <x:row r="1055" ht="210" customHeight="1">
      <x:c r="A1055" s="37" t="str">
        <x:v>Solar Industries</x:v>
      </x:c>
      <x:c r="B1055" s="32" t="str">
        <x:v>Ammunition</x:v>
      </x:c>
      <x:c r="C1055" s="32" t="str">
        <x:v>155 mm Artillery Shell Family</x:v>
      </x:c>
      <x:c r="D1055" s="32" t="str">
        <x:v>• Calibre: 155 mm
• Types: large-calibre HE and related ammunition
• Fuze, filling, muzzle velocity and range: gun/ammunition configuration dependent
• Specific Solar variants: public portfolio identifies 155 mm ammunition.</x:v>
      </x:c>
      <x:c r="E1055" s="32" t="str">
        <x:v>• Large-calibre artillery ammunition manufacturing.</x:v>
      </x:c>
      <x:c r="F1055" s="38" t="str">
        <x:v>https://investmentguruindia.com/editorial/uploads/news-pdf/52331cb3_SOIL-3-12-25-PL.pdf
https://www.scribd.com/document/1057338167/Defence-and-Aerospace-Apr26-IC</x:v>
      </x:c>
    </x:row>
    <x:row r="1056" ht="210" customHeight="1">
      <x:c r="A1056" s="37" t="str">
        <x:v>Solar Industries</x:v>
      </x:c>
      <x:c r="B1056" s="32" t="str">
        <x:v>Ammunition</x:v>
      </x:c>
      <x:c r="C1056" s="32" t="str">
        <x:v>23 mm Ammunition</x:v>
      </x:c>
      <x:c r="D1056" s="32" t="str">
        <x:v>• Calibre: 23 mm
• Projectile type: aircraft/air-defence ammunition family
• Exact projectile mass, muzzle velocity and range: variant dependent.</x:v>
      </x:c>
      <x:c r="E1056" s="32" t="str">
        <x:v>• Medium-calibre ammunition production.</x:v>
      </x:c>
      <x:c r="F1056" s="38" t="str">
        <x:v>https://bsmedia.business-standard.com/_media/bs/data/market-reports/equity-brokertips/2026-03/17744259920.61697600.pdf</x:v>
      </x:c>
    </x:row>
    <x:row r="1057" ht="210" customHeight="1">
      <x:c r="A1057" s="37" t="str">
        <x:v>Solar Industries</x:v>
      </x:c>
      <x:c r="B1057" s="32" t="str">
        <x:v>Ammunition</x:v>
      </x:c>
      <x:c r="C1057" s="32" t="str">
        <x:v>30 mm AK-630 HE-T</x:v>
      </x:c>
      <x:c r="D1057" s="32" t="str">
        <x:v>• Calibre: 30 mm
• High-explosive tracer version for AK-630 family
• Exact projectile mass/velocity not exposed on DDP page</x:v>
      </x:c>
      <x:c r="E1057" s="32" t="str">
        <x:v>• Naval-gun tactical/training effect variant</x:v>
      </x:c>
      <x:c r="F1057" s="38" t="str">
        <x:v>https://www.ddpmod.gov.in/hi/node/7458</x:v>
      </x:c>
    </x:row>
    <x:row r="1058" ht="210" customHeight="1">
      <x:c r="A1058" s="37" t="str">
        <x:v>Solar Industries</x:v>
      </x:c>
      <x:c r="B1058" s="32" t="str">
        <x:v>Ammunition</x:v>
      </x:c>
      <x:c r="C1058" s="32" t="str">
        <x:v>30 mm AK-630 HEI</x:v>
      </x:c>
      <x:c r="D1058" s="32" t="str">
        <x:v>• Calibre: 30 mm
• High-explosive incendiary cartridge for AK-630 naval gun
• Indigenous hardware/propellant/fuze integration</x:v>
      </x:c>
      <x:c r="E1058" s="32" t="str">
        <x:v>• Naval CIWS ammunition
• Designed for longer shelf life / barrel hygiene</x:v>
      </x:c>
      <x:c r="F1058" s="38" t="str">
        <x:v>https://www.ddpmod.gov.in/hi/node/7458</x:v>
      </x:c>
    </x:row>
    <x:row r="1059" ht="210" customHeight="1">
      <x:c r="A1059" s="37" t="str">
        <x:v>Solar Industries</x:v>
      </x:c>
      <x:c r="B1059" s="32" t="str">
        <x:v>Ammunition</x:v>
      </x:c>
      <x:c r="C1059" s="32" t="str">
        <x:v>30 mm BMP-II HEI / HE-T Family</x:v>
      </x:c>
      <x:c r="D1059" s="32" t="str">
        <x:v>• Calibre: 30 mm
• HEI and HE-T ammunition for BMP-II gun family
• Hardware differs from AK-630 cartridge family despite similar calibre</x:v>
      </x:c>
      <x:c r="E1059" s="32" t="str">
        <x:v>• Army IFV cannon ammunition</x:v>
      </x:c>
      <x:c r="F1059" s="38" t="str">
        <x:v>https://www.ddpmod.gov.in/hi/node/7458</x:v>
      </x:c>
    </x:row>
    <x:row r="1060" ht="210" customHeight="1">
      <x:c r="A1060" s="37" t="str">
        <x:v>Solar Industries</x:v>
      </x:c>
      <x:c r="B1060" s="32" t="str">
        <x:v>Ammunition</x:v>
      </x:c>
      <x:c r="C1060" s="32" t="str">
        <x:v>40 mm Ammunition</x:v>
      </x:c>
      <x:c r="D1060" s="32" t="str">
        <x:v>• Calibre: 40 mm
• Product family: grenade/automatic-grenade-launcher ammunition
• Exact projectile mass, velocity and range: variant dependent/not publicly disclosed.</x:v>
      </x:c>
      <x:c r="E1060" s="32" t="str">
        <x:v>• Medium-calibre infantry ammunition.</x:v>
      </x:c>
      <x:c r="F1060" s="38" t="str">
        <x:v>https://bsmedia.business-standard.com/_media/bs/data/market-reports/equity-brokertips/2026-03/17744259920.61697600.pdf</x:v>
      </x:c>
    </x:row>
    <x:row r="1061" ht="210" customHeight="1">
      <x:c r="A1061" s="37" t="str">
        <x:v>Solar Industries</x:v>
      </x:c>
      <x:c r="B1061" s="32" t="str">
        <x:v>Ammunition</x:v>
      </x:c>
      <x:c r="C1061" s="32" t="str">
        <x:v>81 mm AT-AL Smoke Grenade</x:v>
      </x:c>
      <x:c r="D1061" s="32" t="str">
        <x:v>• Calibre: 81 mm
• Type: smoke grenade/munition
• Filling, smoke duration and effective screening area: not publicly disclosed.</x:v>
      </x:c>
      <x:c r="E1061" s="32" t="str">
        <x:v>• Smoke screening / obscuration.</x:v>
      </x:c>
      <x:c r="F1061" s="38" t="str">
        <x:v>https://bsmedia.business-standard.com/_media/bs/data/market-reports/equity-brokertips/2026-03/17744259920.61697600.pdf</x:v>
      </x:c>
    </x:row>
    <x:row r="1062" ht="210" customHeight="1">
      <x:c r="A1062" s="37" t="str">
        <x:v>Solar Industries</x:v>
      </x:c>
      <x:c r="B1062" s="32" t="str">
        <x:v>Ammunition</x:v>
      </x:c>
      <x:c r="C1062" s="32" t="str">
        <x:v>Air Bomb Family — 125/250/500/1000 kg</x:v>
      </x:c>
      <x:c r="D1062" s="32" t="str">
        <x:v>• Nominal bomb masses: 125 kg, 250 kg, 500 kg, 1,000 kg
• Type: general-purpose air bombs
• Fuze/filling/aerodynamic configuration: variant dependent
• Dimensions: bomb-specific.</x:v>
      </x:c>
      <x:c r="E1062" s="32" t="str">
        <x:v>• Air-delivered conventional bomb manufacturing and filling.</x:v>
      </x:c>
      <x:c r="F1062" s="38" t="str">
        <x:v>https://investmentguruindia.com/editorial/uploads/news-pdf/52331cb3_SOIL-3-12-25-PL.pdf
https://bsmedia.business-standard.com/_media/bs/data/market-reports/equity-brokertips/2026-03/17744259920.61697600.pdf</x:v>
      </x:c>
    </x:row>
    <x:row r="1063" ht="210" customHeight="1">
      <x:c r="A1063" s="37" t="str">
        <x:v>Solar Industries</x:v>
      </x:c>
      <x:c r="B1063" s="32" t="str">
        <x:v>Ammunition</x:v>
      </x:c>
      <x:c r="C1063" s="32" t="str">
        <x:v>Akash Composite Propellant</x:v>
      </x:c>
      <x:c r="D1063" s="32" t="str">
        <x:v>• Composite propellant / energetic materials for Akash missile; exact grain parameters not public</x:v>
      </x:c>
      <x:c r="E1063" s="32" t="str">
        <x:v>• High-energy material / propulsion component supporting Indian missile and ammunition programmes</x:v>
      </x:c>
      <x:c r="F1063" s="38" t="str">
        <x:v>https://in.linkedin.com/company/solar-industries-india-ltd
https://www.crisil.com/mnt/winshare/Ratings/RatingList/RatingDocs/SolarIndustriesIndiaLimited_April%2023_%202026_RR_393359.html</x:v>
      </x:c>
    </x:row>
    <x:row r="1064" ht="210" customHeight="1">
      <x:c r="A1064" s="37" t="str">
        <x:v>Solar Industries</x:v>
      </x:c>
      <x:c r="B1064" s="32" t="str">
        <x:v>Ammunition</x:v>
      </x:c>
      <x:c r="C1064" s="32" t="str">
        <x:v>BrahMos Composite Propellant / Booster Materials</x:v>
      </x:c>
      <x:c r="D1064" s="32" t="str">
        <x:v>• Component: booster motor
• Propulsion: solid propellant
• Dimensions, propellant mass, thrust and burn time: not publicly disclosed.
• Composite propellant for BrahMos programme; exact energetic composition and thrust data not public</x:v>
      </x:c>
      <x:c r="E1064" s="32" t="str">
        <x:v>• Booster production for BrahMos missile program.
• High-energy material / propulsion component supporting Indian missile and ammunition programmes</x:v>
      </x:c>
      <x:c r="F1064" s="38" t="str">
        <x:v>https://investmentguruindia.com/editorial/uploads/news-pdf/52331cb3_SOIL-3-12-25-PL.pdf
https://in.linkedin.com/company/solar-industries-india-ltd
https://www.crisil.com/mnt/winshare/Ratings/RatingList/RatingDocs/SolarIndustriesIndiaLimited_April%2023_%202026_RR_393359.html</x:v>
      </x:c>
    </x:row>
    <x:row r="1065" ht="210" customHeight="1">
      <x:c r="A1065" s="37" t="str">
        <x:v>Solar Industries</x:v>
      </x:c>
      <x:c r="B1065" s="32" t="str">
        <x:v>Ammunition</x:v>
      </x:c>
      <x:c r="C1065" s="32" t="str">
        <x:v>Chaff Rocket 118 — Long Range</x:v>
      </x:c>
      <x:c r="D1065" s="32" t="str">
        <x:v>• Type: RF chaff rocket
• Variant: long-range
• Payload: chaff
• Rocket dimensions, launch velocity and effective decoy range: not publicly disclosed.</x:v>
      </x:c>
      <x:c r="E1065" s="32" t="str">
        <x:v>• Radar countermeasure deployment.</x:v>
      </x:c>
      <x:c r="F1065" s="38" t="str">
        <x:v>https://investmentguruindia.com/editorial/uploads/news-pdf/52331cb3_SOIL-3-12-25-PL.pdf</x:v>
      </x:c>
    </x:row>
    <x:row r="1066" ht="210" customHeight="1">
      <x:c r="A1066" s="37" t="str">
        <x:v>Solar Industries</x:v>
      </x:c>
      <x:c r="B1066" s="32" t="str">
        <x:v>Ammunition</x:v>
      </x:c>
      <x:c r="C1066" s="32" t="str">
        <x:v>Chaff Rocket 118 — Medium Range</x:v>
      </x:c>
      <x:c r="D1066" s="32" t="str">
        <x:v>• Type: RF chaff rocket
• Variant: medium-range
• Payload: chaff
• Detailed range, mass and dimensions: not publicly disclosed.</x:v>
      </x:c>
      <x:c r="E1066" s="32" t="str">
        <x:v>• Radar countermeasure deployment.</x:v>
      </x:c>
      <x:c r="F1066" s="38" t="str">
        <x:v>https://investmentguruindia.com/editorial/uploads/news-pdf/52331cb3_SOIL-3-12-25-PL.pdf</x:v>
      </x:c>
    </x:row>
    <x:row r="1067" ht="210" customHeight="1">
      <x:c r="A1067" s="37" t="str">
        <x:v>Solar Industries</x:v>
      </x:c>
      <x:c r="B1067" s="32" t="str">
        <x:v>Ammunition</x:v>
      </x:c>
      <x:c r="C1067" s="32" t="str">
        <x:v>Guided Pinaka Rocket</x:v>
      </x:c>
      <x:c r="D1067" s="32" t="str">
        <x:v>• Calibre: 214 mm class
• Range: ~60–75 km class depending variant/source
• Guidance: inertial/satellite-assisted guidance
• Warhead: mission dependent
• Propulsion: solid rocket.
• Guided Pinaka rocket
• Solar/EEL production and export tranche publicly confirmed Jan 2026
• Detailed public seeker/range/warhead values not stated in cited official release</x:v>
      </x:c>
      <x:c r="E1067" s="32" t="str">
        <x:v>• Precision-guided extension of Pinaka family.
• Precision-guided rocket artillery</x:v>
      </x:c>
      <x:c r="F1067" s="38" t="str">
        <x:v>https://nsearchives.nseindia.com/corporate/SOLARINDS_06022025210738_pinaka12344sd1.pdf
https://investmentguruindia.com/editorial/uploads/news-pdf/52331cb3_SOIL-3-12-25-PL.pdf
https://www.pib.gov.in/PressReleasePage.aspx?PRID=2215884&amp;lang=1&amp;reg=1</x:v>
      </x:c>
    </x:row>
    <x:row r="1068" ht="210" customHeight="1">
      <x:c r="A1068" s="37" t="str">
        <x:v>Solar Industries</x:v>
      </x:c>
      <x:c r="B1068" s="32" t="str">
        <x:v>Ammunition</x:v>
      </x:c>
      <x:c r="C1068" s="32" t="str">
        <x:v>High-Energy Naval Explosives / Torpedo Warheads</x:v>
      </x:c>
      <x:c r="D1068" s="32" t="str">
        <x:v>• Type: naval explosive/warhead products
• Applications: torpedo/underwater weapon systems
• Exact charge mass, geometry and formulation: program dependent/not publicly disclosed.</x:v>
      </x:c>
      <x:c r="E1068" s="32" t="str">
        <x:v>• Naval energetic-material and warhead supply.</x:v>
      </x:c>
      <x:c r="F1068" s="38" t="str">
        <x:v>https://www.scribd.com/document/1057338167/Defence-and-Aerospace-Apr26-IC</x:v>
      </x:c>
    </x:row>
    <x:row r="1069" ht="210" customHeight="1">
      <x:c r="A1069" s="37" t="str">
        <x:v>Solar Industries</x:v>
      </x:c>
      <x:c r="B1069" s="32" t="str">
        <x:v>Ammunition</x:v>
      </x:c>
      <x:c r="C1069" s="32" t="str">
        <x:v>HMX / RDX / TNT High-Energy Materials</x:v>
      </x:c>
      <x:c r="D1069" s="32" t="str">
        <x:v>• Materials: HMX, RDX, TNT
• Physical form: explosive compounds / fillings
• Purity and exact formulation: grade dependent.
• Military high explosives / compounded products used in warheads and ammunition
• Product grades/specifications vary by contract</x:v>
      </x:c>
      <x:c r="E1069" s="32" t="str">
        <x:v>• High-energy material supply for ammunition, warheads and defence systems.
• High-energy material / propulsion component supporting Indian missile and ammunition programmes</x:v>
      </x:c>
      <x:c r="F1069" s="38" t="str">
        <x:v>https://investmentguruindia.com/editorial/uploads/news-pdf/52331cb3_SOIL-3-12-25-PL.pdf
https://www.scribd.com/document/1057338167/Defence-and-Aerospace-Apr26-IC
https://in.linkedin.com/company/solar-industries-india-ltd
https://www.crisil.com/mnt/winshare/Ratings/RatingList/RatingDocs/SolarIndustriesIndiaLimited_April%2023_%202026_RR_393359.html</x:v>
      </x:c>
    </x:row>
    <x:row r="1070" ht="210" customHeight="1">
      <x:c r="A1070" s="37" t="str">
        <x:v>Solar Industries</x:v>
      </x:c>
      <x:c r="B1070" s="32" t="str">
        <x:v>Ammunition</x:v>
      </x:c>
      <x:c r="C1070" s="32" t="str">
        <x:v>Mines — Tandav / Adrushi / M55 / M95</x:v>
      </x:c>
      <x:c r="D1070" s="32" t="str">
        <x:v>• Type: land-mine family
• Models: Tandav, Adrushi, M55, M95
• Fuze, explosive filling, dimensions and activation characteristics: not publicly disclosed.</x:v>
      </x:c>
      <x:c r="E1070" s="32" t="str">
        <x:v>• New-generation mine products and mine manufacturing.</x:v>
      </x:c>
      <x:c r="F1070" s="38" t="str">
        <x:v>https://investmentguruindia.com/editorial/uploads/news-pdf/52331cb3_SOIL-3-12-25-PL.pdf</x:v>
      </x:c>
    </x:row>
    <x:row r="1071" ht="210" customHeight="1">
      <x:c r="A1071" s="37" t="str">
        <x:v>Solar Industries</x:v>
      </x:c>
      <x:c r="B1071" s="32" t="str">
        <x:v>Ammunition</x:v>
      </x:c>
      <x:c r="C1071" s="32" t="str">
        <x:v>Multi-Mode Hand Grenade</x:v>
      </x:c>
      <x:c r="D1071" s="32" t="str">
        <x:v>• Type: hand grenade
• Fuzing: multi-mode
• Filling/fragmentation geometry and mass: not publicly disclosed.
• Indian indigenous multi-mode hand grenade
• Offensive/defensive mode family; exact public fragment/radius data not repeated in 2026 PIB release</x:v>
      </x:c>
      <x:c r="E1071" s="32" t="str">
        <x:v>• Multiple initiation modes; fragmentation anti-personnel effect.
• Indian Army service hand grenade
• Private-sector manufacture</x:v>
      </x:c>
      <x:c r="F1071" s="38" t="str">
        <x:v>https://bsmedia.business-standard.com/_media/bs/data/market-reports/equity-brokertips/2026-03/17744259920.61697600.pdf
https://www.pib.gov.in/PressReleasePage.aspx?PRID=2215884&amp;lang=1&amp;reg=1</x:v>
      </x:c>
    </x:row>
    <x:row r="1072" ht="210" customHeight="1">
      <x:c r="A1072" s="37" t="str">
        <x:v>Solar Industries</x:v>
      </x:c>
      <x:c r="B1072" s="32" t="str">
        <x:v>Ammunition</x:v>
      </x:c>
      <x:c r="C1072" s="32" t="str">
        <x:v>Pinaka Area Denial Munition (ADM) Type-1</x:v>
      </x:c>
      <x:c r="D1072" s="32" t="str">
        <x:v>• Pinaka rocket with DPICM/submunition warhead
• Designed to deliver submunitions over larger area
• Exact range/mass not disclosed in cited MoD contract release</x:v>
      </x:c>
      <x:c r="E1072" s="32" t="str">
        <x:v>• Targets mechanised forces, vehicles and personnel
• Area-denial rocket munition</x:v>
      </x:c>
      <x:c r="F1072" s="38" t="str">
        <x:v>https://www.drdo.gov.in/drdo/sites/default/files/drdo-news-documents/NPC07Feb2025.pdf</x:v>
      </x:c>
    </x:row>
    <x:row r="1073" ht="210" customHeight="1">
      <x:c r="A1073" s="37" t="str">
        <x:v>Solar Industries</x:v>
      </x:c>
      <x:c r="B1073" s="32" t="str">
        <x:v>Ammunition</x:v>
      </x:c>
      <x:c r="C1073" s="32" t="str">
        <x:v>Pinaka ER Rocket</x:v>
      </x:c>
      <x:c r="D1073" s="32" t="str">
        <x:v>• Calibre: 214 mm class
• Target range: up to ~120 km and longer-range concepts up to ~300 km reported
• Propulsion: solid rocket
• Guidance/warhead: variant dependent.</x:v>
      </x:c>
      <x:c r="E1073" s="32" t="str">
        <x:v>• Extended-range development beyond existing Pinaka family.</x:v>
      </x:c>
      <x:c r="F1073" s="38" t="str">
        <x:v>https://www.scribd.com/document/1057338167/Defence-and-Aerospace-Apr26-IC
https://investmentguruindia.com/editorial/uploads/news-pdf/52331cb3_SOIL-3-12-25-PL.pdf</x:v>
      </x:c>
    </x:row>
    <x:row r="1074" ht="210" customHeight="1">
      <x:c r="A1074" s="37" t="str">
        <x:v>Solar Industries</x:v>
      </x:c>
      <x:c r="B1074" s="32" t="str">
        <x:v>Ammunition</x:v>
      </x:c>
      <x:c r="C1074" s="32" t="str">
        <x:v>Pinaka HEPF Mk-I (Enhanced) Rocket</x:v>
      </x:c>
      <x:c r="D1074" s="32" t="str">
        <x:v>• Calibre: 214 mm class
• Range: ~45 km class in public reporting
• Warhead: HEPF/ADM variants
• Propulsion: solid rocket motor
• Launch: Pinaka MBRL.
• Enhanced-range Pinaka high-explosive pre-fragmented rocket
• DRDO transferred technology to industry; exact detailed round parameters not public in EEL release</x:v>
      </x:c>
      <x:c r="E1074" s="32" t="str">
        <x:v>• Extended-range rocket
• Solar/EEL is production agency for multiple Pinaka variants.
• Rocket-artillery high-explosive munition
• Series-production contract</x:v>
      </x:c>
      <x:c r="F1074" s="38" t="str">
        <x:v>https://nsearchives.nseindia.com/corporate/SOLARINDS_06022025210738_pinaka12344sd1.pdf
https://investmentguruindia.com/editorial/uploads/news-pdf/52331cb3_SOIL-3-12-25-PL.pdf
https://www.drdo.gov.in/drdo/sites/default/files/drdo-news-documents/NPC07Feb2025.pdf
https://www.pib.gov.in/newsite/PrintRelease.aspx?lang=2&amp;reg=48&amp;relid=235102</x:v>
      </x:c>
    </x:row>
    <x:row r="1075" ht="210" customHeight="1">
      <x:c r="A1075" s="37" t="str">
        <x:v>Solar Industries</x:v>
      </x:c>
      <x:c r="B1075" s="32" t="str">
        <x:v>Ammunition</x:v>
      </x:c>
      <x:c r="C1075" s="32" t="str">
        <x:v>Pinaka Mk-I Rocket</x:v>
      </x:c>
      <x:c r="D1075" s="32" t="str">
        <x:v>• Calibre: 214 mm class
• Rocket length: ~4 m class
• Warhead: conventional HE variants
• Range: ~37.5 km class
• Propulsion: solid rocket motor
• Launch: Pinaka MBRL.</x:v>
      </x:c>
      <x:c r="E1075" s="32" t="str">
        <x:v>• Area-saturation artillery rocket; rapid salvo employment.</x:v>
      </x:c>
      <x:c r="F1075" s="38" t="str">
        <x:v>https://nsearchives.nseindia.com/corporate/SOLARINDS_06022025210738_pinaka12344sd1.pdf</x:v>
      </x:c>
    </x:row>
    <x:row r="1076" ht="210" customHeight="1">
      <x:c r="A1076" s="37" t="str">
        <x:v>Solar Industries</x:v>
      </x:c>
      <x:c r="B1076" s="32" t="str">
        <x:v>Ammunition</x:v>
      </x:c>
      <x:c r="C1076" s="32" t="str">
        <x:v>Pinaka Rocket Propellant</x:v>
      </x:c>
      <x:c r="D1076" s="32" t="str">
        <x:v>• Composite rocket propellant for Pinaka family; exact formulation not public</x:v>
      </x:c>
      <x:c r="E1076" s="32" t="str">
        <x:v>• High-energy material / propulsion component supporting Indian missile and ammunition programmes</x:v>
      </x:c>
      <x:c r="F1076" s="38" t="str">
        <x:v>https://in.linkedin.com/company/solar-industries-india-ltd
https://www.crisil.com/mnt/winshare/Ratings/RatingList/RatingDocs/SolarIndustriesIndiaLimited_April%2023_%202026_RR_393359.html</x:v>
      </x:c>
    </x:row>
    <x:row r="1077" ht="210" customHeight="1">
      <x:c r="A1077" s="37" t="str">
        <x:v>Solar Industries</x:v>
      </x:c>
      <x:c r="B1077" s="32" t="str">
        <x:v>Ammunition</x:v>
      </x:c>
      <x:c r="C1077" s="32" t="str">
        <x:v>YDB-60 Fuze</x:v>
      </x:c>
      <x:c r="D1077" s="32" t="str">
        <x:v>• Type: fuze
• Application: ammunition/munition initiation
• Physical dimensions, arming sequence and technical thresholds: not publicly disclosed.</x:v>
      </x:c>
      <x:c r="E1077" s="32" t="str">
        <x:v>• Initiating/fuzing system for defence ammunition.</x:v>
      </x:c>
      <x:c r="F1077" s="38" t="str">
        <x:v>https://investmentguruindia.com/editorial/uploads/news-pdf/52331cb3_SOIL-3-12-25-PL.pdf</x:v>
      </x:c>
    </x:row>
    <x:row r="1078" ht="210" customHeight="1">
      <x:c r="A1078" s="37" t="str">
        <x:v>Solar Industries</x:v>
      </x:c>
      <x:c r="B1078" s="32" t="str">
        <x:v>UAVs/Drones</x:v>
      </x:c>
      <x:c r="C1078" s="32" t="str">
        <x:v>NAGASTRA-1</x:v>
      </x:c>
      <x:c r="D1078" s="32" t="str">
        <x:v>• System weight: ~30 kg including launcher/GCS/system elements
• Munition weight: ~8–9 kg
• Warhead: ~1–1.5 kg HE-fragmentation
• Range: ~15 km man-in-loop / 30–40 km autonomous in public reporting
• Endurance: ~30–60 min depending configuration
• Propulsion: electric
• Accuracy: ~2 m CEP reported
• Recovery: parachute abort/recovery capability.
• Air vehicle weight: ~8–9 kg public reporting
• System weight: ~30 kg in two backpacks
• Endurance: ~30 min baseline; later reports cite 60 min
• Range: 15 km man-in-loop
• 30–40 km autonomous
• Accuracy: up to ~2 m CEP
• Electric fixed-wing; pneumatic launch; parachute recovery</x:v>
      </x:c>
      <x:c r="E1078" s="32" t="str">
        <x:v>• Man-portable loitering munition; day/night EO
• GPS/NavIC-assisted navigation; abort and recovery; precision strike.
• Man-portable loitering munition
• Day/night cameras
• Abort/recover/reuse if mission cancelled
• Low acoustic signature</x:v>
      </x:c>
      <x:c r="F1078" s="38" t="str">
        <x:v>https://nsearchives.nseindia.com/corporate/SOLARINDS_06022025210738_pinaka12344sd1.pdf
https://investmentguruindia.com/editorial/uploads/news-pdf/52331cb3_SOIL-3-12-25-PL.pdf
https://www.solargroup.com/about.html
https://weaponsofconflict.com/weapons/nagastra-1</x:v>
      </x:c>
    </x:row>
    <x:row r="1079" ht="210" customHeight="1">
      <x:c r="A1079" s="37" t="str">
        <x:v>Solar Industries</x:v>
      </x:c>
      <x:c r="B1079" s="32" t="str">
        <x:v>UAVs/Drones</x:v>
      </x:c>
      <x:c r="C1079" s="32" t="str">
        <x:v>NAGASTRA-1R</x:v>
      </x:c>
      <x:c r="D1079" s="32" t="str">
        <x:v>• Improved/recoverable Nagastra-1 family variant
• Exact final production values not fully disclosed in official material located; public reporting describes enhanced range/endurance and reusable recovery architecture</x:v>
      </x:c>
      <x:c r="E1079" s="32" t="str">
        <x:v>• Precision loitering strike
• Parachute recovery / mission abort</x:v>
      </x:c>
      <x:c r="F1079" s="38" t="str">
        <x:v>https://www.solargroup.com/about.html</x:v>
      </x:c>
    </x:row>
    <x:row r="1080" ht="210" customHeight="1">
      <x:c r="A1080" s="37" t="str">
        <x:v>Solar Industries</x:v>
      </x:c>
      <x:c r="B1080" s="32" t="str">
        <x:v>UAVs/Drones</x:v>
      </x:c>
      <x:c r="C1080" s="32" t="str">
        <x:v>NAGASTRA-2</x:v>
      </x:c>
      <x:c r="D1080" s="32" t="str">
        <x:v>• Weight: ~12 kg class reported
• Warhead: ~2.2–4 kg class reported
• Range: &gt;25 km reported
• Endurance: up to ~90 min reported
• Guidance/control: man-in-loop
• Target class: anti-personnel/anti-armour depending payload.
• Public reporting: &gt;25 km range
• Endurance: ~90 min
• MTOW: ~12–16 kg range in open reporting
• Warhead options: ~2.2–4 kg anti-personnel / anti-tank</x:v>
      </x:c>
      <x:c r="E1080" s="32" t="str">
        <x:v>• Longer-endurance loitering munition under development.
• Heavier anti-armour loitering munition
• Man-in-loop precision strike</x:v>
      </x:c>
      <x:c r="F1080" s="38" t="str">
        <x:v>https://investmentguruindia.com/editorial/uploads/news-pdf/52331cb3_SOIL-3-12-25-PL.pdf
https://duorope.github.io/Drones-of-India/</x:v>
      </x:c>
    </x:row>
    <x:row r="1081" ht="210" customHeight="1">
      <x:c r="A1081" s="37" t="str">
        <x:v>Solar Industries</x:v>
      </x:c>
      <x:c r="B1081" s="32" t="str">
        <x:v>UAVs/Drones</x:v>
      </x:c>
      <x:c r="C1081" s="32" t="str">
        <x:v>NAGASTRA-3</x:v>
      </x:c>
      <x:c r="D1081" s="32" t="str">
        <x:v>• Role: MRPKS prototype
• Range: up to ~100 km reported
• Endurance: &gt;5 h reported
• Payload, weight, speed and dimensions: not publicly disclosed.
• Public reporting: up to ~100 km range
• Endurance: 3–5+ h depending source/programme phase
• Warhead: ~8.5 kg in open reporting</x:v>
      </x:c>
      <x:c r="E1081" s="32" t="str">
        <x:v>• Medium-range precision-kill loitering munition concept.
• Medium-range precision-kill / long-endurance loitering munition
• Development/pre-induction</x:v>
      </x:c>
      <x:c r="F1081" s="38" t="str">
        <x:v>https://investmentguruindia.com/editorial/uploads/news-pdf/52331cb3_SOIL-3-12-25-PL.pdf
https://duorope.github.io/Drones-of-India/</x:v>
      </x:c>
    </x:row>
    <x:row r="1082" ht="210" customHeight="1">
      <x:c r="A1082" s="37" t="str">
        <x:v>Solar Industries</x:v>
      </x:c>
      <x:c r="B1082" s="32" t="str">
        <x:v>UAVs/Drones</x:v>
      </x:c>
      <x:c r="C1082" s="32" t="str">
        <x:v>Rudrastra</x:v>
      </x:c>
      <x:c r="D1082" s="32" t="str">
        <x:v>• Type: hybrid VTOL UAV
• Payload: ~8 kg reported
• Radius: ~50 km reported
• Total mission range: &gt;170 km reported
• Endurance: ~1.5 h reported
• Propulsion: hybrid VTOL/fixed-wing
• Takeoff/landing: VTOL.</x:v>
      </x:c>
      <x:c r="E1082" s="32" t="str">
        <x:v>• Deep-penetration ISR/strike; return-to-launch autonomous operation; airburst payload; runway-independent deployment.</x:v>
      </x:c>
      <x:c r="F1082" s="38" t="str">
        <x:v>https://connect.adani.com/2025/dec2025/rewind/
https://nsearchives.nseindia.com/corporate/SOLARINDS_05092025104330_signedrevisedtrasncript1234566.pdf</x:v>
      </x:c>
    </x:row>
    <x:row r="1083" ht="210" customHeight="1">
      <x:c r="A1083" s="37" t="str">
        <x:v>Solar Industries</x:v>
      </x:c>
      <x:c r="B1083" s="32" t="str">
        <x:v>UAVs/Drones</x:v>
      </x:c>
      <x:c r="C1083" s="32" t="str">
        <x:v>VTOL UAV Family</x:v>
      </x:c>
      <x:c r="D1083" s="32" t="str">
        <x:v>• Type: vertical takeoff/landing unmanned aircraft
• Dimensions, MTOW, payload, speed and endurance: variant dependent/not publicly disclosed.</x:v>
      </x:c>
      <x:c r="E1083" s="32" t="str">
        <x:v>• Runway-independent reconnaissance and weaponization platform.</x:v>
      </x:c>
      <x:c r="F1083" s="38" t="str">
        <x:v>https://investmentguruindia.com/editorial/uploads/news-pdf/52331cb3_SOIL-3-12-25-PL.pdf</x:v>
      </x:c>
    </x:row>
    <x:row r="1084" ht="210" customHeight="1">
      <x:c r="A1084" s="39" t="str">
        <x:v>Solar Industries</x:v>
      </x:c>
      <x:c r="B1084" s="40" t="str">
        <x:v>Missiles</x:v>
      </x:c>
      <x:c r="C1084" s="40" t="str">
        <x:v>Bhargavastra Counter-Drone Micro-Missile System</x:v>
      </x:c>
      <x:c r="D1084" s="40" t="str">
        <x:v>• Detection range: ~6–10 km reported depending target
• Intercept range: up to ~2.5 km
• Launcher capacity: up to 64 micro-rockets/micro-missiles reported
• Guidance: guided layer with EO/IR/CCD architecture reported
• Propulsion: solid rocket
• Platform: mobile vehicle.
• Multi-layer system using unguided micro-rockets + guided micro-missiles
• Detection: ~6–10 km open reporting
• Guided interception: ~2.5 km open reporting
• Solid-propellant micro-missiles
• IIR/CCD terminal guidance reported
• Road-mobile / naval application concept</x:v>
      </x:c>
      <x:c r="E1084" s="40" t="str">
        <x:v>• Layered hard-kill counter-UAS; guided/unguided micro-munitions; rapid salvo; modular radar/EO/IR/RF architecture.
• Hard-kill C-UAS against drones, loitering munitions and swarms
• Layered low-cost intercept architecture</x:v>
      </x:c>
      <x:c r="F1084" s="41" t="str">
        <x:v>https://investmentguruindia.com/editorial/uploads/news-pdf/52331cb3_SOIL-3-12-25-PL.pdf
https://nsearchives.nseindia.com/corporate/SOLARINDS_05092025104330_signedrevisedtrasncript1234566.pdf
https://www.thedefensenews.com/Solar-Industries-Bhargavastra-Counter-Drone-System-Enters-Final-Trial-Phase-Completion-Expected-by-End-of-2026/</x:v>
      </x:c>
    </x:row>
  </x:sheetData>
  <x:pageMargins left="0.7" right="0.7" top="0.75" bottom="0.75" header="0.3" footer="0.3"/>
  <x:tableParts count="1">
    <x:tablePart xmlns:r="http://schemas.openxmlformats.org/officeDocument/2006/relationships" r:id="Rebb74bf808534c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22" hidden="0" customWidth="1"/>
    <x:col min="5" max="5" width="60" hidden="0" customWidth="1"/>
    <x:col min="6" max="6" width="14" hidden="0" customWidth="1"/>
    <x:col min="7" max="7" width="16" hidden="0" customWidth="1"/>
    <x:col min="8" max="8" width="18" hidden="0" customWidth="1"/>
    <x:col min="9" max="9" width="80" hidden="0" customWidth="1"/>
  </x:cols>
  <x:sheetData>
    <x:row r="1">
      <x:c r="A1" s="24" t="str">
        <x:v>Batch</x:v>
      </x:c>
      <x:c r="B1" s="24" t="str">
        <x:v>Country / Region</x:v>
      </x:c>
      <x:c r="C1" s="24" t="str">
        <x:v>Company</x:v>
      </x:c>
      <x:c r="D1" s="24" t="str">
        <x:v>Category</x:v>
      </x:c>
      <x:c r="E1" s="24" t="str">
        <x:v>Product</x:v>
      </x:c>
      <x:c r="F1" s="24" t="str">
        <x:v>Source Count</x:v>
      </x:c>
      <x:c r="G1" s="24" t="str">
        <x:v>Specs Coverage</x:v>
      </x:c>
      <x:c r="H1" s="24" t="str">
        <x:v>Features Coverage</x:v>
      </x:c>
      <x:c r="I1" s="24" t="str">
        <x:v>Review Flag</x:v>
      </x:c>
    </x:row>
    <x:row r="2" ht="72" customHeight="1">
      <x:c r="A2" s="30" t="n">
        <x:v>1</x:v>
      </x:c>
      <x:c r="B2" s="30" t="str">
        <x:v>India</x:v>
      </x:c>
      <x:c r="C2" s="30" t="str">
        <x:v>AWEIL</x:v>
      </x:c>
      <x:c r="D2" s="30" t="str">
        <x:v>Artillery</x:v>
      </x:c>
      <x:c r="E2" s="30" t="str">
        <x:v>105 mm Light Field Gun (LFG)</x:v>
      </x:c>
      <x:c r="F2" s="30" t="n">
        <x:v>2</x:v>
      </x:c>
      <x:c r="G2" s="30" t="str">
        <x:v>Present</x:v>
      </x:c>
      <x:c r="H2" s="30" t="str">
        <x:v>Present</x:v>
      </x:c>
      <x:c r="I2" s="30" t="str">
        <x:v>OK</x:v>
      </x:c>
    </x:row>
    <x:row r="3" ht="72" customHeight="1">
      <x:c r="A3" s="30" t="n">
        <x:v>1</x:v>
      </x:c>
      <x:c r="B3" s="30" t="str">
        <x:v>India</x:v>
      </x:c>
      <x:c r="C3" s="30" t="str">
        <x:v>AWEIL</x:v>
      </x:c>
      <x:c r="D3" s="30" t="str">
        <x:v>Artillery</x:v>
      </x:c>
      <x:c r="E3" s="30" t="str">
        <x:v>120 mm Mortar</x:v>
      </x:c>
      <x:c r="F3" s="30" t="n">
        <x:v>3</x:v>
      </x:c>
      <x:c r="G3" s="30" t="str">
        <x:v>Present</x:v>
      </x:c>
      <x:c r="H3" s="30" t="str">
        <x:v>Present</x:v>
      </x:c>
      <x:c r="I3" s="30" t="str">
        <x:v>OK</x:v>
      </x:c>
    </x:row>
    <x:row r="4" ht="72" customHeight="1">
      <x:c r="A4" s="30" t="n">
        <x:v>1</x:v>
      </x:c>
      <x:c r="B4" s="30" t="str">
        <x:v>India</x:v>
      </x:c>
      <x:c r="C4" s="30" t="str">
        <x:v>AWEIL</x:v>
      </x:c>
      <x:c r="D4" s="30" t="str">
        <x:v>Artillery</x:v>
      </x:c>
      <x:c r="E4" s="30" t="str">
        <x:v>155 mm × 52 Cal Mounted Gun System (MGS)</x:v>
      </x:c>
      <x:c r="F4" s="30" t="n">
        <x:v>1</x:v>
      </x:c>
      <x:c r="G4" s="30" t="str">
        <x:v>Present</x:v>
      </x:c>
      <x:c r="H4" s="30" t="str">
        <x:v>Present</x:v>
      </x:c>
      <x:c r="I4" s="30" t="str">
        <x:v>Family/system/component-level entry — review if exact-model-only view is needed</x:v>
      </x:c>
    </x:row>
    <x:row r="5" ht="72" customHeight="1">
      <x:c r="A5" s="30" t="n">
        <x:v>1</x:v>
      </x:c>
      <x:c r="B5" s="30" t="str">
        <x:v>India</x:v>
      </x:c>
      <x:c r="C5" s="30" t="str">
        <x:v>AWEIL</x:v>
      </x:c>
      <x:c r="D5" s="30" t="str">
        <x:v>Artillery</x:v>
      </x:c>
      <x:c r="E5" s="30" t="str">
        <x:v>155 mm × 52 Cal Towed Gun System (TGS)</x:v>
      </x:c>
      <x:c r="F5" s="30" t="n">
        <x:v>1</x:v>
      </x:c>
      <x:c r="G5" s="30" t="str">
        <x:v>Present</x:v>
      </x:c>
      <x:c r="H5" s="30" t="str">
        <x:v>Present</x:v>
      </x:c>
      <x:c r="I5" s="30" t="str">
        <x:v>Family/system/component-level entry — review if exact-model-only view is needed</x:v>
      </x:c>
    </x:row>
    <x:row r="6" ht="72" customHeight="1">
      <x:c r="A6" s="30" t="n">
        <x:v>1</x:v>
      </x:c>
      <x:c r="B6" s="30" t="str">
        <x:v>India</x:v>
      </x:c>
      <x:c r="C6" s="30" t="str">
        <x:v>AWEIL</x:v>
      </x:c>
      <x:c r="D6" s="30" t="str">
        <x:v>Artillery</x:v>
      </x:c>
      <x:c r="E6" s="30" t="str">
        <x:v>81 mm Mortar</x:v>
      </x:c>
      <x:c r="F6" s="30" t="n">
        <x:v>3</x:v>
      </x:c>
      <x:c r="G6" s="30" t="str">
        <x:v>Present</x:v>
      </x:c>
      <x:c r="H6" s="30" t="str">
        <x:v>Present</x:v>
      </x:c>
      <x:c r="I6" s="30" t="str">
        <x:v>OK</x:v>
      </x:c>
    </x:row>
    <x:row r="7" ht="72" customHeight="1">
      <x:c r="A7" s="30" t="n">
        <x:v>1</x:v>
      </x:c>
      <x:c r="B7" s="30" t="str">
        <x:v>India</x:v>
      </x:c>
      <x:c r="C7" s="30" t="str">
        <x:v>AWEIL</x:v>
      </x:c>
      <x:c r="D7" s="30" t="str">
        <x:v>Artillery</x:v>
      </x:c>
      <x:c r="E7" s="30" t="str">
        <x:v>Arjun Tank Gun / Ordnance</x:v>
      </x:c>
      <x:c r="F7" s="30" t="n">
        <x:v>2</x:v>
      </x:c>
      <x:c r="G7" s="30" t="str">
        <x:v>Present</x:v>
      </x:c>
      <x:c r="H7" s="30" t="str">
        <x:v>Present</x:v>
      </x:c>
      <x:c r="I7" s="30" t="str">
        <x:v>OK</x:v>
      </x:c>
    </x:row>
    <x:row r="8" ht="72" customHeight="1">
      <x:c r="A8" s="30" t="n">
        <x:v>1</x:v>
      </x:c>
      <x:c r="B8" s="30" t="str">
        <x:v>India</x:v>
      </x:c>
      <x:c r="C8" s="30" t="str">
        <x:v>AWEIL</x:v>
      </x:c>
      <x:c r="D8" s="30" t="str">
        <x:v>Artillery</x:v>
      </x:c>
      <x:c r="E8" s="30" t="str">
        <x:v>Dhanush 155 mm × 45 Cal Artillery Gun System</x:v>
      </x:c>
      <x:c r="F8" s="30" t="n">
        <x:v>6</x:v>
      </x:c>
      <x:c r="G8" s="30" t="str">
        <x:v>Present</x:v>
      </x:c>
      <x:c r="H8" s="30" t="str">
        <x:v>Present</x:v>
      </x:c>
      <x:c r="I8" s="30" t="str">
        <x:v>Family/system/component-level entry — review if exact-model-only view is needed</x:v>
      </x:c>
    </x:row>
    <x:row r="9" ht="72" customHeight="1">
      <x:c r="A9" s="30" t="n">
        <x:v>1</x:v>
      </x:c>
      <x:c r="B9" s="30" t="str">
        <x:v>India</x:v>
      </x:c>
      <x:c r="C9" s="30" t="str">
        <x:v>AWEIL</x:v>
      </x:c>
      <x:c r="D9" s="30" t="str">
        <x:v>Artillery</x:v>
      </x:c>
      <x:c r="E9" s="30" t="str">
        <x:v>Sharang 155 mm × 45 Cal Up-Gunned Artillery System</x:v>
      </x:c>
      <x:c r="F9" s="30" t="n">
        <x:v>2</x:v>
      </x:c>
      <x:c r="G9" s="30" t="str">
        <x:v>Present</x:v>
      </x:c>
      <x:c r="H9" s="30" t="str">
        <x:v>Present</x:v>
      </x:c>
      <x:c r="I9" s="30" t="str">
        <x:v>Family/system/component-level entry — review if exact-model-only view is needed</x:v>
      </x:c>
    </x:row>
    <x:row r="10" ht="72" customHeight="1">
      <x:c r="A10" s="30" t="n">
        <x:v>1</x:v>
      </x:c>
      <x:c r="B10" s="30" t="str">
        <x:v>India</x:v>
      </x:c>
      <x:c r="C10" s="30" t="str">
        <x:v>AWEIL</x:v>
      </x:c>
      <x:c r="D10" s="30" t="str">
        <x:v>Artillery</x:v>
      </x:c>
      <x:c r="E10" s="30" t="str">
        <x:v>T-72 Tank Gun / Ordnance</x:v>
      </x:c>
      <x:c r="F10" s="30" t="n">
        <x:v>2</x:v>
      </x:c>
      <x:c r="G10" s="30" t="str">
        <x:v>Present</x:v>
      </x:c>
      <x:c r="H10" s="30" t="str">
        <x:v>Present</x:v>
      </x:c>
      <x:c r="I10" s="30" t="str">
        <x:v>OK</x:v>
      </x:c>
    </x:row>
    <x:row r="11" ht="72" customHeight="1">
      <x:c r="A11" s="30" t="n">
        <x:v>1</x:v>
      </x:c>
      <x:c r="B11" s="30" t="str">
        <x:v>India</x:v>
      </x:c>
      <x:c r="C11" s="30" t="str">
        <x:v>AWEIL</x:v>
      </x:c>
      <x:c r="D11" s="30" t="str">
        <x:v>Artillery</x:v>
      </x:c>
      <x:c r="E11" s="30" t="str">
        <x:v>T-90 Tank Gun / Ordnance</x:v>
      </x:c>
      <x:c r="F11" s="30" t="n">
        <x:v>2</x:v>
      </x:c>
      <x:c r="G11" s="30" t="str">
        <x:v>Present</x:v>
      </x:c>
      <x:c r="H11" s="30" t="str">
        <x:v>Present</x:v>
      </x:c>
      <x:c r="I11" s="30" t="str">
        <x:v>OK</x:v>
      </x:c>
    </x:row>
    <x:row r="12" ht="72" customHeight="1">
      <x:c r="A12" s="30" t="n">
        <x:v>1</x:v>
      </x:c>
      <x:c r="B12" s="30" t="str">
        <x:v>India</x:v>
      </x:c>
      <x:c r="C12" s="30" t="str">
        <x:v>AWEIL</x:v>
      </x:c>
      <x:c r="D12" s="30" t="str">
        <x:v>Ammunition</x:v>
      </x:c>
      <x:c r="E12" s="30" t="str">
        <x:v>105 mm Colour Shells</x:v>
      </x:c>
      <x:c r="F12" s="30" t="n">
        <x:v>2</x:v>
      </x:c>
      <x:c r="G12" s="30" t="str">
        <x:v>Present</x:v>
      </x:c>
      <x:c r="H12" s="30" t="str">
        <x:v>Present</x:v>
      </x:c>
      <x:c r="I12" s="30" t="str">
        <x:v>OK</x:v>
      </x:c>
    </x:row>
    <x:row r="13" ht="72" customHeight="1">
      <x:c r="A13" s="30" t="n">
        <x:v>1</x:v>
      </x:c>
      <x:c r="B13" s="30" t="str">
        <x:v>India</x:v>
      </x:c>
      <x:c r="C13" s="30" t="str">
        <x:v>AWEIL</x:v>
      </x:c>
      <x:c r="D13" s="30" t="str">
        <x:v>Ammunition</x:v>
      </x:c>
      <x:c r="E13" s="30" t="str">
        <x:v>105 mm HE Shells</x:v>
      </x:c>
      <x:c r="F13" s="30" t="n">
        <x:v>2</x:v>
      </x:c>
      <x:c r="G13" s="30" t="str">
        <x:v>Present</x:v>
      </x:c>
      <x:c r="H13" s="30" t="str">
        <x:v>Present</x:v>
      </x:c>
      <x:c r="I13" s="30" t="str">
        <x:v>OK</x:v>
      </x:c>
    </x:row>
    <x:row r="14" ht="72" customHeight="1">
      <x:c r="A14" s="30" t="n">
        <x:v>1</x:v>
      </x:c>
      <x:c r="B14" s="30" t="str">
        <x:v>India</x:v>
      </x:c>
      <x:c r="C14" s="30" t="str">
        <x:v>AWEIL</x:v>
      </x:c>
      <x:c r="D14" s="30" t="str">
        <x:v>Ammunition</x:v>
      </x:c>
      <x:c r="E14" s="30" t="str">
        <x:v>105 mm Illuminating Shells</x:v>
      </x:c>
      <x:c r="F14" s="30" t="n">
        <x:v>2</x:v>
      </x:c>
      <x:c r="G14" s="30" t="str">
        <x:v>Present</x:v>
      </x:c>
      <x:c r="H14" s="30" t="str">
        <x:v>Present</x:v>
      </x:c>
      <x:c r="I14" s="30" t="str">
        <x:v>OK</x:v>
      </x:c>
    </x:row>
    <x:row r="15" ht="72" customHeight="1">
      <x:c r="A15" s="30" t="n">
        <x:v>1</x:v>
      </x:c>
      <x:c r="B15" s="30" t="str">
        <x:v>India</x:v>
      </x:c>
      <x:c r="C15" s="30" t="str">
        <x:v>AWEIL</x:v>
      </x:c>
      <x:c r="D15" s="30" t="str">
        <x:v>Ammunition</x:v>
      </x:c>
      <x:c r="E15" s="30" t="str">
        <x:v>105 mm Smoke Shells</x:v>
      </x:c>
      <x:c r="F15" s="30" t="n">
        <x:v>2</x:v>
      </x:c>
      <x:c r="G15" s="30" t="str">
        <x:v>Present</x:v>
      </x:c>
      <x:c r="H15" s="30" t="str">
        <x:v>Present</x:v>
      </x:c>
      <x:c r="I15" s="30" t="str">
        <x:v>OK</x:v>
      </x:c>
    </x:row>
    <x:row r="16" ht="72" customHeight="1">
      <x:c r="A16" s="30" t="n">
        <x:v>1</x:v>
      </x:c>
      <x:c r="B16" s="30" t="str">
        <x:v>India</x:v>
      </x:c>
      <x:c r="C16" s="30" t="str">
        <x:v>AWEIL</x:v>
      </x:c>
      <x:c r="D16" s="30" t="str">
        <x:v>Ammunition</x:v>
      </x:c>
      <x:c r="E16" s="30" t="str">
        <x:v>120 mm Tank Ammunition</x:v>
      </x:c>
      <x:c r="F16" s="30" t="n">
        <x:v>2</x:v>
      </x:c>
      <x:c r="G16" s="30" t="str">
        <x:v>Present</x:v>
      </x:c>
      <x:c r="H16" s="30" t="str">
        <x:v>Present</x:v>
      </x:c>
      <x:c r="I16" s="30" t="str">
        <x:v>OK</x:v>
      </x:c>
    </x:row>
    <x:row r="17" ht="72" customHeight="1">
      <x:c r="A17" s="30" t="n">
        <x:v>1</x:v>
      </x:c>
      <x:c r="B17" s="30" t="str">
        <x:v>India</x:v>
      </x:c>
      <x:c r="C17" s="30" t="str">
        <x:v>AWEIL</x:v>
      </x:c>
      <x:c r="D17" s="30" t="str">
        <x:v>Ammunition</x:v>
      </x:c>
      <x:c r="E17" s="30" t="str">
        <x:v>125 mm Tank Ammunition</x:v>
      </x:c>
      <x:c r="F17" s="30" t="n">
        <x:v>2</x:v>
      </x:c>
      <x:c r="G17" s="30" t="str">
        <x:v>Present</x:v>
      </x:c>
      <x:c r="H17" s="30" t="str">
        <x:v>Present</x:v>
      </x:c>
      <x:c r="I17" s="30" t="str">
        <x:v>OK</x:v>
      </x:c>
    </x:row>
    <x:row r="18" ht="72" customHeight="1">
      <x:c r="A18" s="30" t="n">
        <x:v>1</x:v>
      </x:c>
      <x:c r="B18" s="30" t="str">
        <x:v>India</x:v>
      </x:c>
      <x:c r="C18" s="30" t="str">
        <x:v>AWEIL</x:v>
      </x:c>
      <x:c r="D18" s="30" t="str">
        <x:v>Ammunition</x:v>
      </x:c>
      <x:c r="E18" s="30" t="str">
        <x:v>130 mm Artillery Ammunition</x:v>
      </x:c>
      <x:c r="F18" s="30" t="n">
        <x:v>2</x:v>
      </x:c>
      <x:c r="G18" s="30" t="str">
        <x:v>Present</x:v>
      </x:c>
      <x:c r="H18" s="30" t="str">
        <x:v>Present</x:v>
      </x:c>
      <x:c r="I18" s="30" t="str">
        <x:v>OK</x:v>
      </x:c>
    </x:row>
    <x:row r="19" ht="72" customHeight="1">
      <x:c r="A19" s="30" t="n">
        <x:v>1</x:v>
      </x:c>
      <x:c r="B19" s="30" t="str">
        <x:v>India</x:v>
      </x:c>
      <x:c r="C19" s="30" t="str">
        <x:v>AWEIL</x:v>
      </x:c>
      <x:c r="D19" s="30" t="str">
        <x:v>Ammunition</x:v>
      </x:c>
      <x:c r="E19" s="30" t="str">
        <x:v>155 mm Artillery Ammunition</x:v>
      </x:c>
      <x:c r="F19" s="30" t="n">
        <x:v>2</x:v>
      </x:c>
      <x:c r="G19" s="30" t="str">
        <x:v>Present</x:v>
      </x:c>
      <x:c r="H19" s="30" t="str">
        <x:v>Present</x:v>
      </x:c>
      <x:c r="I19" s="30" t="str">
        <x:v>OK</x:v>
      </x:c>
    </x:row>
    <x:row r="20" ht="72" customHeight="1">
      <x:c r="A20" s="30" t="n">
        <x:v>1</x:v>
      </x:c>
      <x:c r="B20" s="30" t="str">
        <x:v>India</x:v>
      </x:c>
      <x:c r="C20" s="30" t="str">
        <x:v>AWEIL</x:v>
      </x:c>
      <x:c r="D20" s="30" t="str">
        <x:v>Ammunition</x:v>
      </x:c>
      <x:c r="E20" s="30" t="str">
        <x:v>30 mm Shells</x:v>
      </x:c>
      <x:c r="F20" s="30" t="n">
        <x:v>2</x:v>
      </x:c>
      <x:c r="G20" s="30" t="str">
        <x:v>Present</x:v>
      </x:c>
      <x:c r="H20" s="30" t="str">
        <x:v>Present</x:v>
      </x:c>
      <x:c r="I20" s="30" t="str">
        <x:v>OK</x:v>
      </x:c>
    </x:row>
    <x:row r="21" ht="72" customHeight="1">
      <x:c r="A21" s="30" t="n">
        <x:v>1</x:v>
      </x:c>
      <x:c r="B21" s="30" t="str">
        <x:v>India</x:v>
      </x:c>
      <x:c r="C21" s="30" t="str">
        <x:v>AWEIL</x:v>
      </x:c>
      <x:c r="D21" s="30" t="str">
        <x:v>Ammunition</x:v>
      </x:c>
      <x:c r="E21" s="30" t="str">
        <x:v>40 mm Shells</x:v>
      </x:c>
      <x:c r="F21" s="30" t="n">
        <x:v>2</x:v>
      </x:c>
      <x:c r="G21" s="30" t="str">
        <x:v>Present</x:v>
      </x:c>
      <x:c r="H21" s="30" t="str">
        <x:v>Present</x:v>
      </x:c>
      <x:c r="I21" s="30" t="str">
        <x:v>OK</x:v>
      </x:c>
    </x:row>
    <x:row r="22" ht="72" customHeight="1">
      <x:c r="A22" s="30" t="n">
        <x:v>1</x:v>
      </x:c>
      <x:c r="B22" s="30" t="str">
        <x:v>India</x:v>
      </x:c>
      <x:c r="C22" s="30" t="str">
        <x:v>AWEIL</x:v>
      </x:c>
      <x:c r="D22" s="30" t="str">
        <x:v>Ammunition</x:v>
      </x:c>
      <x:c r="E22" s="30" t="str">
        <x:v>51 mm Mortar Bombs</x:v>
      </x:c>
      <x:c r="F22" s="30" t="n">
        <x:v>2</x:v>
      </x:c>
      <x:c r="G22" s="30" t="str">
        <x:v>Present</x:v>
      </x:c>
      <x:c r="H22" s="30" t="str">
        <x:v>Present</x:v>
      </x:c>
      <x:c r="I22" s="30" t="str">
        <x:v>OK</x:v>
      </x:c>
    </x:row>
    <x:row r="23" ht="72" customHeight="1">
      <x:c r="A23" s="30" t="n">
        <x:v>1</x:v>
      </x:c>
      <x:c r="B23" s="30" t="str">
        <x:v>India</x:v>
      </x:c>
      <x:c r="C23" s="30" t="str">
        <x:v>AWEIL</x:v>
      </x:c>
      <x:c r="D23" s="30" t="str">
        <x:v>Ammunition</x:v>
      </x:c>
      <x:c r="E23" s="30" t="str">
        <x:v>81 mm Mortar Bombs</x:v>
      </x:c>
      <x:c r="F23" s="30" t="n">
        <x:v>2</x:v>
      </x:c>
      <x:c r="G23" s="30" t="str">
        <x:v>Present</x:v>
      </x:c>
      <x:c r="H23" s="30" t="str">
        <x:v>Present</x:v>
      </x:c>
      <x:c r="I23" s="30" t="str">
        <x:v>OK</x:v>
      </x:c>
    </x:row>
    <x:row r="24" ht="72" customHeight="1">
      <x:c r="A24" s="30" t="n">
        <x:v>1</x:v>
      </x:c>
      <x:c r="B24" s="30" t="str">
        <x:v>India</x:v>
      </x:c>
      <x:c r="C24" s="30" t="str">
        <x:v>AWEIL</x:v>
      </x:c>
      <x:c r="D24" s="30" t="str">
        <x:v>Small Arms</x:v>
      </x:c>
      <x:c r="E24" s="30" t="str">
        <x:v>.315 Sporting Rifle</x:v>
      </x:c>
      <x:c r="F24" s="30" t="n">
        <x:v>1</x:v>
      </x:c>
      <x:c r="G24" s="30" t="str">
        <x:v>Present</x:v>
      </x:c>
      <x:c r="H24" s="30" t="str">
        <x:v>Present</x:v>
      </x:c>
      <x:c r="I24" s="30" t="str">
        <x:v>OK</x:v>
      </x:c>
    </x:row>
    <x:row r="25" ht="72" customHeight="1">
      <x:c r="A25" s="30" t="n">
        <x:v>1</x:v>
      </x:c>
      <x:c r="B25" s="30" t="str">
        <x:v>India</x:v>
      </x:c>
      <x:c r="C25" s="30" t="str">
        <x:v>AWEIL</x:v>
      </x:c>
      <x:c r="D25" s="30" t="str">
        <x:v>Small Arms</x:v>
      </x:c>
      <x:c r="E25" s="30" t="str">
        <x:v>12 Bore Pump Action Gun</x:v>
      </x:c>
      <x:c r="F25" s="30" t="n">
        <x:v>3</x:v>
      </x:c>
      <x:c r="G25" s="30" t="str">
        <x:v>Present</x:v>
      </x:c>
      <x:c r="H25" s="30" t="str">
        <x:v>Present</x:v>
      </x:c>
      <x:c r="I25" s="30" t="str">
        <x:v>OK</x:v>
      </x:c>
    </x:row>
    <x:row r="26" ht="72" customHeight="1">
      <x:c r="A26" s="30" t="n">
        <x:v>1</x:v>
      </x:c>
      <x:c r="B26" s="30" t="str">
        <x:v>India</x:v>
      </x:c>
      <x:c r="C26" s="30" t="str">
        <x:v>AWEIL</x:v>
      </x:c>
      <x:c r="D26" s="30" t="str">
        <x:v>Small Arms</x:v>
      </x:c>
      <x:c r="E26" s="30" t="str">
        <x:v>12.7 mm Air Defence Gun</x:v>
      </x:c>
      <x:c r="F26" s="30" t="n">
        <x:v>2</x:v>
      </x:c>
      <x:c r="G26" s="30" t="str">
        <x:v>Present</x:v>
      </x:c>
      <x:c r="H26" s="30" t="str">
        <x:v>Present</x:v>
      </x:c>
      <x:c r="I26" s="30" t="str">
        <x:v>OK</x:v>
      </x:c>
    </x:row>
    <x:row r="27" ht="72" customHeight="1">
      <x:c r="A27" s="30" t="n">
        <x:v>1</x:v>
      </x:c>
      <x:c r="B27" s="30" t="str">
        <x:v>India</x:v>
      </x:c>
      <x:c r="C27" s="30" t="str">
        <x:v>AWEIL</x:v>
      </x:c>
      <x:c r="D27" s="30" t="str">
        <x:v>Small Arms</x:v>
      </x:c>
      <x:c r="E27" s="30" t="str">
        <x:v>12.7 mm Light Weight Anti-Material Rifle (AMR)</x:v>
      </x:c>
      <x:c r="F27" s="30" t="n">
        <x:v>1</x:v>
      </x:c>
      <x:c r="G27" s="30" t="str">
        <x:v>Present</x:v>
      </x:c>
      <x:c r="H27" s="30" t="str">
        <x:v>Present</x:v>
      </x:c>
      <x:c r="I27" s="30" t="str">
        <x:v>OK</x:v>
      </x:c>
    </x:row>
    <x:row r="28" ht="72" customHeight="1">
      <x:c r="A28" s="30" t="n">
        <x:v>1</x:v>
      </x:c>
      <x:c r="B28" s="30" t="str">
        <x:v>India</x:v>
      </x:c>
      <x:c r="C28" s="30" t="str">
        <x:v>AWEIL</x:v>
      </x:c>
      <x:c r="D28" s="30" t="str">
        <x:v>Small Arms</x:v>
      </x:c>
      <x:c r="E28" s="30" t="str">
        <x:v>14.5 mm Field Artillery Training System</x:v>
      </x:c>
      <x:c r="F28" s="30" t="n">
        <x:v>1</x:v>
      </x:c>
      <x:c r="G28" s="30" t="str">
        <x:v>Present</x:v>
      </x:c>
      <x:c r="H28" s="30" t="str">
        <x:v>Present</x:v>
      </x:c>
      <x:c r="I28" s="30" t="str">
        <x:v>Family/system/component-level entry — review if exact-model-only view is needed</x:v>
      </x:c>
    </x:row>
    <x:row r="29" ht="72" customHeight="1">
      <x:c r="A29" s="30" t="n">
        <x:v>1</x:v>
      </x:c>
      <x:c r="B29" s="30" t="str">
        <x:v>India</x:v>
      </x:c>
      <x:c r="C29" s="30" t="str">
        <x:v>AWEIL</x:v>
      </x:c>
      <x:c r="D29" s="30" t="str">
        <x:v>Small Arms</x:v>
      </x:c>
      <x:c r="E29" s="30" t="str">
        <x:v>14.5 mm Sub-Caliber Device</x:v>
      </x:c>
      <x:c r="F29" s="30" t="n">
        <x:v>1</x:v>
      </x:c>
      <x:c r="G29" s="30" t="str">
        <x:v>Present</x:v>
      </x:c>
      <x:c r="H29" s="30" t="str">
        <x:v>Present</x:v>
      </x:c>
      <x:c r="I29" s="30" t="str">
        <x:v>OK</x:v>
      </x:c>
    </x:row>
    <x:row r="30" ht="72" customHeight="1">
      <x:c r="A30" s="30" t="n">
        <x:v>1</x:v>
      </x:c>
      <x:c r="B30" s="30" t="str">
        <x:v>India</x:v>
      </x:c>
      <x:c r="C30" s="30" t="str">
        <x:v>AWEIL</x:v>
      </x:c>
      <x:c r="D30" s="30" t="str">
        <x:v>Small Arms</x:v>
      </x:c>
      <x:c r="E30" s="30" t="str">
        <x:v>14.5/20 mm Anti-Material Rifle (Vidhwanshak)</x:v>
      </x:c>
      <x:c r="F30" s="30" t="n">
        <x:v>2</x:v>
      </x:c>
      <x:c r="G30" s="30" t="str">
        <x:v>Present</x:v>
      </x:c>
      <x:c r="H30" s="30" t="str">
        <x:v>Present</x:v>
      </x:c>
      <x:c r="I30" s="30" t="str">
        <x:v>OK</x:v>
      </x:c>
    </x:row>
    <x:row r="31" ht="72" customHeight="1">
      <x:c r="A31" s="30" t="n">
        <x:v>1</x:v>
      </x:c>
      <x:c r="B31" s="30" t="str">
        <x:v>India</x:v>
      </x:c>
      <x:c r="C31" s="30" t="str">
        <x:v>AWEIL</x:v>
      </x:c>
      <x:c r="D31" s="30" t="str">
        <x:v>Small Arms</x:v>
      </x:c>
      <x:c r="E31" s="30" t="str">
        <x:v>23 mm Ghasha Gun</x:v>
      </x:c>
      <x:c r="F31" s="30" t="n">
        <x:v>1</x:v>
      </x:c>
      <x:c r="G31" s="30" t="str">
        <x:v>Present</x:v>
      </x:c>
      <x:c r="H31" s="30" t="str">
        <x:v>Present</x:v>
      </x:c>
      <x:c r="I31" s="30" t="str">
        <x:v>OK</x:v>
      </x:c>
    </x:row>
    <x:row r="32" ht="72" customHeight="1">
      <x:c r="A32" s="30" t="n">
        <x:v>1</x:v>
      </x:c>
      <x:c r="B32" s="30" t="str">
        <x:v>India</x:v>
      </x:c>
      <x:c r="C32" s="30" t="str">
        <x:v>AWEIL</x:v>
      </x:c>
      <x:c r="D32" s="30" t="str">
        <x:v>Small Arms</x:v>
      </x:c>
      <x:c r="E32" s="30" t="str">
        <x:v>30 mm Cannon Gun</x:v>
      </x:c>
      <x:c r="F32" s="30" t="n">
        <x:v>1</x:v>
      </x:c>
      <x:c r="G32" s="30" t="str">
        <x:v>Present</x:v>
      </x:c>
      <x:c r="H32" s="30" t="str">
        <x:v>Present</x:v>
      </x:c>
      <x:c r="I32" s="30" t="str">
        <x:v>OK</x:v>
      </x:c>
    </x:row>
    <x:row r="33" ht="72" customHeight="1">
      <x:c r="A33" s="30" t="n">
        <x:v>1</x:v>
      </x:c>
      <x:c r="B33" s="30" t="str">
        <x:v>India</x:v>
      </x:c>
      <x:c r="C33" s="30" t="str">
        <x:v>AWEIL</x:v>
      </x:c>
      <x:c r="D33" s="30" t="str">
        <x:v>Small Arms</x:v>
      </x:c>
      <x:c r="E33" s="30" t="str">
        <x:v>38 mm Multi Shell Launcher</x:v>
      </x:c>
      <x:c r="F33" s="30" t="n">
        <x:v>2</x:v>
      </x:c>
      <x:c r="G33" s="30" t="str">
        <x:v>Present</x:v>
      </x:c>
      <x:c r="H33" s="30" t="str">
        <x:v>Present</x:v>
      </x:c>
      <x:c r="I33" s="30" t="str">
        <x:v>OK</x:v>
      </x:c>
    </x:row>
    <x:row r="34" ht="72" customHeight="1">
      <x:c r="A34" s="30" t="n">
        <x:v>1</x:v>
      </x:c>
      <x:c r="B34" s="30" t="str">
        <x:v>India</x:v>
      </x:c>
      <x:c r="C34" s="30" t="str">
        <x:v>AWEIL</x:v>
      </x:c>
      <x:c r="D34" s="30" t="str">
        <x:v>Small Arms</x:v>
      </x:c>
      <x:c r="E34" s="30" t="str">
        <x:v>40 mm Multi Grenade Launcher</x:v>
      </x:c>
      <x:c r="F34" s="30" t="n">
        <x:v>2</x:v>
      </x:c>
      <x:c r="G34" s="30" t="str">
        <x:v>Present</x:v>
      </x:c>
      <x:c r="H34" s="30" t="str">
        <x:v>Present</x:v>
      </x:c>
      <x:c r="I34" s="30" t="str">
        <x:v>OK</x:v>
      </x:c>
    </x:row>
    <x:row r="35" ht="72" customHeight="1">
      <x:c r="A35" s="30" t="n">
        <x:v>1</x:v>
      </x:c>
      <x:c r="B35" s="30" t="str">
        <x:v>India</x:v>
      </x:c>
      <x:c r="C35" s="30" t="str">
        <x:v>AWEIL</x:v>
      </x:c>
      <x:c r="D35" s="30" t="str">
        <x:v>Small Arms</x:v>
      </x:c>
      <x:c r="E35" s="30" t="str">
        <x:v>40×46 mm Under-Barrel Grenade Launcher</x:v>
      </x:c>
      <x:c r="F35" s="30" t="n">
        <x:v>2</x:v>
      </x:c>
      <x:c r="G35" s="30" t="str">
        <x:v>Present</x:v>
      </x:c>
      <x:c r="H35" s="30" t="str">
        <x:v>Present</x:v>
      </x:c>
      <x:c r="I35" s="30" t="str">
        <x:v>OK</x:v>
      </x:c>
    </x:row>
    <x:row r="36" ht="72" customHeight="1">
      <x:c r="A36" s="30" t="n">
        <x:v>1</x:v>
      </x:c>
      <x:c r="B36" s="30" t="str">
        <x:v>India</x:v>
      </x:c>
      <x:c r="C36" s="30" t="str">
        <x:v>AWEIL</x:v>
      </x:c>
      <x:c r="D36" s="30" t="str">
        <x:v>Small Arms</x:v>
      </x:c>
      <x:c r="E36" s="30" t="str">
        <x:v>5.56 mm INSAS Rifle</x:v>
      </x:c>
      <x:c r="F36" s="30" t="n">
        <x:v>2</x:v>
      </x:c>
      <x:c r="G36" s="30" t="str">
        <x:v>Present</x:v>
      </x:c>
      <x:c r="H36" s="30" t="str">
        <x:v>Present</x:v>
      </x:c>
      <x:c r="I36" s="30" t="str">
        <x:v>OK</x:v>
      </x:c>
    </x:row>
    <x:row r="37" ht="72" customHeight="1">
      <x:c r="A37" s="30" t="n">
        <x:v>1</x:v>
      </x:c>
      <x:c r="B37" s="30" t="str">
        <x:v>India</x:v>
      </x:c>
      <x:c r="C37" s="30" t="str">
        <x:v>AWEIL</x:v>
      </x:c>
      <x:c r="D37" s="30" t="str">
        <x:v>Small Arms</x:v>
      </x:c>
      <x:c r="E37" s="30" t="str">
        <x:v>5.56 mm JVPC</x:v>
      </x:c>
      <x:c r="F37" s="30" t="n">
        <x:v>3</x:v>
      </x:c>
      <x:c r="G37" s="30" t="str">
        <x:v>Present</x:v>
      </x:c>
      <x:c r="H37" s="30" t="str">
        <x:v>Present</x:v>
      </x:c>
      <x:c r="I37" s="30" t="str">
        <x:v>OK</x:v>
      </x:c>
    </x:row>
    <x:row r="38" ht="72" customHeight="1">
      <x:c r="A38" s="30" t="n">
        <x:v>1</x:v>
      </x:c>
      <x:c r="B38" s="30" t="str">
        <x:v>India</x:v>
      </x:c>
      <x:c r="C38" s="30" t="str">
        <x:v>AWEIL</x:v>
      </x:c>
      <x:c r="D38" s="30" t="str">
        <x:v>Small Arms</x:v>
      </x:c>
      <x:c r="E38" s="30" t="str">
        <x:v>7.62 mm LMG Belt-Fed</x:v>
      </x:c>
      <x:c r="F38" s="30" t="n">
        <x:v>3</x:v>
      </x:c>
      <x:c r="G38" s="30" t="str">
        <x:v>Present</x:v>
      </x:c>
      <x:c r="H38" s="30" t="str">
        <x:v>Present</x:v>
      </x:c>
      <x:c r="I38" s="30" t="str">
        <x:v>OK</x:v>
      </x:c>
    </x:row>
    <x:row r="39" ht="72" customHeight="1">
      <x:c r="A39" s="30" t="n">
        <x:v>1</x:v>
      </x:c>
      <x:c r="B39" s="30" t="str">
        <x:v>India</x:v>
      </x:c>
      <x:c r="C39" s="30" t="str">
        <x:v>AWEIL</x:v>
      </x:c>
      <x:c r="D39" s="30" t="str">
        <x:v>Small Arms</x:v>
      </x:c>
      <x:c r="E39" s="30" t="str">
        <x:v>7.62 mm MAG Machine Gun</x:v>
      </x:c>
      <x:c r="F39" s="30" t="n">
        <x:v>4</x:v>
      </x:c>
      <x:c r="G39" s="30" t="str">
        <x:v>Present</x:v>
      </x:c>
      <x:c r="H39" s="30" t="str">
        <x:v>Present</x:v>
      </x:c>
      <x:c r="I39" s="30" t="str">
        <x:v>OK</x:v>
      </x:c>
    </x:row>
    <x:row r="40" ht="72" customHeight="1">
      <x:c r="A40" s="30" t="n">
        <x:v>1</x:v>
      </x:c>
      <x:c r="B40" s="30" t="str">
        <x:v>India</x:v>
      </x:c>
      <x:c r="C40" s="30" t="str">
        <x:v>AWEIL</x:v>
      </x:c>
      <x:c r="D40" s="30" t="str">
        <x:v>Small Arms</x:v>
      </x:c>
      <x:c r="E40" s="30" t="str">
        <x:v>7.62 mm Trichy Assault Rifle</x:v>
      </x:c>
      <x:c r="F40" s="30" t="n">
        <x:v>4</x:v>
      </x:c>
      <x:c r="G40" s="30" t="str">
        <x:v>Present</x:v>
      </x:c>
      <x:c r="H40" s="30" t="str">
        <x:v>Present</x:v>
      </x:c>
      <x:c r="I40" s="30" t="str">
        <x:v>OK</x:v>
      </x:c>
    </x:row>
    <x:row r="41" ht="72" customHeight="1">
      <x:c r="A41" s="30" t="n">
        <x:v>1</x:v>
      </x:c>
      <x:c r="B41" s="30" t="str">
        <x:v>India</x:v>
      </x:c>
      <x:c r="C41" s="30" t="str">
        <x:v>AWEIL</x:v>
      </x:c>
      <x:c r="D41" s="30" t="str">
        <x:v>Small Arms</x:v>
      </x:c>
      <x:c r="E41" s="30" t="str">
        <x:v>7.62×51 mm Sniper Rifle</x:v>
      </x:c>
      <x:c r="F41" s="30" t="n">
        <x:v>2</x:v>
      </x:c>
      <x:c r="G41" s="30" t="str">
        <x:v>Present</x:v>
      </x:c>
      <x:c r="H41" s="30" t="str">
        <x:v>Present</x:v>
      </x:c>
      <x:c r="I41" s="30" t="str">
        <x:v>OK</x:v>
      </x:c>
    </x:row>
    <x:row r="42" ht="72" customHeight="1">
      <x:c r="A42" s="30" t="n">
        <x:v>1</x:v>
      </x:c>
      <x:c r="B42" s="30" t="str">
        <x:v>India</x:v>
      </x:c>
      <x:c r="C42" s="30" t="str">
        <x:v>AWEIL</x:v>
      </x:c>
      <x:c r="D42" s="30" t="str">
        <x:v>Small Arms</x:v>
      </x:c>
      <x:c r="E42" s="30" t="str">
        <x:v>9 mm Carbine</x:v>
      </x:c>
      <x:c r="F42" s="30" t="n">
        <x:v>2</x:v>
      </x:c>
      <x:c r="G42" s="30" t="str">
        <x:v>Present</x:v>
      </x:c>
      <x:c r="H42" s="30" t="str">
        <x:v>Present</x:v>
      </x:c>
      <x:c r="I42" s="30" t="str">
        <x:v>OK</x:v>
      </x:c>
    </x:row>
    <x:row r="43" ht="72" customHeight="1">
      <x:c r="A43" s="30" t="n">
        <x:v>1</x:v>
      </x:c>
      <x:c r="B43" s="30" t="str">
        <x:v>India</x:v>
      </x:c>
      <x:c r="C43" s="30" t="str">
        <x:v>AWEIL</x:v>
      </x:c>
      <x:c r="D43" s="30" t="str">
        <x:v>Small Arms</x:v>
      </x:c>
      <x:c r="E43" s="30" t="str">
        <x:v>9×19 mm Machine Pistol (ASMI)</x:v>
      </x:c>
      <x:c r="F43" s="30" t="n">
        <x:v>2</x:v>
      </x:c>
      <x:c r="G43" s="30" t="str">
        <x:v>Present</x:v>
      </x:c>
      <x:c r="H43" s="30" t="str">
        <x:v>Present</x:v>
      </x:c>
      <x:c r="I43" s="30" t="str">
        <x:v>OK</x:v>
      </x:c>
    </x:row>
    <x:row r="44" ht="72" customHeight="1">
      <x:c r="A44" s="30" t="n">
        <x:v>1</x:v>
      </x:c>
      <x:c r="B44" s="30" t="str">
        <x:v>India</x:v>
      </x:c>
      <x:c r="C44" s="30" t="str">
        <x:v>AWEIL</x:v>
      </x:c>
      <x:c r="D44" s="30" t="str">
        <x:v>Small Arms</x:v>
      </x:c>
      <x:c r="E44" s="30" t="str">
        <x:v>Automatic Grenade Launcher</x:v>
      </x:c>
      <x:c r="F44" s="30" t="n">
        <x:v>1</x:v>
      </x:c>
      <x:c r="G44" s="30" t="str">
        <x:v>Present</x:v>
      </x:c>
      <x:c r="H44" s="30" t="str">
        <x:v>Present</x:v>
      </x:c>
      <x:c r="I44" s="30" t="str">
        <x:v>OK</x:v>
      </x:c>
    </x:row>
    <x:row r="45" ht="72" customHeight="1">
      <x:c r="A45" s="30" t="n">
        <x:v>1</x:v>
      </x:c>
      <x:c r="B45" s="30" t="str">
        <x:v>India</x:v>
      </x:c>
      <x:c r="C45" s="30" t="str">
        <x:v>AWEIL</x:v>
      </x:c>
      <x:c r="D45" s="30" t="str">
        <x:v>Small Arms</x:v>
      </x:c>
      <x:c r="E45" s="30" t="str">
        <x:v>Ghatak 7.62×51 mm Service Rifle</x:v>
      </x:c>
      <x:c r="F45" s="30" t="n">
        <x:v>4</x:v>
      </x:c>
      <x:c r="G45" s="30" t="str">
        <x:v>Present</x:v>
      </x:c>
      <x:c r="H45" s="30" t="str">
        <x:v>Present</x:v>
      </x:c>
      <x:c r="I45" s="30" t="str">
        <x:v>OK</x:v>
      </x:c>
    </x:row>
    <x:row r="46" ht="72" customHeight="1">
      <x:c r="A46" s="30" t="n">
        <x:v>1</x:v>
      </x:c>
      <x:c r="B46" s="30" t="str">
        <x:v>India</x:v>
      </x:c>
      <x:c r="C46" s="30" t="str">
        <x:v>AWEIL</x:v>
      </x:c>
      <x:c r="D46" s="30" t="str">
        <x:v>Small Arms</x:v>
      </x:c>
      <x:c r="E46" s="30" t="str">
        <x:v>INSAS 1B1 5.56×45 mm Assault Rifle</x:v>
      </x:c>
      <x:c r="F46" s="30" t="n">
        <x:v>4</x:v>
      </x:c>
      <x:c r="G46" s="30" t="str">
        <x:v>Present</x:v>
      </x:c>
      <x:c r="H46" s="30" t="str">
        <x:v>Present</x:v>
      </x:c>
      <x:c r="I46" s="30" t="str">
        <x:v>OK</x:v>
      </x:c>
    </x:row>
    <x:row r="47" ht="72" customHeight="1">
      <x:c r="A47" s="30" t="n">
        <x:v>1</x:v>
      </x:c>
      <x:c r="B47" s="30" t="str">
        <x:v>India</x:v>
      </x:c>
      <x:c r="C47" s="30" t="str">
        <x:v>AWEIL</x:v>
      </x:c>
      <x:c r="D47" s="30" t="str">
        <x:v>Marine/Naval</x:v>
      </x:c>
      <x:c r="E47" s="30" t="str">
        <x:v>12.7 mm Stabilised Remote Control Gun (SRCG)</x:v>
      </x:c>
      <x:c r="F47" s="30" t="n">
        <x:v>2</x:v>
      </x:c>
      <x:c r="G47" s="30" t="str">
        <x:v>Present</x:v>
      </x:c>
      <x:c r="H47" s="30" t="str">
        <x:v>Present</x:v>
      </x:c>
      <x:c r="I47" s="30" t="str">
        <x:v>OK</x:v>
      </x:c>
    </x:row>
    <x:row r="48" ht="72" customHeight="1">
      <x:c r="A48" s="30" t="n">
        <x:v>1</x:v>
      </x:c>
      <x:c r="B48" s="30" t="str">
        <x:v>India</x:v>
      </x:c>
      <x:c r="C48" s="30" t="str">
        <x:v>AWEIL</x:v>
      </x:c>
      <x:c r="D48" s="30" t="str">
        <x:v>Marine/Naval</x:v>
      </x:c>
      <x:c r="E48" s="30" t="str">
        <x:v>76 mm Naval Gun Barrel</x:v>
      </x:c>
      <x:c r="F48" s="30" t="n">
        <x:v>2</x:v>
      </x:c>
      <x:c r="G48" s="30" t="str">
        <x:v>Present</x:v>
      </x:c>
      <x:c r="H48" s="30" t="str">
        <x:v>Present</x:v>
      </x:c>
      <x:c r="I48" s="30" t="str">
        <x:v>OK</x:v>
      </x:c>
    </x:row>
    <x:row r="49" ht="72" customHeight="1">
      <x:c r="A49" s="30" t="n">
        <x:v>1</x:v>
      </x:c>
      <x:c r="B49" s="30" t="str">
        <x:v>India</x:v>
      </x:c>
      <x:c r="C49" s="30" t="str">
        <x:v>AWEIL</x:v>
      </x:c>
      <x:c r="D49" s="30" t="str">
        <x:v>Marine/Naval</x:v>
      </x:c>
      <x:c r="E49" s="30" t="str">
        <x:v>AK-630 30 mm Six-Barrel Naval Gun</x:v>
      </x:c>
      <x:c r="F49" s="30" t="n">
        <x:v>4</x:v>
      </x:c>
      <x:c r="G49" s="30" t="str">
        <x:v>Present</x:v>
      </x:c>
      <x:c r="H49" s="30" t="str">
        <x:v>Present</x:v>
      </x:c>
      <x:c r="I49" s="30" t="str">
        <x:v>OK</x:v>
      </x:c>
    </x:row>
    <x:row r="50" ht="72" customHeight="1">
      <x:c r="A50" s="30" t="n">
        <x:v>1</x:v>
      </x:c>
      <x:c r="B50" s="30" t="str">
        <x:v>France</x:v>
      </x:c>
      <x:c r="C50" s="30" t="str">
        <x:v>Nexter (KNDS France)</x:v>
      </x:c>
      <x:c r="D50" s="30" t="str">
        <x:v>Artillery</x:v>
      </x:c>
      <x:c r="E50" s="30" t="str">
        <x:v>105 LG</x:v>
      </x:c>
      <x:c r="F50" s="30" t="n">
        <x:v>1</x:v>
      </x:c>
      <x:c r="G50" s="30" t="str">
        <x:v>Present</x:v>
      </x:c>
      <x:c r="H50" s="30" t="str">
        <x:v>Present</x:v>
      </x:c>
      <x:c r="I50" s="30" t="str">
        <x:v>OK</x:v>
      </x:c>
    </x:row>
    <x:row r="51" ht="72" customHeight="1">
      <x:c r="A51" s="30" t="n">
        <x:v>1</x:v>
      </x:c>
      <x:c r="B51" s="30" t="str">
        <x:v>France</x:v>
      </x:c>
      <x:c r="C51" s="30" t="str">
        <x:v>Nexter (KNDS France)</x:v>
      </x:c>
      <x:c r="D51" s="30" t="str">
        <x:v>Artillery</x:v>
      </x:c>
      <x:c r="E51" s="30" t="str">
        <x:v>CAESAR 6×6</x:v>
      </x:c>
      <x:c r="F51" s="30" t="n">
        <x:v>4</x:v>
      </x:c>
      <x:c r="G51" s="30" t="str">
        <x:v>Present</x:v>
      </x:c>
      <x:c r="H51" s="30" t="str">
        <x:v>Present</x:v>
      </x:c>
      <x:c r="I51" s="30" t="str">
        <x:v>OK</x:v>
      </x:c>
    </x:row>
    <x:row r="52" ht="72" customHeight="1">
      <x:c r="A52" s="30" t="n">
        <x:v>1</x:v>
      </x:c>
      <x:c r="B52" s="30" t="str">
        <x:v>France</x:v>
      </x:c>
      <x:c r="C52" s="30" t="str">
        <x:v>Nexter (KNDS France)</x:v>
      </x:c>
      <x:c r="D52" s="30" t="str">
        <x:v>Artillery</x:v>
      </x:c>
      <x:c r="E52" s="30" t="str">
        <x:v>CAESAR 8×8</x:v>
      </x:c>
      <x:c r="F52" s="30" t="n">
        <x:v>1</x:v>
      </x:c>
      <x:c r="G52" s="30" t="str">
        <x:v>Present</x:v>
      </x:c>
      <x:c r="H52" s="30" t="str">
        <x:v>Present</x:v>
      </x:c>
      <x:c r="I52" s="30" t="str">
        <x:v>OK</x:v>
      </x:c>
    </x:row>
    <x:row r="53" ht="72" customHeight="1">
      <x:c r="A53" s="30" t="n">
        <x:v>1</x:v>
      </x:c>
      <x:c r="B53" s="30" t="str">
        <x:v>France</x:v>
      </x:c>
      <x:c r="C53" s="30" t="str">
        <x:v>Nexter (KNDS France)</x:v>
      </x:c>
      <x:c r="D53" s="30" t="str">
        <x:v>Artillery</x:v>
      </x:c>
      <x:c r="E53" s="30" t="str">
        <x:v>CAESAR Mk2</x:v>
      </x:c>
      <x:c r="F53" s="30" t="n">
        <x:v>1</x:v>
      </x:c>
      <x:c r="G53" s="30" t="str">
        <x:v>Present</x:v>
      </x:c>
      <x:c r="H53" s="30" t="str">
        <x:v>Present</x:v>
      </x:c>
      <x:c r="I53" s="30" t="str">
        <x:v>OK</x:v>
      </x:c>
    </x:row>
    <x:row r="54" ht="72" customHeight="1">
      <x:c r="A54" s="30" t="n">
        <x:v>1</x:v>
      </x:c>
      <x:c r="B54" s="30" t="str">
        <x:v>France</x:v>
      </x:c>
      <x:c r="C54" s="30" t="str">
        <x:v>Nexter (KNDS France)</x:v>
      </x:c>
      <x:c r="D54" s="30" t="str">
        <x:v>Ammunition</x:v>
      </x:c>
      <x:c r="E54" s="30" t="str">
        <x:v>100 mm Naval</x:v>
      </x:c>
      <x:c r="F54" s="30" t="n">
        <x:v>2</x:v>
      </x:c>
      <x:c r="G54" s="30" t="str">
        <x:v>Present</x:v>
      </x:c>
      <x:c r="H54" s="30" t="str">
        <x:v>Present</x:v>
      </x:c>
      <x:c r="I54" s="30" t="str">
        <x:v>OK</x:v>
      </x:c>
    </x:row>
    <x:row r="55" ht="72" customHeight="1">
      <x:c r="A55" s="30" t="n">
        <x:v>1</x:v>
      </x:c>
      <x:c r="B55" s="30" t="str">
        <x:v>France</x:v>
      </x:c>
      <x:c r="C55" s="30" t="str">
        <x:v>Nexter (KNDS France)</x:v>
      </x:c>
      <x:c r="D55" s="30" t="str">
        <x:v>Ammunition</x:v>
      </x:c>
      <x:c r="E55" s="30" t="str">
        <x:v>105mm ER G3</x:v>
      </x:c>
      <x:c r="F55" s="30" t="n">
        <x:v>2</x:v>
      </x:c>
      <x:c r="G55" s="30" t="str">
        <x:v>Present</x:v>
      </x:c>
      <x:c r="H55" s="30" t="str">
        <x:v>Present</x:v>
      </x:c>
      <x:c r="I55" s="30" t="str">
        <x:v>OK</x:v>
      </x:c>
    </x:row>
    <x:row r="56" ht="72" customHeight="1">
      <x:c r="A56" s="30" t="n">
        <x:v>1</x:v>
      </x:c>
      <x:c r="B56" s="30" t="str">
        <x:v>France</x:v>
      </x:c>
      <x:c r="C56" s="30" t="str">
        <x:v>Nexter (KNDS France)</x:v>
      </x:c>
      <x:c r="D56" s="30" t="str">
        <x:v>Ammunition</x:v>
      </x:c>
      <x:c r="E56" s="30" t="str">
        <x:v>105mm TK</x:v>
      </x:c>
      <x:c r="F56" s="30" t="n">
        <x:v>2</x:v>
      </x:c>
      <x:c r="G56" s="30" t="str">
        <x:v>Present</x:v>
      </x:c>
      <x:c r="H56" s="30" t="str">
        <x:v>Present</x:v>
      </x:c>
      <x:c r="I56" s="30" t="str">
        <x:v>OK</x:v>
      </x:c>
    </x:row>
    <x:row r="57" ht="72" customHeight="1">
      <x:c r="A57" s="30" t="n">
        <x:v>1</x:v>
      </x:c>
      <x:c r="B57" s="30" t="str">
        <x:v>France</x:v>
      </x:c>
      <x:c r="C57" s="30" t="str">
        <x:v>Nexter (KNDS France)</x:v>
      </x:c>
      <x:c r="D57" s="30" t="str">
        <x:v>Ammunition</x:v>
      </x:c>
      <x:c r="E57" s="30" t="str">
        <x:v>120mm</x:v>
      </x:c>
      <x:c r="F57" s="30" t="n">
        <x:v>2</x:v>
      </x:c>
      <x:c r="G57" s="30" t="str">
        <x:v>Present</x:v>
      </x:c>
      <x:c r="H57" s="30" t="str">
        <x:v>Present</x:v>
      </x:c>
      <x:c r="I57" s="30" t="str">
        <x:v>OK</x:v>
      </x:c>
    </x:row>
    <x:row r="58" ht="72" customHeight="1">
      <x:c r="A58" s="30" t="n">
        <x:v>1</x:v>
      </x:c>
      <x:c r="B58" s="30" t="str">
        <x:v>France</x:v>
      </x:c>
      <x:c r="C58" s="30" t="str">
        <x:v>Nexter (KNDS France)</x:v>
      </x:c>
      <x:c r="D58" s="30" t="str">
        <x:v>Ammunition</x:v>
      </x:c>
      <x:c r="E58" s="30" t="str">
        <x:v>120mm Mortar</x:v>
      </x:c>
      <x:c r="F58" s="30" t="n">
        <x:v>2</x:v>
      </x:c>
      <x:c r="G58" s="30" t="str">
        <x:v>Present</x:v>
      </x:c>
      <x:c r="H58" s="30" t="str">
        <x:v>Present</x:v>
      </x:c>
      <x:c r="I58" s="30" t="str">
        <x:v>OK</x:v>
      </x:c>
    </x:row>
    <x:row r="59" ht="72" customHeight="1">
      <x:c r="A59" s="30" t="n">
        <x:v>1</x:v>
      </x:c>
      <x:c r="B59" s="30" t="str">
        <x:v>France</x:v>
      </x:c>
      <x:c r="C59" s="30" t="str">
        <x:v>Nexter (KNDS France)</x:v>
      </x:c>
      <x:c r="D59" s="30" t="str">
        <x:v>Ammunition</x:v>
      </x:c>
      <x:c r="E59" s="30" t="str">
        <x:v>120mm SHARD</x:v>
      </x:c>
      <x:c r="F59" s="30" t="n">
        <x:v>3</x:v>
      </x:c>
      <x:c r="G59" s="30" t="str">
        <x:v>Present</x:v>
      </x:c>
      <x:c r="H59" s="30" t="str">
        <x:v>Present</x:v>
      </x:c>
      <x:c r="I59" s="30" t="str">
        <x:v>OK</x:v>
      </x:c>
    </x:row>
    <x:row r="60" ht="72" customHeight="1">
      <x:c r="A60" s="30" t="n">
        <x:v>1</x:v>
      </x:c>
      <x:c r="B60" s="30" t="str">
        <x:v>France</x:v>
      </x:c>
      <x:c r="C60" s="30" t="str">
        <x:v>Nexter (KNDS France)</x:v>
      </x:c>
      <x:c r="D60" s="30" t="str">
        <x:v>Ammunition</x:v>
      </x:c>
      <x:c r="E60" s="30" t="str">
        <x:v>127 L54 Naval</x:v>
      </x:c>
      <x:c r="F60" s="30" t="n">
        <x:v>2</x:v>
      </x:c>
      <x:c r="G60" s="30" t="str">
        <x:v>Present</x:v>
      </x:c>
      <x:c r="H60" s="30" t="str">
        <x:v>Present</x:v>
      </x:c>
      <x:c r="I60" s="30" t="str">
        <x:v>OK</x:v>
      </x:c>
    </x:row>
    <x:row r="61" ht="72" customHeight="1">
      <x:c r="A61" s="30" t="n">
        <x:v>1</x:v>
      </x:c>
      <x:c r="B61" s="30" t="str">
        <x:v>France</x:v>
      </x:c>
      <x:c r="C61" s="30" t="str">
        <x:v>Nexter (KNDS France)</x:v>
      </x:c>
      <x:c r="D61" s="30" t="str">
        <x:v>Ammunition</x:v>
      </x:c>
      <x:c r="E61" s="30" t="str">
        <x:v>155 BONUS</x:v>
      </x:c>
      <x:c r="F61" s="30" t="n">
        <x:v>3</x:v>
      </x:c>
      <x:c r="G61" s="30" t="str">
        <x:v>Present</x:v>
      </x:c>
      <x:c r="H61" s="30" t="str">
        <x:v>Present</x:v>
      </x:c>
      <x:c r="I61" s="30" t="str">
        <x:v>OK</x:v>
      </x:c>
    </x:row>
    <x:row r="62" ht="72" customHeight="1">
      <x:c r="A62" s="30" t="n">
        <x:v>1</x:v>
      </x:c>
      <x:c r="B62" s="30" t="str">
        <x:v>France</x:v>
      </x:c>
      <x:c r="C62" s="30" t="str">
        <x:v>Nexter (KNDS France)</x:v>
      </x:c>
      <x:c r="D62" s="30" t="str">
        <x:v>Ammunition</x:v>
      </x:c>
      <x:c r="E62" s="30" t="str">
        <x:v>155 KATANA</x:v>
      </x:c>
      <x:c r="F62" s="30" t="n">
        <x:v>4</x:v>
      </x:c>
      <x:c r="G62" s="30" t="str">
        <x:v>Present</x:v>
      </x:c>
      <x:c r="H62" s="30" t="str">
        <x:v>Present</x:v>
      </x:c>
      <x:c r="I62" s="30" t="str">
        <x:v>OK</x:v>
      </x:c>
    </x:row>
    <x:row r="63" ht="72" customHeight="1">
      <x:c r="A63" s="30" t="n">
        <x:v>1</x:v>
      </x:c>
      <x:c r="B63" s="30" t="str">
        <x:v>France</x:v>
      </x:c>
      <x:c r="C63" s="30" t="str">
        <x:v>Nexter (KNDS France)</x:v>
      </x:c>
      <x:c r="D63" s="30" t="str">
        <x:v>Ammunition</x:v>
      </x:c>
      <x:c r="E63" s="30" t="str">
        <x:v>155 LU211</x:v>
      </x:c>
      <x:c r="F63" s="30" t="n">
        <x:v>2</x:v>
      </x:c>
      <x:c r="G63" s="30" t="str">
        <x:v>Present</x:v>
      </x:c>
      <x:c r="H63" s="30" t="str">
        <x:v>Present</x:v>
      </x:c>
      <x:c r="I63" s="30" t="str">
        <x:v>OK</x:v>
      </x:c>
    </x:row>
    <x:row r="64" ht="72" customHeight="1">
      <x:c r="A64" s="30" t="n">
        <x:v>1</x:v>
      </x:c>
      <x:c r="B64" s="30" t="str">
        <x:v>France</x:v>
      </x:c>
      <x:c r="C64" s="30" t="str">
        <x:v>Nexter (KNDS France)</x:v>
      </x:c>
      <x:c r="D64" s="30" t="str">
        <x:v>Ammunition</x:v>
      </x:c>
      <x:c r="E64" s="30" t="str">
        <x:v>155 LU220</x:v>
      </x:c>
      <x:c r="F64" s="30" t="n">
        <x:v>2</x:v>
      </x:c>
      <x:c r="G64" s="30" t="str">
        <x:v>Present</x:v>
      </x:c>
      <x:c r="H64" s="30" t="str">
        <x:v>Present</x:v>
      </x:c>
      <x:c r="I64" s="30" t="str">
        <x:v>OK</x:v>
      </x:c>
    </x:row>
    <x:row r="65" ht="72" customHeight="1">
      <x:c r="A65" s="30" t="n">
        <x:v>1</x:v>
      </x:c>
      <x:c r="B65" s="30" t="str">
        <x:v>France</x:v>
      </x:c>
      <x:c r="C65" s="30" t="str">
        <x:v>Nexter (KNDS France)</x:v>
      </x:c>
      <x:c r="D65" s="30" t="str">
        <x:v>Ammunition</x:v>
      </x:c>
      <x:c r="E65" s="30" t="str">
        <x:v>20x102</x:v>
      </x:c>
      <x:c r="F65" s="30" t="n">
        <x:v>2</x:v>
      </x:c>
      <x:c r="G65" s="30" t="str">
        <x:v>Present</x:v>
      </x:c>
      <x:c r="H65" s="30" t="str">
        <x:v>Present</x:v>
      </x:c>
      <x:c r="I65" s="30" t="str">
        <x:v>OK</x:v>
      </x:c>
    </x:row>
    <x:row r="66" ht="72" customHeight="1">
      <x:c r="A66" s="30" t="n">
        <x:v>1</x:v>
      </x:c>
      <x:c r="B66" s="30" t="str">
        <x:v>France</x:v>
      </x:c>
      <x:c r="C66" s="30" t="str">
        <x:v>Nexter (KNDS France)</x:v>
      </x:c>
      <x:c r="D66" s="30" t="str">
        <x:v>Ammunition</x:v>
      </x:c>
      <x:c r="E66" s="30" t="str">
        <x:v>25x137</x:v>
      </x:c>
      <x:c r="F66" s="30" t="n">
        <x:v>2</x:v>
      </x:c>
      <x:c r="G66" s="30" t="str">
        <x:v>Present</x:v>
      </x:c>
      <x:c r="H66" s="30" t="str">
        <x:v>Present</x:v>
      </x:c>
      <x:c r="I66" s="30" t="str">
        <x:v>OK</x:v>
      </x:c>
    </x:row>
    <x:row r="67" ht="72" customHeight="1">
      <x:c r="A67" s="30" t="n">
        <x:v>1</x:v>
      </x:c>
      <x:c r="B67" s="30" t="str">
        <x:v>France</x:v>
      </x:c>
      <x:c r="C67" s="30" t="str">
        <x:v>Nexter (KNDS France)</x:v>
      </x:c>
      <x:c r="D67" s="30" t="str">
        <x:v>Ammunition</x:v>
      </x:c>
      <x:c r="E67" s="30" t="str">
        <x:v>30x113 B</x:v>
      </x:c>
      <x:c r="F67" s="30" t="n">
        <x:v>2</x:v>
      </x:c>
      <x:c r="G67" s="30" t="str">
        <x:v>Present</x:v>
      </x:c>
      <x:c r="H67" s="30" t="str">
        <x:v>Present</x:v>
      </x:c>
      <x:c r="I67" s="30" t="str">
        <x:v>OK</x:v>
      </x:c>
    </x:row>
    <x:row r="68" ht="72" customHeight="1">
      <x:c r="A68" s="30" t="n">
        <x:v>1</x:v>
      </x:c>
      <x:c r="B68" s="30" t="str">
        <x:v>France</x:v>
      </x:c>
      <x:c r="C68" s="30" t="str">
        <x:v>Nexter (KNDS France)</x:v>
      </x:c>
      <x:c r="D68" s="30" t="str">
        <x:v>Ammunition</x:v>
      </x:c>
      <x:c r="E68" s="30" t="str">
        <x:v>30x150</x:v>
      </x:c>
      <x:c r="F68" s="30" t="n">
        <x:v>2</x:v>
      </x:c>
      <x:c r="G68" s="30" t="str">
        <x:v>Present</x:v>
      </x:c>
      <x:c r="H68" s="30" t="str">
        <x:v>Present</x:v>
      </x:c>
      <x:c r="I68" s="30" t="str">
        <x:v>OK</x:v>
      </x:c>
    </x:row>
    <x:row r="69" ht="72" customHeight="1">
      <x:c r="A69" s="30" t="n">
        <x:v>1</x:v>
      </x:c>
      <x:c r="B69" s="30" t="str">
        <x:v>France</x:v>
      </x:c>
      <x:c r="C69" s="30" t="str">
        <x:v>Nexter (KNDS France)</x:v>
      </x:c>
      <x:c r="D69" s="30" t="str">
        <x:v>Ammunition</x:v>
      </x:c>
      <x:c r="E69" s="30" t="str">
        <x:v>30x173</x:v>
      </x:c>
      <x:c r="F69" s="30" t="n">
        <x:v>2</x:v>
      </x:c>
      <x:c r="G69" s="30" t="str">
        <x:v>Present</x:v>
      </x:c>
      <x:c r="H69" s="30" t="str">
        <x:v>Present</x:v>
      </x:c>
      <x:c r="I69" s="30" t="str">
        <x:v>OK</x:v>
      </x:c>
    </x:row>
    <x:row r="70" ht="72" customHeight="1">
      <x:c r="A70" s="30" t="n">
        <x:v>1</x:v>
      </x:c>
      <x:c r="B70" s="30" t="str">
        <x:v>France</x:v>
      </x:c>
      <x:c r="C70" s="30" t="str">
        <x:v>Nexter (KNDS France)</x:v>
      </x:c>
      <x:c r="D70" s="30" t="str">
        <x:v>Ammunition</x:v>
      </x:c>
      <x:c r="E70" s="30" t="str">
        <x:v>40mm CTA</x:v>
      </x:c>
      <x:c r="F70" s="30" t="n">
        <x:v>3</x:v>
      </x:c>
      <x:c r="G70" s="30" t="str">
        <x:v>Present</x:v>
      </x:c>
      <x:c r="H70" s="30" t="str">
        <x:v>Present</x:v>
      </x:c>
      <x:c r="I70" s="30" t="str">
        <x:v>OK</x:v>
      </x:c>
    </x:row>
    <x:row r="71" ht="72" customHeight="1">
      <x:c r="A71" s="30" t="n">
        <x:v>1</x:v>
      </x:c>
      <x:c r="B71" s="30" t="str">
        <x:v>France</x:v>
      </x:c>
      <x:c r="C71" s="30" t="str">
        <x:v>Nexter (KNDS France)</x:v>
      </x:c>
      <x:c r="D71" s="30" t="str">
        <x:v>Ammunition</x:v>
      </x:c>
      <x:c r="E71" s="30" t="str">
        <x:v>40mm L70</x:v>
      </x:c>
      <x:c r="F71" s="30" t="n">
        <x:v>2</x:v>
      </x:c>
      <x:c r="G71" s="30" t="str">
        <x:v>Present</x:v>
      </x:c>
      <x:c r="H71" s="30" t="str">
        <x:v>Present</x:v>
      </x:c>
      <x:c r="I71" s="30" t="str">
        <x:v>OK</x:v>
      </x:c>
    </x:row>
    <x:row r="72" ht="72" customHeight="1">
      <x:c r="A72" s="30" t="n">
        <x:v>1</x:v>
      </x:c>
      <x:c r="B72" s="30" t="str">
        <x:v>France</x:v>
      </x:c>
      <x:c r="C72" s="30" t="str">
        <x:v>Nexter (KNDS France)</x:v>
      </x:c>
      <x:c r="D72" s="30" t="str">
        <x:v>Ammunition</x:v>
      </x:c>
      <x:c r="E72" s="30" t="str">
        <x:v>76 L62 Naval</x:v>
      </x:c>
      <x:c r="F72" s="30" t="n">
        <x:v>2</x:v>
      </x:c>
      <x:c r="G72" s="30" t="str">
        <x:v>Present</x:v>
      </x:c>
      <x:c r="H72" s="30" t="str">
        <x:v>Present</x:v>
      </x:c>
      <x:c r="I72" s="30" t="str">
        <x:v>OK</x:v>
      </x:c>
    </x:row>
    <x:row r="73" ht="72" customHeight="1">
      <x:c r="A73" s="30" t="n">
        <x:v>1</x:v>
      </x:c>
      <x:c r="B73" s="30" t="str">
        <x:v>France</x:v>
      </x:c>
      <x:c r="C73" s="30" t="str">
        <x:v>Nexter (KNDS France)</x:v>
      </x:c>
      <x:c r="D73" s="30" t="str">
        <x:v>Ammunition</x:v>
      </x:c>
      <x:c r="E73" s="30" t="str">
        <x:v>90mm MK8</x:v>
      </x:c>
      <x:c r="F73" s="30" t="n">
        <x:v>2</x:v>
      </x:c>
      <x:c r="G73" s="30" t="str">
        <x:v>Present</x:v>
      </x:c>
      <x:c r="H73" s="30" t="str">
        <x:v>Present</x:v>
      </x:c>
      <x:c r="I73" s="30" t="str">
        <x:v>OK</x:v>
      </x:c>
    </x:row>
    <x:row r="74" ht="72" customHeight="1">
      <x:c r="A74" s="30" t="n">
        <x:v>1</x:v>
      </x:c>
      <x:c r="B74" s="30" t="str">
        <x:v>France</x:v>
      </x:c>
      <x:c r="C74" s="30" t="str">
        <x:v>Nexter (KNDS France)</x:v>
      </x:c>
      <x:c r="D74" s="30" t="str">
        <x:v>Protected Vehicles</x:v>
      </x:c>
      <x:c r="E74" s="30" t="str">
        <x:v>GRIFFON</x:v>
      </x:c>
      <x:c r="F74" s="30" t="n">
        <x:v>3</x:v>
      </x:c>
      <x:c r="G74" s="30" t="str">
        <x:v>Present</x:v>
      </x:c>
      <x:c r="H74" s="30" t="str">
        <x:v>Present</x:v>
      </x:c>
      <x:c r="I74" s="30" t="str">
        <x:v>OK</x:v>
      </x:c>
    </x:row>
    <x:row r="75" ht="72" customHeight="1">
      <x:c r="A75" s="30" t="n">
        <x:v>1</x:v>
      </x:c>
      <x:c r="B75" s="30" t="str">
        <x:v>France</x:v>
      </x:c>
      <x:c r="C75" s="30" t="str">
        <x:v>Nexter (KNDS France)</x:v>
      </x:c>
      <x:c r="D75" s="30" t="str">
        <x:v>Protected Vehicles</x:v>
      </x:c>
      <x:c r="E75" s="30" t="str">
        <x:v>JAGUAR</x:v>
      </x:c>
      <x:c r="F75" s="30" t="n">
        <x:v>3</x:v>
      </x:c>
      <x:c r="G75" s="30" t="str">
        <x:v>Present</x:v>
      </x:c>
      <x:c r="H75" s="30" t="str">
        <x:v>Present</x:v>
      </x:c>
      <x:c r="I75" s="30" t="str">
        <x:v>OK</x:v>
      </x:c>
    </x:row>
    <x:row r="76" ht="72" customHeight="1">
      <x:c r="A76" s="30" t="n">
        <x:v>1</x:v>
      </x:c>
      <x:c r="B76" s="30" t="str">
        <x:v>France</x:v>
      </x:c>
      <x:c r="C76" s="30" t="str">
        <x:v>Nexter (KNDS France)</x:v>
      </x:c>
      <x:c r="D76" s="30" t="str">
        <x:v>Protected Vehicles</x:v>
      </x:c>
      <x:c r="E76" s="30" t="str">
        <x:v>LECLERC XLR</x:v>
      </x:c>
      <x:c r="F76" s="30" t="n">
        <x:v>4</x:v>
      </x:c>
      <x:c r="G76" s="30" t="str">
        <x:v>Present</x:v>
      </x:c>
      <x:c r="H76" s="30" t="str">
        <x:v>Present</x:v>
      </x:c>
      <x:c r="I76" s="30" t="str">
        <x:v>OK</x:v>
      </x:c>
    </x:row>
    <x:row r="77" ht="72" customHeight="1">
      <x:c r="A77" s="30" t="n">
        <x:v>1</x:v>
      </x:c>
      <x:c r="B77" s="30" t="str">
        <x:v>France</x:v>
      </x:c>
      <x:c r="C77" s="30" t="str">
        <x:v>Nexter (KNDS France)</x:v>
      </x:c>
      <x:c r="D77" s="30" t="str">
        <x:v>Protected Vehicles</x:v>
      </x:c>
      <x:c r="E77" s="30" t="str">
        <x:v>SERVAL</x:v>
      </x:c>
      <x:c r="F77" s="30" t="n">
        <x:v>3</x:v>
      </x:c>
      <x:c r="G77" s="30" t="str">
        <x:v>Present</x:v>
      </x:c>
      <x:c r="H77" s="30" t="str">
        <x:v>Present</x:v>
      </x:c>
      <x:c r="I77" s="30" t="str">
        <x:v>OK</x:v>
      </x:c>
    </x:row>
    <x:row r="78" ht="72" customHeight="1">
      <x:c r="A78" s="30" t="n">
        <x:v>1</x:v>
      </x:c>
      <x:c r="B78" s="30" t="str">
        <x:v>France</x:v>
      </x:c>
      <x:c r="C78" s="30" t="str">
        <x:v>Nexter (KNDS France)</x:v>
      </x:c>
      <x:c r="D78" s="30" t="str">
        <x:v>Protected Vehicles</x:v>
      </x:c>
      <x:c r="E78" s="30" t="str">
        <x:v>TITUS</x:v>
      </x:c>
      <x:c r="F78" s="30" t="n">
        <x:v>3</x:v>
      </x:c>
      <x:c r="G78" s="30" t="str">
        <x:v>Present</x:v>
      </x:c>
      <x:c r="H78" s="30" t="str">
        <x:v>Present</x:v>
      </x:c>
      <x:c r="I78" s="30" t="str">
        <x:v>OK</x:v>
      </x:c>
    </x:row>
    <x:row r="79" ht="72" customHeight="1">
      <x:c r="A79" s="30" t="n">
        <x:v>1</x:v>
      </x:c>
      <x:c r="B79" s="30" t="str">
        <x:v>France</x:v>
      </x:c>
      <x:c r="C79" s="30" t="str">
        <x:v>Nexter (KNDS France)</x:v>
      </x:c>
      <x:c r="D79" s="30" t="str">
        <x:v>Protected Vehicles</x:v>
      </x:c>
      <x:c r="E79" s="30" t="str">
        <x:v>TITUS HOMELAND</x:v>
      </x:c>
      <x:c r="F79" s="30" t="n">
        <x:v>2</x:v>
      </x:c>
      <x:c r="G79" s="30" t="str">
        <x:v>Present</x:v>
      </x:c>
      <x:c r="H79" s="30" t="str">
        <x:v>Present</x:v>
      </x:c>
      <x:c r="I79" s="30" t="str">
        <x:v>OK</x:v>
      </x:c>
    </x:row>
    <x:row r="80" ht="72" customHeight="1">
      <x:c r="A80" s="30" t="n">
        <x:v>1</x:v>
      </x:c>
      <x:c r="B80" s="30" t="str">
        <x:v>France</x:v>
      </x:c>
      <x:c r="C80" s="30" t="str">
        <x:v>Nexter (KNDS France)</x:v>
      </x:c>
      <x:c r="D80" s="30" t="str">
        <x:v>Protected Vehicles</x:v>
      </x:c>
      <x:c r="E80" s="30" t="str">
        <x:v>VBCI</x:v>
      </x:c>
      <x:c r="F80" s="30" t="n">
        <x:v>3</x:v>
      </x:c>
      <x:c r="G80" s="30" t="str">
        <x:v>Present</x:v>
      </x:c>
      <x:c r="H80" s="30" t="str">
        <x:v>Present</x:v>
      </x:c>
      <x:c r="I80" s="30" t="str">
        <x:v>OK</x:v>
      </x:c>
    </x:row>
    <x:row r="81" ht="72" customHeight="1">
      <x:c r="A81" s="30" t="n">
        <x:v>1</x:v>
      </x:c>
      <x:c r="B81" s="30" t="str">
        <x:v>France</x:v>
      </x:c>
      <x:c r="C81" s="30" t="str">
        <x:v>Nexter (KNDS France)</x:v>
      </x:c>
      <x:c r="D81" s="30" t="str">
        <x:v>Protected Vehicles</x:v>
      </x:c>
      <x:c r="E81" s="30" t="str">
        <x:v>VBCI RCT40</x:v>
      </x:c>
      <x:c r="F81" s="30" t="n">
        <x:v>1</x:v>
      </x:c>
      <x:c r="G81" s="30" t="str">
        <x:v>Present</x:v>
      </x:c>
      <x:c r="H81" s="30" t="str">
        <x:v>Present</x:v>
      </x:c>
      <x:c r="I81" s="30" t="str">
        <x:v>OK</x:v>
      </x:c>
    </x:row>
    <x:row r="82" ht="72" customHeight="1">
      <x:c r="A82" s="30" t="n">
        <x:v>1</x:v>
      </x:c>
      <x:c r="B82" s="30" t="str">
        <x:v>France</x:v>
      </x:c>
      <x:c r="C82" s="30" t="str">
        <x:v>Nexter (KNDS France)</x:v>
      </x:c>
      <x:c r="D82" s="30" t="str">
        <x:v>Marine/Naval</x:v>
      </x:c>
      <x:c r="E82" s="30" t="str">
        <x:v>RapidFire Naval</x:v>
      </x:c>
      <x:c r="F82" s="30" t="n">
        <x:v>4</x:v>
      </x:c>
      <x:c r="G82" s="30" t="str">
        <x:v>Present</x:v>
      </x:c>
      <x:c r="H82" s="30" t="str">
        <x:v>Present</x:v>
      </x:c>
      <x:c r="I82" s="30" t="str">
        <x:v>OK</x:v>
      </x:c>
    </x:row>
    <x:row r="83" ht="72" customHeight="1">
      <x:c r="A83" s="30" t="n">
        <x:v>1</x:v>
      </x:c>
      <x:c r="B83" s="30" t="str">
        <x:v>France</x:v>
      </x:c>
      <x:c r="C83" s="30" t="str">
        <x:v>Nexter (KNDS France)</x:v>
      </x:c>
      <x:c r="D83" s="30" t="str">
        <x:v>UAVs/Drones</x:v>
      </x:c>
      <x:c r="E83" s="30" t="str">
        <x:v>COLIBRI Loitering Munition</x:v>
      </x:c>
      <x:c r="F83" s="30" t="n">
        <x:v>1</x:v>
      </x:c>
      <x:c r="G83" s="30" t="str">
        <x:v>Present</x:v>
      </x:c>
      <x:c r="H83" s="30" t="str">
        <x:v>Present</x:v>
      </x:c>
      <x:c r="I83" s="30" t="str">
        <x:v>OK</x:v>
      </x:c>
    </x:row>
    <x:row r="84" ht="72" customHeight="1">
      <x:c r="A84" s="30" t="n">
        <x:v>1</x:v>
      </x:c>
      <x:c r="B84" s="30" t="str">
        <x:v>France</x:v>
      </x:c>
      <x:c r="C84" s="30" t="str">
        <x:v>Nexter (KNDS France)</x:v>
      </x:c>
      <x:c r="D84" s="30" t="str">
        <x:v>UAVs/Drones</x:v>
      </x:c>
      <x:c r="E84" s="30" t="str">
        <x:v>MT-10 Loitering Munition</x:v>
      </x:c>
      <x:c r="F84" s="30" t="n">
        <x:v>2</x:v>
      </x:c>
      <x:c r="G84" s="30" t="str">
        <x:v>Present</x:v>
      </x:c>
      <x:c r="H84" s="30" t="str">
        <x:v>Present</x:v>
      </x:c>
      <x:c r="I84" s="30" t="str">
        <x:v>OK</x:v>
      </x:c>
    </x:row>
    <x:row r="85" ht="72" customHeight="1">
      <x:c r="A85" s="30" t="n">
        <x:v>1</x:v>
      </x:c>
      <x:c r="B85" s="30" t="str">
        <x:v>France</x:v>
      </x:c>
      <x:c r="C85" s="30" t="str">
        <x:v>Nexter (KNDS France)</x:v>
      </x:c>
      <x:c r="D85" s="30" t="str">
        <x:v>UAVs/Drones</x:v>
      </x:c>
      <x:c r="E85" s="30" t="str">
        <x:v>MV-100 VELOCE Loitering Munition</x:v>
      </x:c>
      <x:c r="F85" s="30" t="n">
        <x:v>2</x:v>
      </x:c>
      <x:c r="G85" s="30" t="str">
        <x:v>Present</x:v>
      </x:c>
      <x:c r="H85" s="30" t="str">
        <x:v>Present</x:v>
      </x:c>
      <x:c r="I85" s="30" t="str">
        <x:v>OK</x:v>
      </x:c>
    </x:row>
    <x:row r="86" ht="72" customHeight="1">
      <x:c r="A86" s="30" t="n">
        <x:v>1</x:v>
      </x:c>
      <x:c r="B86" s="30" t="str">
        <x:v>France</x:v>
      </x:c>
      <x:c r="C86" s="30" t="str">
        <x:v>Nexter (KNDS France)</x:v>
      </x:c>
      <x:c r="D86" s="30" t="str">
        <x:v>UAVs/Drones</x:v>
      </x:c>
      <x:c r="E86" s="30" t="str">
        <x:v>MV-25 OSKAR Loitering Munition</x:v>
      </x:c>
      <x:c r="F86" s="30" t="n">
        <x:v>2</x:v>
      </x:c>
      <x:c r="G86" s="30" t="str">
        <x:v>Present</x:v>
      </x:c>
      <x:c r="H86" s="30" t="str">
        <x:v>Present</x:v>
      </x:c>
      <x:c r="I86" s="30" t="str">
        <x:v>OK</x:v>
      </x:c>
    </x:row>
    <x:row r="87" ht="72" customHeight="1">
      <x:c r="A87" s="30" t="n">
        <x:v>1</x:v>
      </x:c>
      <x:c r="B87" s="30" t="str">
        <x:v>France</x:v>
      </x:c>
      <x:c r="C87" s="30" t="str">
        <x:v>Nexter (KNDS France)</x:v>
      </x:c>
      <x:c r="D87" s="30" t="str">
        <x:v>UAVs/Drones</x:v>
      </x:c>
      <x:c r="E87" s="30" t="str">
        <x:v>MX-10 DAMOCLES Loitering Munition</x:v>
      </x:c>
      <x:c r="F87" s="30" t="n">
        <x:v>2</x:v>
      </x:c>
      <x:c r="G87" s="30" t="str">
        <x:v>Present</x:v>
      </x:c>
      <x:c r="H87" s="30" t="str">
        <x:v>Present</x:v>
      </x:c>
      <x:c r="I87" s="30" t="str">
        <x:v>OK</x:v>
      </x:c>
    </x:row>
    <x:row r="88" ht="72" customHeight="1">
      <x:c r="A88" s="30" t="n">
        <x:v>1</x:v>
      </x:c>
      <x:c r="B88" s="30" t="str">
        <x:v>Germany</x:v>
      </x:c>
      <x:c r="C88" s="30" t="str">
        <x:v>KNDS Germany</x:v>
      </x:c>
      <x:c r="D88" s="30" t="str">
        <x:v>Artillery</x:v>
      </x:c>
      <x:c r="E88" s="30" t="str">
        <x:v>AGM</x:v>
      </x:c>
      <x:c r="F88" s="30" t="n">
        <x:v>2</x:v>
      </x:c>
      <x:c r="G88" s="30" t="str">
        <x:v>Present</x:v>
      </x:c>
      <x:c r="H88" s="30" t="str">
        <x:v>Present</x:v>
      </x:c>
      <x:c r="I88" s="30" t="str">
        <x:v>OK</x:v>
      </x:c>
    </x:row>
    <x:row r="89" ht="72" customHeight="1">
      <x:c r="A89" s="30" t="n">
        <x:v>1</x:v>
      </x:c>
      <x:c r="B89" s="30" t="str">
        <x:v>Germany</x:v>
      </x:c>
      <x:c r="C89" s="30" t="str">
        <x:v>KNDS Germany</x:v>
      </x:c>
      <x:c r="D89" s="30" t="str">
        <x:v>Artillery</x:v>
      </x:c>
      <x:c r="E89" s="30" t="str">
        <x:v>DONAR</x:v>
      </x:c>
      <x:c r="F89" s="30" t="n">
        <x:v>2</x:v>
      </x:c>
      <x:c r="G89" s="30" t="str">
        <x:v>Present</x:v>
      </x:c>
      <x:c r="H89" s="30" t="str">
        <x:v>Present</x:v>
      </x:c>
      <x:c r="I89" s="30" t="str">
        <x:v>OK</x:v>
      </x:c>
    </x:row>
    <x:row r="90" ht="72" customHeight="1">
      <x:c r="A90" s="30" t="n">
        <x:v>1</x:v>
      </x:c>
      <x:c r="B90" s="30" t="str">
        <x:v>Germany</x:v>
      </x:c>
      <x:c r="C90" s="30" t="str">
        <x:v>KNDS Germany</x:v>
      </x:c>
      <x:c r="D90" s="30" t="str">
        <x:v>Artillery</x:v>
      </x:c>
      <x:c r="E90" s="30" t="str">
        <x:v>MARS II / MLRS Evolution</x:v>
      </x:c>
      <x:c r="F90" s="30" t="n">
        <x:v>4</x:v>
      </x:c>
      <x:c r="G90" s="30" t="str">
        <x:v>Present</x:v>
      </x:c>
      <x:c r="H90" s="30" t="str">
        <x:v>Present</x:v>
      </x:c>
      <x:c r="I90" s="30" t="str">
        <x:v>OK</x:v>
      </x:c>
    </x:row>
    <x:row r="91" ht="72" customHeight="1">
      <x:c r="A91" s="30" t="n">
        <x:v>1</x:v>
      </x:c>
      <x:c r="B91" s="30" t="str">
        <x:v>Germany</x:v>
      </x:c>
      <x:c r="C91" s="30" t="str">
        <x:v>KNDS Germany</x:v>
      </x:c>
      <x:c r="D91" s="30" t="str">
        <x:v>Artillery</x:v>
      </x:c>
      <x:c r="E91" s="30" t="str">
        <x:v>PzH 2000</x:v>
      </x:c>
      <x:c r="F91" s="30" t="n">
        <x:v>3</x:v>
      </x:c>
      <x:c r="G91" s="30" t="str">
        <x:v>Present</x:v>
      </x:c>
      <x:c r="H91" s="30" t="str">
        <x:v>Present</x:v>
      </x:c>
      <x:c r="I91" s="30" t="str">
        <x:v>OK</x:v>
      </x:c>
    </x:row>
    <x:row r="92" ht="72" customHeight="1">
      <x:c r="A92" s="30" t="n">
        <x:v>1</x:v>
      </x:c>
      <x:c r="B92" s="30" t="str">
        <x:v>Germany</x:v>
      </x:c>
      <x:c r="C92" s="30" t="str">
        <x:v>KNDS Germany</x:v>
      </x:c>
      <x:c r="D92" s="30" t="str">
        <x:v>Artillery</x:v>
      </x:c>
      <x:c r="E92" s="30" t="str">
        <x:v>RCH 155</x:v>
      </x:c>
      <x:c r="F92" s="30" t="n">
        <x:v>2</x:v>
      </x:c>
      <x:c r="G92" s="30" t="str">
        <x:v>Present</x:v>
      </x:c>
      <x:c r="H92" s="30" t="str">
        <x:v>Present</x:v>
      </x:c>
      <x:c r="I92" s="30" t="str">
        <x:v>OK</x:v>
      </x:c>
    </x:row>
    <x:row r="93" ht="72" customHeight="1">
      <x:c r="A93" s="30" t="n">
        <x:v>1</x:v>
      </x:c>
      <x:c r="B93" s="30" t="str">
        <x:v>Germany</x:v>
      </x:c>
      <x:c r="C93" s="30" t="str">
        <x:v>KNDS Germany</x:v>
      </x:c>
      <x:c r="D93" s="30" t="str">
        <x:v>Artillery</x:v>
      </x:c>
      <x:c r="E93" s="30" t="str">
        <x:v>RCH 155 TRACKED</x:v>
      </x:c>
      <x:c r="F93" s="30" t="n">
        <x:v>2</x:v>
      </x:c>
      <x:c r="G93" s="30" t="str">
        <x:v>Present</x:v>
      </x:c>
      <x:c r="H93" s="30" t="str">
        <x:v>Present</x:v>
      </x:c>
      <x:c r="I93" s="30" t="str">
        <x:v>OK</x:v>
      </x:c>
    </x:row>
    <x:row r="94" ht="72" customHeight="1">
      <x:c r="A94" s="30" t="n">
        <x:v>1</x:v>
      </x:c>
      <x:c r="B94" s="30" t="str">
        <x:v>Germany</x:v>
      </x:c>
      <x:c r="C94" s="30" t="str">
        <x:v>KNDS Germany</x:v>
      </x:c>
      <x:c r="D94" s="30" t="str">
        <x:v>Protected Vehicles</x:v>
      </x:c>
      <x:c r="E94" s="30" t="str">
        <x:v>BOXER</x:v>
      </x:c>
      <x:c r="F94" s="30" t="n">
        <x:v>4</x:v>
      </x:c>
      <x:c r="G94" s="30" t="str">
        <x:v>Present</x:v>
      </x:c>
      <x:c r="H94" s="30" t="str">
        <x:v>Present</x:v>
      </x:c>
      <x:c r="I94" s="30" t="str">
        <x:v>OK</x:v>
      </x:c>
    </x:row>
    <x:row r="95" ht="72" customHeight="1">
      <x:c r="A95" s="30" t="n">
        <x:v>1</x:v>
      </x:c>
      <x:c r="B95" s="30" t="str">
        <x:v>Germany</x:v>
      </x:c>
      <x:c r="C95" s="30" t="str">
        <x:v>KNDS Germany</x:v>
      </x:c>
      <x:c r="D95" s="30" t="str">
        <x:v>Protected Vehicles</x:v>
      </x:c>
      <x:c r="E95" s="30" t="str">
        <x:v>BOXER RCT30</x:v>
      </x:c>
      <x:c r="F95" s="30" t="n">
        <x:v>4</x:v>
      </x:c>
      <x:c r="G95" s="30" t="str">
        <x:v>Present</x:v>
      </x:c>
      <x:c r="H95" s="30" t="str">
        <x:v>Present</x:v>
      </x:c>
      <x:c r="I95" s="30" t="str">
        <x:v>OK</x:v>
      </x:c>
    </x:row>
    <x:row r="96" ht="72" customHeight="1">
      <x:c r="A96" s="30" t="n">
        <x:v>1</x:v>
      </x:c>
      <x:c r="B96" s="30" t="str">
        <x:v>Germany</x:v>
      </x:c>
      <x:c r="C96" s="30" t="str">
        <x:v>KNDS Germany</x:v>
      </x:c>
      <x:c r="D96" s="30" t="str">
        <x:v>Protected Vehicles</x:v>
      </x:c>
      <x:c r="E96" s="30" t="str">
        <x:v>DINGO 2</x:v>
      </x:c>
      <x:c r="F96" s="30" t="n">
        <x:v>3</x:v>
      </x:c>
      <x:c r="G96" s="30" t="str">
        <x:v>Present</x:v>
      </x:c>
      <x:c r="H96" s="30" t="str">
        <x:v>Present</x:v>
      </x:c>
      <x:c r="I96" s="30" t="str">
        <x:v>OK</x:v>
      </x:c>
    </x:row>
    <x:row r="97" ht="72" customHeight="1">
      <x:c r="A97" s="30" t="n">
        <x:v>1</x:v>
      </x:c>
      <x:c r="B97" s="30" t="str">
        <x:v>Germany</x:v>
      </x:c>
      <x:c r="C97" s="30" t="str">
        <x:v>KNDS Germany</x:v>
      </x:c>
      <x:c r="D97" s="30" t="str">
        <x:v>Protected Vehicles</x:v>
      </x:c>
      <x:c r="E97" s="30" t="str">
        <x:v>DINGO 3</x:v>
      </x:c>
      <x:c r="F97" s="30" t="n">
        <x:v>2</x:v>
      </x:c>
      <x:c r="G97" s="30" t="str">
        <x:v>Present</x:v>
      </x:c>
      <x:c r="H97" s="30" t="str">
        <x:v>Present</x:v>
      </x:c>
      <x:c r="I97" s="30" t="str">
        <x:v>OK</x:v>
      </x:c>
    </x:row>
    <x:row r="98" ht="72" customHeight="1">
      <x:c r="A98" s="30" t="n">
        <x:v>1</x:v>
      </x:c>
      <x:c r="B98" s="30" t="str">
        <x:v>Germany</x:v>
      </x:c>
      <x:c r="C98" s="30" t="str">
        <x:v>KNDS Germany</x:v>
      </x:c>
      <x:c r="D98" s="30" t="str">
        <x:v>Protected Vehicles</x:v>
      </x:c>
      <x:c r="E98" s="30" t="str">
        <x:v>EMBT ADT 140 Demonstrator</x:v>
      </x:c>
      <x:c r="F98" s="30" t="n">
        <x:v>1</x:v>
      </x:c>
      <x:c r="G98" s="30" t="str">
        <x:v>Present</x:v>
      </x:c>
      <x:c r="H98" s="30" t="str">
        <x:v>Present</x:v>
      </x:c>
      <x:c r="I98" s="30" t="str">
        <x:v>OK</x:v>
      </x:c>
    </x:row>
    <x:row r="99" ht="72" customHeight="1">
      <x:c r="A99" s="30" t="n">
        <x:v>1</x:v>
      </x:c>
      <x:c r="B99" s="30" t="str">
        <x:v>Germany</x:v>
      </x:c>
      <x:c r="C99" s="30" t="str">
        <x:v>KNDS Germany</x:v>
      </x:c>
      <x:c r="D99" s="30" t="str">
        <x:v>Protected Vehicles</x:v>
      </x:c>
      <x:c r="E99" s="30" t="str">
        <x:v>FENNEK</x:v>
      </x:c>
      <x:c r="F99" s="30" t="n">
        <x:v>3</x:v>
      </x:c>
      <x:c r="G99" s="30" t="str">
        <x:v>Present</x:v>
      </x:c>
      <x:c r="H99" s="30" t="str">
        <x:v>Present</x:v>
      </x:c>
      <x:c r="I99" s="30" t="str">
        <x:v>OK</x:v>
      </x:c>
    </x:row>
    <x:row r="100" ht="72" customHeight="1">
      <x:c r="A100" s="30" t="n">
        <x:v>1</x:v>
      </x:c>
      <x:c r="B100" s="30" t="str">
        <x:v>Germany</x:v>
      </x:c>
      <x:c r="C100" s="30" t="str">
        <x:v>KNDS Germany</x:v>
      </x:c>
      <x:c r="D100" s="30" t="str">
        <x:v>Protected Vehicles</x:v>
      </x:c>
      <x:c r="E100" s="30" t="str">
        <x:v>GEPARD</x:v>
      </x:c>
      <x:c r="F100" s="30" t="n">
        <x:v>2</x:v>
      </x:c>
      <x:c r="G100" s="30" t="str">
        <x:v>Present</x:v>
      </x:c>
      <x:c r="H100" s="30" t="str">
        <x:v>Present</x:v>
      </x:c>
      <x:c r="I100" s="30" t="str">
        <x:v>OK</x:v>
      </x:c>
    </x:row>
    <x:row r="101" ht="72" customHeight="1">
      <x:c r="A101" s="30" t="n">
        <x:v>1</x:v>
      </x:c>
      <x:c r="B101" s="30" t="str">
        <x:v>Germany</x:v>
      </x:c>
      <x:c r="C101" s="30" t="str">
        <x:v>KNDS Germany</x:v>
      </x:c>
      <x:c r="D101" s="30" t="str">
        <x:v>Protected Vehicles</x:v>
      </x:c>
      <x:c r="E101" s="30" t="str">
        <x:v>GFF4</x:v>
      </x:c>
      <x:c r="F101" s="30" t="n">
        <x:v>2</x:v>
      </x:c>
      <x:c r="G101" s="30" t="str">
        <x:v>Present</x:v>
      </x:c>
      <x:c r="H101" s="30" t="str">
        <x:v>Present</x:v>
      </x:c>
      <x:c r="I101" s="30" t="str">
        <x:v>OK</x:v>
      </x:c>
    </x:row>
    <x:row r="102" ht="72" customHeight="1">
      <x:c r="A102" s="30" t="n">
        <x:v>1</x:v>
      </x:c>
      <x:c r="B102" s="30" t="str">
        <x:v>Germany</x:v>
      </x:c>
      <x:c r="C102" s="30" t="str">
        <x:v>KNDS Germany</x:v>
      </x:c>
      <x:c r="D102" s="30" t="str">
        <x:v>Protected Vehicles</x:v>
      </x:c>
      <x:c r="E102" s="30" t="str">
        <x:v>LEOPARD 1</x:v>
      </x:c>
      <x:c r="F102" s="30" t="n">
        <x:v>2</x:v>
      </x:c>
      <x:c r="G102" s="30" t="str">
        <x:v>Present</x:v>
      </x:c>
      <x:c r="H102" s="30" t="str">
        <x:v>Present</x:v>
      </x:c>
      <x:c r="I102" s="30" t="str">
        <x:v>OK</x:v>
      </x:c>
    </x:row>
    <x:row r="103" ht="72" customHeight="1">
      <x:c r="A103" s="30" t="n">
        <x:v>1</x:v>
      </x:c>
      <x:c r="B103" s="30" t="str">
        <x:v>Germany</x:v>
      </x:c>
      <x:c r="C103" s="30" t="str">
        <x:v>KNDS Germany</x:v>
      </x:c>
      <x:c r="D103" s="30" t="str">
        <x:v>Protected Vehicles</x:v>
      </x:c>
      <x:c r="E103" s="30" t="str">
        <x:v>LEOPARD 2</x:v>
      </x:c>
      <x:c r="F103" s="30" t="n">
        <x:v>2</x:v>
      </x:c>
      <x:c r="G103" s="30" t="str">
        <x:v>Present</x:v>
      </x:c>
      <x:c r="H103" s="30" t="str">
        <x:v>Present</x:v>
      </x:c>
      <x:c r="I103" s="30" t="str">
        <x:v>OK</x:v>
      </x:c>
    </x:row>
    <x:row r="104" ht="72" customHeight="1">
      <x:c r="A104" s="30" t="n">
        <x:v>1</x:v>
      </x:c>
      <x:c r="B104" s="30" t="str">
        <x:v>Germany</x:v>
      </x:c>
      <x:c r="C104" s="30" t="str">
        <x:v>KNDS Germany</x:v>
      </x:c>
      <x:c r="D104" s="30" t="str">
        <x:v>Protected Vehicles</x:v>
      </x:c>
      <x:c r="E104" s="30" t="str">
        <x:v>LEOPARD 2 A-RC 3.0</x:v>
      </x:c>
      <x:c r="F104" s="30" t="n">
        <x:v>2</x:v>
      </x:c>
      <x:c r="G104" s="30" t="str">
        <x:v>Present</x:v>
      </x:c>
      <x:c r="H104" s="30" t="str">
        <x:v>Present</x:v>
      </x:c>
      <x:c r="I104" s="30" t="str">
        <x:v>OK</x:v>
      </x:c>
    </x:row>
    <x:row r="105" ht="72" customHeight="1">
      <x:c r="A105" s="30" t="n">
        <x:v>1</x:v>
      </x:c>
      <x:c r="B105" s="30" t="str">
        <x:v>Germany</x:v>
      </x:c>
      <x:c r="C105" s="30" t="str">
        <x:v>KNDS Germany</x:v>
      </x:c>
      <x:c r="D105" s="30" t="str">
        <x:v>Protected Vehicles</x:v>
      </x:c>
      <x:c r="E105" s="30" t="str">
        <x:v>Leopard 2A8</x:v>
      </x:c>
      <x:c r="F105" s="30" t="n">
        <x:v>2</x:v>
      </x:c>
      <x:c r="G105" s="30" t="str">
        <x:v>Present</x:v>
      </x:c>
      <x:c r="H105" s="30" t="str">
        <x:v>Present</x:v>
      </x:c>
      <x:c r="I105" s="30" t="str">
        <x:v>OK</x:v>
      </x:c>
    </x:row>
    <x:row r="106" ht="72" customHeight="1">
      <x:c r="A106" s="30" t="n">
        <x:v>1</x:v>
      </x:c>
      <x:c r="B106" s="30" t="str">
        <x:v>Germany</x:v>
      </x:c>
      <x:c r="C106" s="30" t="str">
        <x:v>KNDS Germany</x:v>
      </x:c>
      <x:c r="D106" s="30" t="str">
        <x:v>Protected Vehicles</x:v>
      </x:c>
      <x:c r="E106" s="30" t="str">
        <x:v>MUNGO</x:v>
      </x:c>
      <x:c r="F106" s="30" t="n">
        <x:v>4</x:v>
      </x:c>
      <x:c r="G106" s="30" t="str">
        <x:v>Present</x:v>
      </x:c>
      <x:c r="H106" s="30" t="str">
        <x:v>Present</x:v>
      </x:c>
      <x:c r="I106" s="30" t="str">
        <x:v>OK</x:v>
      </x:c>
    </x:row>
    <x:row r="107" ht="72" customHeight="1">
      <x:c r="A107" s="30" t="n">
        <x:v>1</x:v>
      </x:c>
      <x:c r="B107" s="30" t="str">
        <x:v>Germany</x:v>
      </x:c>
      <x:c r="C107" s="30" t="str">
        <x:v>KNDS Germany</x:v>
      </x:c>
      <x:c r="D107" s="30" t="str">
        <x:v>Protected Vehicles</x:v>
      </x:c>
      <x:c r="E107" s="30" t="str">
        <x:v>PUMA</x:v>
      </x:c>
      <x:c r="F107" s="30" t="n">
        <x:v>3</x:v>
      </x:c>
      <x:c r="G107" s="30" t="str">
        <x:v>Present</x:v>
      </x:c>
      <x:c r="H107" s="30" t="str">
        <x:v>Present</x:v>
      </x:c>
      <x:c r="I107" s="30" t="str">
        <x:v>OK</x:v>
      </x:c>
    </x:row>
    <x:row r="108" ht="72" customHeight="1">
      <x:c r="A108" s="30" t="n">
        <x:v>1</x:v>
      </x:c>
      <x:c r="B108" s="30" t="str">
        <x:v>UK/US</x:v>
      </x:c>
      <x:c r="C108" s="30" t="str">
        <x:v>BAE Systems</x:v>
      </x:c>
      <x:c r="D108" s="30" t="str">
        <x:v>Artillery</x:v>
      </x:c>
      <x:c r="E108" s="30" t="str">
        <x:v>ARCHER Mobile Howitzer</x:v>
      </x:c>
      <x:c r="F108" s="30" t="n">
        <x:v>3</x:v>
      </x:c>
      <x:c r="G108" s="30" t="str">
        <x:v>Present</x:v>
      </x:c>
      <x:c r="H108" s="30" t="str">
        <x:v>Present</x:v>
      </x:c>
      <x:c r="I108" s="30" t="str">
        <x:v>OK</x:v>
      </x:c>
    </x:row>
    <x:row r="109" ht="72" customHeight="1">
      <x:c r="A109" s="30" t="n">
        <x:v>1</x:v>
      </x:c>
      <x:c r="B109" s="30" t="str">
        <x:v>UK/US</x:v>
      </x:c>
      <x:c r="C109" s="30" t="str">
        <x:v>BAE Systems</x:v>
      </x:c>
      <x:c r="D109" s="30" t="str">
        <x:v>Artillery</x:v>
      </x:c>
      <x:c r="E109" s="30" t="str">
        <x:v>M109-52 Self-Propelled Howitzer</x:v>
      </x:c>
      <x:c r="F109" s="30" t="n">
        <x:v>3</x:v>
      </x:c>
      <x:c r="G109" s="30" t="str">
        <x:v>Present</x:v>
      </x:c>
      <x:c r="H109" s="30" t="str">
        <x:v>Present</x:v>
      </x:c>
      <x:c r="I109" s="30" t="str">
        <x:v>OK</x:v>
      </x:c>
    </x:row>
    <x:row r="110" ht="72" customHeight="1">
      <x:c r="A110" s="30" t="n">
        <x:v>1</x:v>
      </x:c>
      <x:c r="B110" s="30" t="str">
        <x:v>UK/US</x:v>
      </x:c>
      <x:c r="C110" s="30" t="str">
        <x:v>BAE Systems</x:v>
      </x:c>
      <x:c r="D110" s="30" t="str">
        <x:v>Artillery</x:v>
      </x:c>
      <x:c r="E110" s="30" t="str">
        <x:v>M109A7</x:v>
      </x:c>
      <x:c r="F110" s="30" t="n">
        <x:v>3</x:v>
      </x:c>
      <x:c r="G110" s="30" t="str">
        <x:v>Present</x:v>
      </x:c>
      <x:c r="H110" s="30" t="str">
        <x:v>Present</x:v>
      </x:c>
      <x:c r="I110" s="30" t="str">
        <x:v>OK</x:v>
      </x:c>
    </x:row>
    <x:row r="111" ht="72" customHeight="1">
      <x:c r="A111" s="30" t="n">
        <x:v>1</x:v>
      </x:c>
      <x:c r="B111" s="30" t="str">
        <x:v>UK/US</x:v>
      </x:c>
      <x:c r="C111" s="30" t="str">
        <x:v>BAE Systems</x:v>
      </x:c>
      <x:c r="D111" s="30" t="str">
        <x:v>Artillery</x:v>
      </x:c>
      <x:c r="E111" s="30" t="str">
        <x:v>M777 Lightweight Towed 155 mm Howitzer</x:v>
      </x:c>
      <x:c r="F111" s="30" t="n">
        <x:v>3</x:v>
      </x:c>
      <x:c r="G111" s="30" t="str">
        <x:v>Present</x:v>
      </x:c>
      <x:c r="H111" s="30" t="str">
        <x:v>Present</x:v>
      </x:c>
      <x:c r="I111" s="30" t="str">
        <x:v>OK</x:v>
      </x:c>
    </x:row>
    <x:row r="112" ht="72" customHeight="1">
      <x:c r="A112" s="30" t="n">
        <x:v>1</x:v>
      </x:c>
      <x:c r="B112" s="30" t="str">
        <x:v>UK/US</x:v>
      </x:c>
      <x:c r="C112" s="30" t="str">
        <x:v>BAE Systems</x:v>
      </x:c>
      <x:c r="D112" s="30" t="str">
        <x:v>Artillery</x:v>
      </x:c>
      <x:c r="E112" s="30" t="str">
        <x:v>TRIDON Mk2</x:v>
      </x:c>
      <x:c r="F112" s="30" t="n">
        <x:v>2</x:v>
      </x:c>
      <x:c r="G112" s="30" t="str">
        <x:v>Present</x:v>
      </x:c>
      <x:c r="H112" s="30" t="str">
        <x:v>Present</x:v>
      </x:c>
      <x:c r="I112" s="30" t="str">
        <x:v>OK</x:v>
      </x:c>
    </x:row>
    <x:row r="113" ht="72" customHeight="1">
      <x:c r="A113" s="30" t="n">
        <x:v>1</x:v>
      </x:c>
      <x:c r="B113" s="30" t="str">
        <x:v>UK/US</x:v>
      </x:c>
      <x:c r="C113" s="30" t="str">
        <x:v>BAE Systems</x:v>
      </x:c>
      <x:c r="D113" s="30" t="str">
        <x:v>Ammunition</x:v>
      </x:c>
      <x:c r="E113" s="30" t="str">
        <x:v>105 mm Artillery Ammunition</x:v>
      </x:c>
      <x:c r="F113" s="30" t="n">
        <x:v>3</x:v>
      </x:c>
      <x:c r="G113" s="30" t="str">
        <x:v>Present</x:v>
      </x:c>
      <x:c r="H113" s="30" t="str">
        <x:v>Present</x:v>
      </x:c>
      <x:c r="I113" s="30" t="str">
        <x:v>OK</x:v>
      </x:c>
    </x:row>
    <x:row r="114" ht="72" customHeight="1">
      <x:c r="A114" s="30" t="n">
        <x:v>1</x:v>
      </x:c>
      <x:c r="B114" s="30" t="str">
        <x:v>UK/US</x:v>
      </x:c>
      <x:c r="C114" s="30" t="str">
        <x:v>BAE Systems</x:v>
      </x:c>
      <x:c r="D114" s="30" t="str">
        <x:v>Ammunition</x:v>
      </x:c>
      <x:c r="E114" s="30" t="str">
        <x:v>120 mm Mortar Ammunition</x:v>
      </x:c>
      <x:c r="F114" s="30" t="n">
        <x:v>2</x:v>
      </x:c>
      <x:c r="G114" s="30" t="str">
        <x:v>Present</x:v>
      </x:c>
      <x:c r="H114" s="30" t="str">
        <x:v>Present</x:v>
      </x:c>
      <x:c r="I114" s="30" t="str">
        <x:v>OK</x:v>
      </x:c>
    </x:row>
    <x:row r="115" ht="72" customHeight="1">
      <x:c r="A115" s="30" t="n">
        <x:v>1</x:v>
      </x:c>
      <x:c r="B115" s="30" t="str">
        <x:v>UK/US</x:v>
      </x:c>
      <x:c r="C115" s="30" t="str">
        <x:v>BAE Systems</x:v>
      </x:c>
      <x:c r="D115" s="30" t="str">
        <x:v>Ammunition</x:v>
      </x:c>
      <x:c r="E115" s="30" t="str">
        <x:v>155 mm Artillery Ammunition</x:v>
      </x:c>
      <x:c r="F115" s="30" t="n">
        <x:v>3</x:v>
      </x:c>
      <x:c r="G115" s="30" t="str">
        <x:v>Present</x:v>
      </x:c>
      <x:c r="H115" s="30" t="str">
        <x:v>Present</x:v>
      </x:c>
      <x:c r="I115" s="30" t="str">
        <x:v>OK</x:v>
      </x:c>
    </x:row>
    <x:row r="116" ht="72" customHeight="1">
      <x:c r="A116" s="30" t="n">
        <x:v>1</x:v>
      </x:c>
      <x:c r="B116" s="30" t="str">
        <x:v>UK/US</x:v>
      </x:c>
      <x:c r="C116" s="30" t="str">
        <x:v>BAE Systems</x:v>
      </x:c>
      <x:c r="D116" s="30" t="str">
        <x:v>Ammunition</x:v>
      </x:c>
      <x:c r="E116" s="30" t="str">
        <x:v>3P Programmable Ammunition</x:v>
      </x:c>
      <x:c r="F116" s="30" t="n">
        <x:v>2</x:v>
      </x:c>
      <x:c r="G116" s="30" t="str">
        <x:v>Present</x:v>
      </x:c>
      <x:c r="H116" s="30" t="str">
        <x:v>Present</x:v>
      </x:c>
      <x:c r="I116" s="30" t="str">
        <x:v>OK</x:v>
      </x:c>
    </x:row>
    <x:row r="117" ht="72" customHeight="1">
      <x:c r="A117" s="30" t="n">
        <x:v>1</x:v>
      </x:c>
      <x:c r="B117" s="30" t="str">
        <x:v>UK/US</x:v>
      </x:c>
      <x:c r="C117" s="30" t="str">
        <x:v>BAE Systems</x:v>
      </x:c>
      <x:c r="D117" s="30" t="str">
        <x:v>Ammunition</x:v>
      </x:c>
      <x:c r="E117" s="30" t="str">
        <x:v>4.5-inch Naval Ammunition</x:v>
      </x:c>
      <x:c r="F117" s="30" t="n">
        <x:v>3</x:v>
      </x:c>
      <x:c r="G117" s="30" t="str">
        <x:v>Present</x:v>
      </x:c>
      <x:c r="H117" s="30" t="str">
        <x:v>Present</x:v>
      </x:c>
      <x:c r="I117" s="30" t="str">
        <x:v>OK</x:v>
      </x:c>
    </x:row>
    <x:row r="118" ht="72" customHeight="1">
      <x:c r="A118" s="30" t="n">
        <x:v>1</x:v>
      </x:c>
      <x:c r="B118" s="30" t="str">
        <x:v>UK/US</x:v>
      </x:c>
      <x:c r="C118" s="30" t="str">
        <x:v>BAE Systems</x:v>
      </x:c>
      <x:c r="D118" s="30" t="str">
        <x:v>Ammunition</x:v>
      </x:c>
      <x:c r="E118" s="30" t="str">
        <x:v>40 mm Cased Telescoped Ammunition</x:v>
      </x:c>
      <x:c r="F118" s="30" t="n">
        <x:v>2</x:v>
      </x:c>
      <x:c r="G118" s="30" t="str">
        <x:v>Present</x:v>
      </x:c>
      <x:c r="H118" s="30" t="str">
        <x:v>Present</x:v>
      </x:c>
      <x:c r="I118" s="30" t="str">
        <x:v>OK</x:v>
      </x:c>
    </x:row>
    <x:row r="119" ht="72" customHeight="1">
      <x:c r="A119" s="30" t="n">
        <x:v>1</x:v>
      </x:c>
      <x:c r="B119" s="30" t="str">
        <x:v>UK/US</x:v>
      </x:c>
      <x:c r="C119" s="30" t="str">
        <x:v>BAE Systems</x:v>
      </x:c>
      <x:c r="D119" s="30" t="str">
        <x:v>Ammunition</x:v>
      </x:c>
      <x:c r="E119" s="30" t="str">
        <x:v>5.56 mm Small Arms Ammunition</x:v>
      </x:c>
      <x:c r="F119" s="30" t="n">
        <x:v>4</x:v>
      </x:c>
      <x:c r="G119" s="30" t="str">
        <x:v>Present</x:v>
      </x:c>
      <x:c r="H119" s="30" t="str">
        <x:v>Present</x:v>
      </x:c>
      <x:c r="I119" s="30" t="str">
        <x:v>OK</x:v>
      </x:c>
    </x:row>
    <x:row r="120" ht="72" customHeight="1">
      <x:c r="A120" s="30" t="n">
        <x:v>1</x:v>
      </x:c>
      <x:c r="B120" s="30" t="str">
        <x:v>UK/US</x:v>
      </x:c>
      <x:c r="C120" s="30" t="str">
        <x:v>BAE Systems</x:v>
      </x:c>
      <x:c r="D120" s="30" t="str">
        <x:v>Ammunition</x:v>
      </x:c>
      <x:c r="E120" s="30" t="str">
        <x:v>7.62 mm Small Arms Ammunition</x:v>
      </x:c>
      <x:c r="F120" s="30" t="n">
        <x:v>3</x:v>
      </x:c>
      <x:c r="G120" s="30" t="str">
        <x:v>Present</x:v>
      </x:c>
      <x:c r="H120" s="30" t="str">
        <x:v>Present</x:v>
      </x:c>
      <x:c r="I120" s="30" t="str">
        <x:v>OK</x:v>
      </x:c>
    </x:row>
    <x:row r="121" ht="72" customHeight="1">
      <x:c r="A121" s="30" t="n">
        <x:v>1</x:v>
      </x:c>
      <x:c r="B121" s="30" t="str">
        <x:v>UK/US</x:v>
      </x:c>
      <x:c r="C121" s="30" t="str">
        <x:v>BAE Systems</x:v>
      </x:c>
      <x:c r="D121" s="30" t="str">
        <x:v>Ammunition</x:v>
      </x:c>
      <x:c r="E121" s="30" t="str">
        <x:v>81 mm Mortar Ammunition</x:v>
      </x:c>
      <x:c r="F121" s="30" t="n">
        <x:v>2</x:v>
      </x:c>
      <x:c r="G121" s="30" t="str">
        <x:v>Present</x:v>
      </x:c>
      <x:c r="H121" s="30" t="str">
        <x:v>Present</x:v>
      </x:c>
      <x:c r="I121" s="30" t="str">
        <x:v>OK</x:v>
      </x:c>
    </x:row>
    <x:row r="122" ht="72" customHeight="1">
      <x:c r="A122" s="30" t="n">
        <x:v>1</x:v>
      </x:c>
      <x:c r="B122" s="30" t="str">
        <x:v>UK/US</x:v>
      </x:c>
      <x:c r="C122" s="30" t="str">
        <x:v>BAE Systems</x:v>
      </x:c>
      <x:c r="D122" s="30" t="str">
        <x:v>Ammunition</x:v>
      </x:c>
      <x:c r="E122" s="30" t="str">
        <x:v>BlackThorn Mission-Configurable Warheads</x:v>
      </x:c>
      <x:c r="F122" s="30" t="n">
        <x:v>2</x:v>
      </x:c>
      <x:c r="G122" s="30" t="str">
        <x:v>Present</x:v>
      </x:c>
      <x:c r="H122" s="30" t="str">
        <x:v>Present</x:v>
      </x:c>
      <x:c r="I122" s="30" t="str">
        <x:v>Family/system/component-level entry — review if exact-model-only view is needed</x:v>
      </x:c>
    </x:row>
    <x:row r="123" ht="72" customHeight="1">
      <x:c r="A123" s="30" t="n">
        <x:v>1</x:v>
      </x:c>
      <x:c r="B123" s="30" t="str">
        <x:v>UK/US</x:v>
      </x:c>
      <x:c r="C123" s="30" t="str">
        <x:v>BAE Systems</x:v>
      </x:c>
      <x:c r="D123" s="30" t="str">
        <x:v>Ammunition</x:v>
      </x:c>
      <x:c r="E123" s="30" t="str">
        <x:v>Bofors 155 BONUS</x:v>
      </x:c>
      <x:c r="F123" s="30" t="n">
        <x:v>3</x:v>
      </x:c>
      <x:c r="G123" s="30" t="str">
        <x:v>Present</x:v>
      </x:c>
      <x:c r="H123" s="30" t="str">
        <x:v>Present</x:v>
      </x:c>
      <x:c r="I123" s="30" t="str">
        <x:v>OK</x:v>
      </x:c>
    </x:row>
    <x:row r="124" ht="72" customHeight="1">
      <x:c r="A124" s="30" t="n">
        <x:v>1</x:v>
      </x:c>
      <x:c r="B124" s="30" t="str">
        <x:v>UK/US</x:v>
      </x:c>
      <x:c r="C124" s="30" t="str">
        <x:v>BAE Systems</x:v>
      </x:c>
      <x:c r="D124" s="30" t="str">
        <x:v>Ammunition</x:v>
      </x:c>
      <x:c r="E124" s="30" t="str">
        <x:v>Hypervelocity Projectile (HVP)</x:v>
      </x:c>
      <x:c r="F124" s="30" t="n">
        <x:v>2</x:v>
      </x:c>
      <x:c r="G124" s="30" t="str">
        <x:v>Present</x:v>
      </x:c>
      <x:c r="H124" s="30" t="str">
        <x:v>Present</x:v>
      </x:c>
      <x:c r="I124" s="30" t="str">
        <x:v>OK</x:v>
      </x:c>
    </x:row>
    <x:row r="125" ht="72" customHeight="1">
      <x:c r="A125" s="30" t="n">
        <x:v>1</x:v>
      </x:c>
      <x:c r="B125" s="30" t="str">
        <x:v>UK/US</x:v>
      </x:c>
      <x:c r="C125" s="30" t="str">
        <x:v>BAE Systems</x:v>
      </x:c>
      <x:c r="D125" s="30" t="str">
        <x:v>Protected Vehicles</x:v>
      </x:c>
      <x:c r="E125" s="30" t="str">
        <x:v>AAV7A1 Assault Amphibious Vehicle</x:v>
      </x:c>
      <x:c r="F125" s="30" t="n">
        <x:v>1</x:v>
      </x:c>
      <x:c r="G125" s="30" t="str">
        <x:v>Present</x:v>
      </x:c>
      <x:c r="H125" s="30" t="str">
        <x:v>Present</x:v>
      </x:c>
      <x:c r="I125" s="30" t="str">
        <x:v>OK</x:v>
      </x:c>
    </x:row>
    <x:row r="126" ht="72" customHeight="1">
      <x:c r="A126" s="30" t="n">
        <x:v>1</x:v>
      </x:c>
      <x:c r="B126" s="30" t="str">
        <x:v>UK/US</x:v>
      </x:c>
      <x:c r="C126" s="30" t="str">
        <x:v>BAE Systems</x:v>
      </x:c>
      <x:c r="D126" s="30" t="str">
        <x:v>Protected Vehicles</x:v>
      </x:c>
      <x:c r="E126" s="30" t="str">
        <x:v>ACV</x:v>
      </x:c>
      <x:c r="F126" s="30" t="n">
        <x:v>3</x:v>
      </x:c>
      <x:c r="G126" s="30" t="str">
        <x:v>Present</x:v>
      </x:c>
      <x:c r="H126" s="30" t="str">
        <x:v>Present</x:v>
      </x:c>
      <x:c r="I126" s="30" t="str">
        <x:v>OK</x:v>
      </x:c>
    </x:row>
    <x:row r="127" ht="72" customHeight="1">
      <x:c r="A127" s="30" t="n">
        <x:v>1</x:v>
      </x:c>
      <x:c r="B127" s="30" t="str">
        <x:v>UK/US</x:v>
      </x:c>
      <x:c r="C127" s="30" t="str">
        <x:v>BAE Systems</x:v>
      </x:c>
      <x:c r="D127" s="30" t="str">
        <x:v>Protected Vehicles</x:v>
      </x:c>
      <x:c r="E127" s="30" t="str">
        <x:v>AMPV</x:v>
      </x:c>
      <x:c r="F127" s="30" t="n">
        <x:v>1</x:v>
      </x:c>
      <x:c r="G127" s="30" t="str">
        <x:v>Present</x:v>
      </x:c>
      <x:c r="H127" s="30" t="str">
        <x:v>Present</x:v>
      </x:c>
      <x:c r="I127" s="30" t="str">
        <x:v>OK</x:v>
      </x:c>
    </x:row>
    <x:row r="128" ht="72" customHeight="1">
      <x:c r="A128" s="30" t="n">
        <x:v>1</x:v>
      </x:c>
      <x:c r="B128" s="30" t="str">
        <x:v>UK/US</x:v>
      </x:c>
      <x:c r="C128" s="30" t="str">
        <x:v>BAE Systems</x:v>
      </x:c>
      <x:c r="D128" s="30" t="str">
        <x:v>Protected Vehicles</x:v>
      </x:c>
      <x:c r="E128" s="30" t="str">
        <x:v>Bradley Fighting Vehicle</x:v>
      </x:c>
      <x:c r="F128" s="30" t="n">
        <x:v>3</x:v>
      </x:c>
      <x:c r="G128" s="30" t="str">
        <x:v>Present</x:v>
      </x:c>
      <x:c r="H128" s="30" t="str">
        <x:v>Present</x:v>
      </x:c>
      <x:c r="I128" s="30" t="str">
        <x:v>OK</x:v>
      </x:c>
    </x:row>
    <x:row r="129" ht="72" customHeight="1">
      <x:c r="A129" s="30" t="n">
        <x:v>1</x:v>
      </x:c>
      <x:c r="B129" s="30" t="str">
        <x:v>UK/US</x:v>
      </x:c>
      <x:c r="C129" s="30" t="str">
        <x:v>BAE Systems</x:v>
      </x:c>
      <x:c r="D129" s="30" t="str">
        <x:v>Protected Vehicles</x:v>
      </x:c>
      <x:c r="E129" s="30" t="str">
        <x:v>BvS10</x:v>
      </x:c>
      <x:c r="F129" s="30" t="n">
        <x:v>1</x:v>
      </x:c>
      <x:c r="G129" s="30" t="str">
        <x:v>Present</x:v>
      </x:c>
      <x:c r="H129" s="30" t="str">
        <x:v>Present</x:v>
      </x:c>
      <x:c r="I129" s="30" t="str">
        <x:v>OK</x:v>
      </x:c>
    </x:row>
    <x:row r="130" ht="72" customHeight="1">
      <x:c r="A130" s="30" t="n">
        <x:v>1</x:v>
      </x:c>
      <x:c r="B130" s="30" t="str">
        <x:v>UK/US</x:v>
      </x:c>
      <x:c r="C130" s="30" t="str">
        <x:v>BAE Systems</x:v>
      </x:c>
      <x:c r="D130" s="30" t="str">
        <x:v>Protected Vehicles</x:v>
      </x:c>
      <x:c r="E130" s="30" t="str">
        <x:v>BvS10 Beowulf</x:v>
      </x:c>
      <x:c r="F130" s="30" t="n">
        <x:v>1</x:v>
      </x:c>
      <x:c r="G130" s="30" t="str">
        <x:v>Present</x:v>
      </x:c>
      <x:c r="H130" s="30" t="str">
        <x:v>Present</x:v>
      </x:c>
      <x:c r="I130" s="30" t="str">
        <x:v>OK</x:v>
      </x:c>
    </x:row>
    <x:row r="131" ht="72" customHeight="1">
      <x:c r="A131" s="30" t="n">
        <x:v>1</x:v>
      </x:c>
      <x:c r="B131" s="30" t="str">
        <x:v>UK/US</x:v>
      </x:c>
      <x:c r="C131" s="30" t="str">
        <x:v>BAE Systems</x:v>
      </x:c>
      <x:c r="D131" s="30" t="str">
        <x:v>Protected Vehicles</x:v>
      </x:c>
      <x:c r="E131" s="30" t="str">
        <x:v>CV90</x:v>
      </x:c>
      <x:c r="F131" s="30" t="n">
        <x:v>2</x:v>
      </x:c>
      <x:c r="G131" s="30" t="str">
        <x:v>Present</x:v>
      </x:c>
      <x:c r="H131" s="30" t="str">
        <x:v>Present</x:v>
      </x:c>
      <x:c r="I131" s="30" t="str">
        <x:v>OK</x:v>
      </x:c>
    </x:row>
    <x:row r="132" ht="72" customHeight="1">
      <x:c r="A132" s="30" t="n">
        <x:v>1</x:v>
      </x:c>
      <x:c r="B132" s="30" t="str">
        <x:v>UK/US</x:v>
      </x:c>
      <x:c r="C132" s="30" t="str">
        <x:v>BAE Systems</x:v>
      </x:c>
      <x:c r="D132" s="30" t="str">
        <x:v>Protected Vehicles</x:v>
      </x:c>
      <x:c r="E132" s="30" t="str">
        <x:v>CV90 Armadillo</x:v>
      </x:c>
      <x:c r="F132" s="30" t="n">
        <x:v>2</x:v>
      </x:c>
      <x:c r="G132" s="30" t="str">
        <x:v>Present</x:v>
      </x:c>
      <x:c r="H132" s="30" t="str">
        <x:v>Present</x:v>
      </x:c>
      <x:c r="I132" s="30" t="str">
        <x:v>OK</x:v>
      </x:c>
    </x:row>
    <x:row r="133" ht="72" customHeight="1">
      <x:c r="A133" s="30" t="n">
        <x:v>1</x:v>
      </x:c>
      <x:c r="B133" s="30" t="str">
        <x:v>UK/US</x:v>
      </x:c>
      <x:c r="C133" s="30" t="str">
        <x:v>BAE Systems</x:v>
      </x:c>
      <x:c r="D133" s="30" t="str">
        <x:v>Protected Vehicles</x:v>
      </x:c>
      <x:c r="E133" s="30" t="str">
        <x:v>CV90 MkIV</x:v>
      </x:c>
      <x:c r="F133" s="30" t="n">
        <x:v>2</x:v>
      </x:c>
      <x:c r="G133" s="30" t="str">
        <x:v>Present</x:v>
      </x:c>
      <x:c r="H133" s="30" t="str">
        <x:v>Present</x:v>
      </x:c>
      <x:c r="I133" s="30" t="str">
        <x:v>OK</x:v>
      </x:c>
    </x:row>
    <x:row r="134" ht="72" customHeight="1">
      <x:c r="A134" s="30" t="n">
        <x:v>1</x:v>
      </x:c>
      <x:c r="B134" s="30" t="str">
        <x:v>UK/US</x:v>
      </x:c>
      <x:c r="C134" s="30" t="str">
        <x:v>BAE Systems</x:v>
      </x:c>
      <x:c r="D134" s="30" t="str">
        <x:v>Protected Vehicles</x:v>
      </x:c>
      <x:c r="E134" s="30" t="str">
        <x:v>CV90120</x:v>
      </x:c>
      <x:c r="F134" s="30" t="n">
        <x:v>2</x:v>
      </x:c>
      <x:c r="G134" s="30" t="str">
        <x:v>Present</x:v>
      </x:c>
      <x:c r="H134" s="30" t="str">
        <x:v>Present</x:v>
      </x:c>
      <x:c r="I134" s="30" t="str">
        <x:v>OK</x:v>
      </x:c>
    </x:row>
    <x:row r="135" ht="72" customHeight="1">
      <x:c r="A135" s="30" t="n">
        <x:v>1</x:v>
      </x:c>
      <x:c r="B135" s="30" t="str">
        <x:v>UK/US</x:v>
      </x:c>
      <x:c r="C135" s="30" t="str">
        <x:v>BAE Systems</x:v>
      </x:c>
      <x:c r="D135" s="30" t="str">
        <x:v>Protected Vehicles</x:v>
      </x:c>
      <x:c r="E135" s="30" t="str">
        <x:v>M113 Family</x:v>
      </x:c>
      <x:c r="F135" s="30" t="n">
        <x:v>1</x:v>
      </x:c>
      <x:c r="G135" s="30" t="str">
        <x:v>Present</x:v>
      </x:c>
      <x:c r="H135" s="30" t="str">
        <x:v>Present</x:v>
      </x:c>
      <x:c r="I135" s="30" t="str">
        <x:v>Family/system/component-level entry — review if exact-model-only view is needed</x:v>
      </x:c>
    </x:row>
    <x:row r="136" ht="72" customHeight="1">
      <x:c r="A136" s="30" t="n">
        <x:v>1</x:v>
      </x:c>
      <x:c r="B136" s="30" t="str">
        <x:v>UK/US</x:v>
      </x:c>
      <x:c r="C136" s="30" t="str">
        <x:v>BAE Systems</x:v>
      </x:c>
      <x:c r="D136" s="30" t="str">
        <x:v>Protected Vehicles</x:v>
      </x:c>
      <x:c r="E136" s="30" t="str">
        <x:v>M88 HERCULES</x:v>
      </x:c>
      <x:c r="F136" s="30" t="n">
        <x:v>1</x:v>
      </x:c>
      <x:c r="G136" s="30" t="str">
        <x:v>Present</x:v>
      </x:c>
      <x:c r="H136" s="30" t="str">
        <x:v>Present</x:v>
      </x:c>
      <x:c r="I136" s="30" t="str">
        <x:v>OK</x:v>
      </x:c>
    </x:row>
    <x:row r="137" ht="72" customHeight="1">
      <x:c r="A137" s="30" t="n">
        <x:v>1</x:v>
      </x:c>
      <x:c r="B137" s="30" t="str">
        <x:v>UK/US</x:v>
      </x:c>
      <x:c r="C137" s="30" t="str">
        <x:v>BAE Systems</x:v>
      </x:c>
      <x:c r="D137" s="30" t="str">
        <x:v>Marine/Naval</x:v>
      </x:c>
      <x:c r="E137" s="30" t="str">
        <x:v>57 mm Naval Gun System / Bofors 57 Mk3</x:v>
      </x:c>
      <x:c r="F137" s="30" t="n">
        <x:v>3</x:v>
      </x:c>
      <x:c r="G137" s="30" t="str">
        <x:v>Present</x:v>
      </x:c>
      <x:c r="H137" s="30" t="str">
        <x:v>Present</x:v>
      </x:c>
      <x:c r="I137" s="30" t="str">
        <x:v>Family/system/component-level entry — review if exact-model-only view is needed</x:v>
      </x:c>
    </x:row>
    <x:row r="138" ht="72" customHeight="1">
      <x:c r="A138" s="30" t="n">
        <x:v>1</x:v>
      </x:c>
      <x:c r="B138" s="30" t="str">
        <x:v>UK/US</x:v>
      </x:c>
      <x:c r="C138" s="30" t="str">
        <x:v>BAE Systems</x:v>
      </x:c>
      <x:c r="D138" s="30" t="str">
        <x:v>Marine/Naval</x:v>
      </x:c>
      <x:c r="E138" s="30" t="str">
        <x:v>Adaptable Deck Launching System (ADLS)</x:v>
      </x:c>
      <x:c r="F138" s="30" t="n">
        <x:v>1</x:v>
      </x:c>
      <x:c r="G138" s="30" t="str">
        <x:v>Present</x:v>
      </x:c>
      <x:c r="H138" s="30" t="str">
        <x:v>Present</x:v>
      </x:c>
      <x:c r="I138" s="30" t="str">
        <x:v>Family/system/component-level entry — review if exact-model-only view is needed</x:v>
      </x:c>
    </x:row>
    <x:row r="139" ht="72" customHeight="1">
      <x:c r="A139" s="30" t="n">
        <x:v>1</x:v>
      </x:c>
      <x:c r="B139" s="30" t="str">
        <x:v>UK/US</x:v>
      </x:c>
      <x:c r="C139" s="30" t="str">
        <x:v>BAE Systems</x:v>
      </x:c>
      <x:c r="D139" s="30" t="str">
        <x:v>Marine/Naval</x:v>
      </x:c>
      <x:c r="E139" s="30" t="str">
        <x:v>Archerfish Mine Disposal System</x:v>
      </x:c>
      <x:c r="F139" s="30" t="n">
        <x:v>1</x:v>
      </x:c>
      <x:c r="G139" s="30" t="str">
        <x:v>Present</x:v>
      </x:c>
      <x:c r="H139" s="30" t="str">
        <x:v>Present</x:v>
      </x:c>
      <x:c r="I139" s="30" t="str">
        <x:v>Family/system/component-level entry — review if exact-model-only view is needed</x:v>
      </x:c>
    </x:row>
    <x:row r="140" ht="72" customHeight="1">
      <x:c r="A140" s="30" t="n">
        <x:v>1</x:v>
      </x:c>
      <x:c r="B140" s="30" t="str">
        <x:v>UK/US</x:v>
      </x:c>
      <x:c r="C140" s="30" t="str">
        <x:v>BAE Systems</x:v>
      </x:c>
      <x:c r="D140" s="30" t="str">
        <x:v>Marine/Naval</x:v>
      </x:c>
      <x:c r="E140" s="30" t="str">
        <x:v>Astute-class Attack Submarine</x:v>
      </x:c>
      <x:c r="F140" s="30" t="n">
        <x:v>1</x:v>
      </x:c>
      <x:c r="G140" s="30" t="str">
        <x:v>Present</x:v>
      </x:c>
      <x:c r="H140" s="30" t="str">
        <x:v>Present</x:v>
      </x:c>
      <x:c r="I140" s="30" t="str">
        <x:v>OK</x:v>
      </x:c>
    </x:row>
    <x:row r="141" ht="72" customHeight="1">
      <x:c r="A141" s="30" t="n">
        <x:v>1</x:v>
      </x:c>
      <x:c r="B141" s="30" t="str">
        <x:v>UK/US</x:v>
      </x:c>
      <x:c r="C141" s="30" t="str">
        <x:v>BAE Systems</x:v>
      </x:c>
      <x:c r="D141" s="30" t="str">
        <x:v>Marine/Naval</x:v>
      </x:c>
      <x:c r="E141" s="30" t="str">
        <x:v>Bofors 40 Mk4 Naval Gun</x:v>
      </x:c>
      <x:c r="F141" s="30" t="n">
        <x:v>1</x:v>
      </x:c>
      <x:c r="G141" s="30" t="str">
        <x:v>Present</x:v>
      </x:c>
      <x:c r="H141" s="30" t="str">
        <x:v>Present</x:v>
      </x:c>
      <x:c r="I141" s="30" t="str">
        <x:v>OK</x:v>
      </x:c>
    </x:row>
    <x:row r="142" ht="72" customHeight="1">
      <x:c r="A142" s="30" t="n">
        <x:v>1</x:v>
      </x:c>
      <x:c r="B142" s="30" t="str">
        <x:v>UK/US</x:v>
      </x:c>
      <x:c r="C142" s="30" t="str">
        <x:v>BAE Systems</x:v>
      </x:c>
      <x:c r="D142" s="30" t="str">
        <x:v>Marine/Naval</x:v>
      </x:c>
      <x:c r="E142" s="30" t="str">
        <x:v>Mk38 Mod 3 Machine Gun System</x:v>
      </x:c>
      <x:c r="F142" s="30" t="n">
        <x:v>1</x:v>
      </x:c>
      <x:c r="G142" s="30" t="str">
        <x:v>Present</x:v>
      </x:c>
      <x:c r="H142" s="30" t="str">
        <x:v>Present</x:v>
      </x:c>
      <x:c r="I142" s="30" t="str">
        <x:v>Family/system/component-level entry — review if exact-model-only view is needed</x:v>
      </x:c>
    </x:row>
    <x:row r="143" ht="72" customHeight="1">
      <x:c r="A143" s="30" t="n">
        <x:v>1</x:v>
      </x:c>
      <x:c r="B143" s="30" t="str">
        <x:v>UK/US</x:v>
      </x:c>
      <x:c r="C143" s="30" t="str">
        <x:v>BAE Systems</x:v>
      </x:c>
      <x:c r="D143" s="30" t="str">
        <x:v>Marine/Naval</x:v>
      </x:c>
      <x:c r="E143" s="30" t="str">
        <x:v>Mk45 Mod 4 Naval Gun System</x:v>
      </x:c>
      <x:c r="F143" s="30" t="n">
        <x:v>2</x:v>
      </x:c>
      <x:c r="G143" s="30" t="str">
        <x:v>Present</x:v>
      </x:c>
      <x:c r="H143" s="30" t="str">
        <x:v>Present</x:v>
      </x:c>
      <x:c r="I143" s="30" t="str">
        <x:v>Family/system/component-level entry — review if exact-model-only view is needed</x:v>
      </x:c>
    </x:row>
    <x:row r="144" ht="72" customHeight="1">
      <x:c r="A144" s="30" t="n">
        <x:v>1</x:v>
      </x:c>
      <x:c r="B144" s="30" t="str">
        <x:v>UK/US</x:v>
      </x:c>
      <x:c r="C144" s="30" t="str">
        <x:v>BAE Systems</x:v>
      </x:c>
      <x:c r="D144" s="30" t="str">
        <x:v>Marine/Naval</x:v>
      </x:c>
      <x:c r="E144" s="30" t="str">
        <x:v>Spearfish Heavyweight Torpedo</x:v>
      </x:c>
      <x:c r="F144" s="30" t="n">
        <x:v>1</x:v>
      </x:c>
      <x:c r="G144" s="30" t="str">
        <x:v>Present</x:v>
      </x:c>
      <x:c r="H144" s="30" t="str">
        <x:v>Present</x:v>
      </x:c>
      <x:c r="I144" s="30" t="str">
        <x:v>OK</x:v>
      </x:c>
    </x:row>
    <x:row r="145" ht="72" customHeight="1">
      <x:c r="A145" s="30" t="n">
        <x:v>1</x:v>
      </x:c>
      <x:c r="B145" s="30" t="str">
        <x:v>UK/US</x:v>
      </x:c>
      <x:c r="C145" s="30" t="str">
        <x:v>BAE Systems</x:v>
      </x:c>
      <x:c r="D145" s="30" t="str">
        <x:v>Marine/Naval</x:v>
      </x:c>
      <x:c r="E145" s="30" t="str">
        <x:v>Sting Ray Mod 1 Lightweight Torpedo</x:v>
      </x:c>
      <x:c r="F145" s="30" t="n">
        <x:v>1</x:v>
      </x:c>
      <x:c r="G145" s="30" t="str">
        <x:v>Present</x:v>
      </x:c>
      <x:c r="H145" s="30" t="str">
        <x:v>Present</x:v>
      </x:c>
      <x:c r="I145" s="30" t="str">
        <x:v>OK</x:v>
      </x:c>
    </x:row>
    <x:row r="146" ht="72" customHeight="1">
      <x:c r="A146" s="30" t="n">
        <x:v>1</x:v>
      </x:c>
      <x:c r="B146" s="30" t="str">
        <x:v>UK/US</x:v>
      </x:c>
      <x:c r="C146" s="30" t="str">
        <x:v>BAE Systems</x:v>
      </x:c>
      <x:c r="D146" s="30" t="str">
        <x:v>Marine/Naval</x:v>
      </x:c>
      <x:c r="E146" s="30" t="str">
        <x:v>Type 26 Global Combat Ship</x:v>
      </x:c>
      <x:c r="F146" s="30" t="n">
        <x:v>1</x:v>
      </x:c>
      <x:c r="G146" s="30" t="str">
        <x:v>Present</x:v>
      </x:c>
      <x:c r="H146" s="30" t="str">
        <x:v>Present</x:v>
      </x:c>
      <x:c r="I146" s="30" t="str">
        <x:v>OK</x:v>
      </x:c>
    </x:row>
    <x:row r="147" ht="72" customHeight="1">
      <x:c r="A147" s="30" t="n">
        <x:v>1</x:v>
      </x:c>
      <x:c r="B147" s="30" t="str">
        <x:v>UK/US</x:v>
      </x:c>
      <x:c r="C147" s="30" t="str">
        <x:v>BAE Systems</x:v>
      </x:c>
      <x:c r="D147" s="30" t="str">
        <x:v>Marine/Naval</x:v>
      </x:c>
      <x:c r="E147" s="30" t="str">
        <x:v>Type 45 Daring-class Air Defence Destroyer</x:v>
      </x:c>
      <x:c r="F147" s="30" t="n">
        <x:v>1</x:v>
      </x:c>
      <x:c r="G147" s="30" t="str">
        <x:v>Present</x:v>
      </x:c>
      <x:c r="H147" s="30" t="str">
        <x:v>Present</x:v>
      </x:c>
      <x:c r="I147" s="30" t="str">
        <x:v>OK</x:v>
      </x:c>
    </x:row>
    <x:row r="148" ht="72" customHeight="1">
      <x:c r="A148" s="30" t="n">
        <x:v>1</x:v>
      </x:c>
      <x:c r="B148" s="30" t="str">
        <x:v>UK/US</x:v>
      </x:c>
      <x:c r="C148" s="30" t="str">
        <x:v>BAE Systems</x:v>
      </x:c>
      <x:c r="D148" s="30" t="str">
        <x:v>Marine/Naval</x:v>
      </x:c>
      <x:c r="E148" s="30" t="str">
        <x:v>VLS Mk41</x:v>
      </x:c>
      <x:c r="F148" s="30" t="n">
        <x:v>1</x:v>
      </x:c>
      <x:c r="G148" s="30" t="str">
        <x:v>Present</x:v>
      </x:c>
      <x:c r="H148" s="30" t="str">
        <x:v>Present</x:v>
      </x:c>
      <x:c r="I148" s="30" t="str">
        <x:v>OK</x:v>
      </x:c>
    </x:row>
    <x:row r="149" ht="72" customHeight="1">
      <x:c r="A149" s="30" t="n">
        <x:v>1</x:v>
      </x:c>
      <x:c r="B149" s="30" t="str">
        <x:v>UK/US</x:v>
      </x:c>
      <x:c r="C149" s="30" t="str">
        <x:v>BAE Systems</x:v>
      </x:c>
      <x:c r="D149" s="30" t="str">
        <x:v>UAVs/Drones</x:v>
      </x:c>
      <x:c r="E149" s="30" t="str">
        <x:v>Brontanax</x:v>
      </x:c>
      <x:c r="F149" s="30" t="n">
        <x:v>1</x:v>
      </x:c>
      <x:c r="G149" s="30" t="str">
        <x:v>Present</x:v>
      </x:c>
      <x:c r="H149" s="30" t="str">
        <x:v>Present</x:v>
      </x:c>
      <x:c r="I149" s="30" t="str">
        <x:v>OK</x:v>
      </x:c>
    </x:row>
    <x:row r="150" ht="72" customHeight="1">
      <x:c r="A150" s="30" t="n">
        <x:v>1</x:v>
      </x:c>
      <x:c r="B150" s="30" t="str">
        <x:v>UK/US</x:v>
      </x:c>
      <x:c r="C150" s="30" t="str">
        <x:v>BAE Systems</x:v>
      </x:c>
      <x:c r="D150" s="30" t="str">
        <x:v>UAVs/Drones</x:v>
      </x:c>
      <x:c r="E150" s="30" t="str">
        <x:v>Capstone</x:v>
      </x:c>
      <x:c r="F150" s="30" t="n">
        <x:v>1</x:v>
      </x:c>
      <x:c r="G150" s="30" t="str">
        <x:v>Present</x:v>
      </x:c>
      <x:c r="H150" s="30" t="str">
        <x:v>Present</x:v>
      </x:c>
      <x:c r="I150" s="30" t="str">
        <x:v>OK</x:v>
      </x:c>
    </x:row>
    <x:row r="151" ht="72" customHeight="1">
      <x:c r="A151" s="30" t="n">
        <x:v>1</x:v>
      </x:c>
      <x:c r="B151" s="30" t="str">
        <x:v>UK/US</x:v>
      </x:c>
      <x:c r="C151" s="30" t="str">
        <x:v>BAE Systems</x:v>
      </x:c>
      <x:c r="D151" s="30" t="str">
        <x:v>UAVs/Drones</x:v>
      </x:c>
      <x:c r="E151" s="30" t="str">
        <x:v>DEMON</x:v>
      </x:c>
      <x:c r="F151" s="30" t="n">
        <x:v>2</x:v>
      </x:c>
      <x:c r="G151" s="30" t="str">
        <x:v>Present</x:v>
      </x:c>
      <x:c r="H151" s="30" t="str">
        <x:v>Present</x:v>
      </x:c>
      <x:c r="I151" s="30" t="str">
        <x:v>Limited/configuration-dependent public specifications</x:v>
      </x:c>
    </x:row>
    <x:row r="152" ht="72" customHeight="1">
      <x:c r="A152" s="30" t="n">
        <x:v>1</x:v>
      </x:c>
      <x:c r="B152" s="30" t="str">
        <x:v>UK/US</x:v>
      </x:c>
      <x:c r="C152" s="30" t="str">
        <x:v>BAE Systems</x:v>
      </x:c>
      <x:c r="D152" s="30" t="str">
        <x:v>UAVs/Drones</x:v>
      </x:c>
      <x:c r="E152" s="30" t="str">
        <x:v>Fregata</x:v>
      </x:c>
      <x:c r="F152" s="30" t="n">
        <x:v>1</x:v>
      </x:c>
      <x:c r="G152" s="30" t="str">
        <x:v>Present</x:v>
      </x:c>
      <x:c r="H152" s="30" t="str">
        <x:v>Present</x:v>
      </x:c>
      <x:c r="I152" s="30" t="str">
        <x:v>OK</x:v>
      </x:c>
    </x:row>
    <x:row r="153" ht="72" customHeight="1">
      <x:c r="A153" s="30" t="n">
        <x:v>1</x:v>
      </x:c>
      <x:c r="B153" s="30" t="str">
        <x:v>UK/US</x:v>
      </x:c>
      <x:c r="C153" s="30" t="str">
        <x:v>BAE Systems</x:v>
      </x:c>
      <x:c r="D153" s="30" t="str">
        <x:v>UAVs/Drones</x:v>
      </x:c>
      <x:c r="E153" s="30" t="str">
        <x:v>Koios</x:v>
      </x:c>
      <x:c r="F153" s="30" t="n">
        <x:v>1</x:v>
      </x:c>
      <x:c r="G153" s="30" t="str">
        <x:v>Present</x:v>
      </x:c>
      <x:c r="H153" s="30" t="str">
        <x:v>Present</x:v>
      </x:c>
      <x:c r="I153" s="30" t="str">
        <x:v>OK</x:v>
      </x:c>
    </x:row>
    <x:row r="154" ht="72" customHeight="1">
      <x:c r="A154" s="30" t="n">
        <x:v>1</x:v>
      </x:c>
      <x:c r="B154" s="30" t="str">
        <x:v>UK/US</x:v>
      </x:c>
      <x:c r="C154" s="30" t="str">
        <x:v>BAE Systems</x:v>
      </x:c>
      <x:c r="D154" s="30" t="str">
        <x:v>UAVs/Drones</x:v>
      </x:c>
      <x:c r="E154" s="30" t="str">
        <x:v>Nyan</x:v>
      </x:c>
      <x:c r="F154" s="30" t="n">
        <x:v>1</x:v>
      </x:c>
      <x:c r="G154" s="30" t="str">
        <x:v>Present</x:v>
      </x:c>
      <x:c r="H154" s="30" t="str">
        <x:v>Present</x:v>
      </x:c>
      <x:c r="I154" s="30" t="str">
        <x:v>OK</x:v>
      </x:c>
    </x:row>
    <x:row r="155" ht="72" customHeight="1">
      <x:c r="A155" s="30" t="n">
        <x:v>1</x:v>
      </x:c>
      <x:c r="B155" s="30" t="str">
        <x:v>UK/US</x:v>
      </x:c>
      <x:c r="C155" s="30" t="str">
        <x:v>BAE Systems</x:v>
      </x:c>
      <x:c r="D155" s="30" t="str">
        <x:v>UAVs/Drones</x:v>
      </x:c>
      <x:c r="E155" s="30" t="str">
        <x:v>PHASA-35</x:v>
      </x:c>
      <x:c r="F155" s="30" t="n">
        <x:v>3</x:v>
      </x:c>
      <x:c r="G155" s="30" t="str">
        <x:v>Present</x:v>
      </x:c>
      <x:c r="H155" s="30" t="str">
        <x:v>Present</x:v>
      </x:c>
      <x:c r="I155" s="30" t="str">
        <x:v>OK</x:v>
      </x:c>
    </x:row>
    <x:row r="156" ht="72" customHeight="1">
      <x:c r="A156" s="30" t="n">
        <x:v>1</x:v>
      </x:c>
      <x:c r="B156" s="30" t="str">
        <x:v>UK/US</x:v>
      </x:c>
      <x:c r="C156" s="30" t="str">
        <x:v>BAE Systems</x:v>
      </x:c>
      <x:c r="D156" s="30" t="str">
        <x:v>UAVs/Drones</x:v>
      </x:c>
      <x:c r="E156" s="30" t="str">
        <x:v>T-600</x:v>
      </x:c>
      <x:c r="F156" s="30" t="n">
        <x:v>2</x:v>
      </x:c>
      <x:c r="G156" s="30" t="str">
        <x:v>Present</x:v>
      </x:c>
      <x:c r="H156" s="30" t="str">
        <x:v>Present</x:v>
      </x:c>
      <x:c r="I156" s="30" t="str">
        <x:v>OK</x:v>
      </x:c>
    </x:row>
    <x:row r="157" ht="72" customHeight="1">
      <x:c r="A157" s="30" t="n">
        <x:v>1</x:v>
      </x:c>
      <x:c r="B157" s="30" t="str">
        <x:v>UK/US</x:v>
      </x:c>
      <x:c r="C157" s="30" t="str">
        <x:v>BAE Systems</x:v>
      </x:c>
      <x:c r="D157" s="30" t="str">
        <x:v>UAVs/Drones</x:v>
      </x:c>
      <x:c r="E157" s="30" t="str">
        <x:v>T-650</x:v>
      </x:c>
      <x:c r="F157" s="30" t="n">
        <x:v>1</x:v>
      </x:c>
      <x:c r="G157" s="30" t="str">
        <x:v>Present</x:v>
      </x:c>
      <x:c r="H157" s="30" t="str">
        <x:v>Present</x:v>
      </x:c>
      <x:c r="I157" s="30" t="str">
        <x:v>OK</x:v>
      </x:c>
    </x:row>
    <x:row r="158" ht="72" customHeight="1">
      <x:c r="A158" s="30" t="n">
        <x:v>1</x:v>
      </x:c>
      <x:c r="B158" s="30" t="str">
        <x:v>UK/US</x:v>
      </x:c>
      <x:c r="C158" s="30" t="str">
        <x:v>BAE Systems</x:v>
      </x:c>
      <x:c r="D158" s="30" t="str">
        <x:v>UAVs/Drones</x:v>
      </x:c>
      <x:c r="E158" s="30" t="str">
        <x:v>T-Series Heavy-Lift UAS</x:v>
      </x:c>
      <x:c r="F158" s="30" t="n">
        <x:v>1</x:v>
      </x:c>
      <x:c r="G158" s="30" t="str">
        <x:v>Present</x:v>
      </x:c>
      <x:c r="H158" s="30" t="str">
        <x:v>Present</x:v>
      </x:c>
      <x:c r="I158" s="30" t="str">
        <x:v>OK</x:v>
      </x:c>
    </x:row>
    <x:row r="159" ht="72" customHeight="1">
      <x:c r="A159" s="30" t="n">
        <x:v>1</x:v>
      </x:c>
      <x:c r="B159" s="30" t="str">
        <x:v>UK/US</x:v>
      </x:c>
      <x:c r="C159" s="30" t="str">
        <x:v>BAE Systems</x:v>
      </x:c>
      <x:c r="D159" s="30" t="str">
        <x:v>UAVs/Drones</x:v>
      </x:c>
      <x:c r="E159" s="30" t="str">
        <x:v>Taranis</x:v>
      </x:c>
      <x:c r="F159" s="30" t="n">
        <x:v>2</x:v>
      </x:c>
      <x:c r="G159" s="30" t="str">
        <x:v>Present</x:v>
      </x:c>
      <x:c r="H159" s="30" t="str">
        <x:v>Present</x:v>
      </x:c>
      <x:c r="I159" s="30" t="str">
        <x:v>Limited/configuration-dependent public specifications</x:v>
      </x:c>
    </x:row>
    <x:row r="160" ht="72" customHeight="1">
      <x:c r="A160" s="30" t="n">
        <x:v>1</x:v>
      </x:c>
      <x:c r="B160" s="30" t="str">
        <x:v>UK/US</x:v>
      </x:c>
      <x:c r="C160" s="30" t="str">
        <x:v>BAE Systems</x:v>
      </x:c>
      <x:c r="D160" s="30" t="str">
        <x:v>Missiles</x:v>
      </x:c>
      <x:c r="E160" s="30" t="str">
        <x:v>APKWS</x:v>
      </x:c>
      <x:c r="F160" s="30" t="n">
        <x:v>2</x:v>
      </x:c>
      <x:c r="G160" s="30" t="str">
        <x:v>Present</x:v>
      </x:c>
      <x:c r="H160" s="30" t="str">
        <x:v>Present</x:v>
      </x:c>
      <x:c r="I160" s="30" t="str">
        <x:v>OK</x:v>
      </x:c>
    </x:row>
    <x:row r="161" ht="72" customHeight="1">
      <x:c r="A161" s="30" t="n">
        <x:v>1</x:v>
      </x:c>
      <x:c r="B161" s="30" t="str">
        <x:v>Italy</x:v>
      </x:c>
      <x:c r="C161" s="30" t="str">
        <x:v>Leonardo</x:v>
      </x:c>
      <x:c r="D161" s="30" t="str">
        <x:v>Artillery</x:v>
      </x:c>
      <x:c r="E161" s="30" t="str">
        <x:v>HITFACT MkII 105/120</x:v>
      </x:c>
      <x:c r="F161" s="30" t="n">
        <x:v>1</x:v>
      </x:c>
      <x:c r="G161" s="30" t="str">
        <x:v>Present</x:v>
      </x:c>
      <x:c r="H161" s="30" t="str">
        <x:v>Present</x:v>
      </x:c>
      <x:c r="I161" s="30" t="str">
        <x:v>OK</x:v>
      </x:c>
    </x:row>
    <x:row r="162" ht="72" customHeight="1">
      <x:c r="A162" s="30" t="n">
        <x:v>1</x:v>
      </x:c>
      <x:c r="B162" s="30" t="str">
        <x:v>Italy</x:v>
      </x:c>
      <x:c r="C162" s="30" t="str">
        <x:v>Leonardo</x:v>
      </x:c>
      <x:c r="D162" s="30" t="str">
        <x:v>Artillery</x:v>
      </x:c>
      <x:c r="E162" s="30" t="str">
        <x:v>HITFIRE 155/52</x:v>
      </x:c>
      <x:c r="F162" s="30" t="n">
        <x:v>1</x:v>
      </x:c>
      <x:c r="G162" s="30" t="str">
        <x:v>Present</x:v>
      </x:c>
      <x:c r="H162" s="30" t="str">
        <x:v>Present</x:v>
      </x:c>
      <x:c r="I162" s="30" t="str">
        <x:v>OK</x:v>
      </x:c>
    </x:row>
    <x:row r="163" ht="72" customHeight="1">
      <x:c r="A163" s="30" t="n">
        <x:v>1</x:v>
      </x:c>
      <x:c r="B163" s="30" t="str">
        <x:v>Italy</x:v>
      </x:c>
      <x:c r="C163" s="30" t="str">
        <x:v>Leonardo</x:v>
      </x:c>
      <x:c r="D163" s="30" t="str">
        <x:v>Artillery</x:v>
      </x:c>
      <x:c r="E163" s="30" t="str">
        <x:v>VBM 155 SPH</x:v>
      </x:c>
      <x:c r="F163" s="30" t="n">
        <x:v>2</x:v>
      </x:c>
      <x:c r="G163" s="30" t="str">
        <x:v>Present</x:v>
      </x:c>
      <x:c r="H163" s="30" t="str">
        <x:v>Present</x:v>
      </x:c>
      <x:c r="I163" s="30" t="str">
        <x:v>OK</x:v>
      </x:c>
    </x:row>
    <x:row r="164" ht="72" customHeight="1">
      <x:c r="A164" s="30" t="n">
        <x:v>1</x:v>
      </x:c>
      <x:c r="B164" s="30" t="str">
        <x:v>Italy</x:v>
      </x:c>
      <x:c r="C164" s="30" t="str">
        <x:v>Leonardo</x:v>
      </x:c>
      <x:c r="D164" s="30" t="str">
        <x:v>Ammunition</x:v>
      </x:c>
      <x:c r="E164" s="30" t="str">
        <x:v>4AP Fuze</x:v>
      </x:c>
      <x:c r="F164" s="30" t="n">
        <x:v>3</x:v>
      </x:c>
      <x:c r="G164" s="30" t="str">
        <x:v>Present</x:v>
      </x:c>
      <x:c r="H164" s="30" t="str">
        <x:v>Present</x:v>
      </x:c>
      <x:c r="I164" s="30" t="str">
        <x:v>Family/system/component-level entry — review if exact-model-only view is needed</x:v>
      </x:c>
    </x:row>
    <x:row r="165" ht="72" customHeight="1">
      <x:c r="A165" s="30" t="n">
        <x:v>1</x:v>
      </x:c>
      <x:c r="B165" s="30" t="str">
        <x:v>Italy</x:v>
      </x:c>
      <x:c r="C165" s="30" t="str">
        <x:v>Leonardo</x:v>
      </x:c>
      <x:c r="D165" s="30" t="str">
        <x:v>Ammunition</x:v>
      </x:c>
      <x:c r="E165" s="30" t="str">
        <x:v>Conventional Naval Ammunition</x:v>
      </x:c>
      <x:c r="F165" s="30" t="n">
        <x:v>3</x:v>
      </x:c>
      <x:c r="G165" s="30" t="str">
        <x:v>Present</x:v>
      </x:c>
      <x:c r="H165" s="30" t="str">
        <x:v>Present</x:v>
      </x:c>
      <x:c r="I165" s="30" t="str">
        <x:v>OK</x:v>
      </x:c>
    </x:row>
    <x:row r="166" ht="72" customHeight="1">
      <x:c r="A166" s="30" t="n">
        <x:v>1</x:v>
      </x:c>
      <x:c r="B166" s="30" t="str">
        <x:v>Italy</x:v>
      </x:c>
      <x:c r="C166" s="30" t="str">
        <x:v>Leonardo</x:v>
      </x:c>
      <x:c r="D166" s="30" t="str">
        <x:v>Ammunition</x:v>
      </x:c>
      <x:c r="E166" s="30" t="str">
        <x:v>DART 76</x:v>
      </x:c>
      <x:c r="F166" s="30" t="n">
        <x:v>5</x:v>
      </x:c>
      <x:c r="G166" s="30" t="str">
        <x:v>Present</x:v>
      </x:c>
      <x:c r="H166" s="30" t="str">
        <x:v>Present</x:v>
      </x:c>
      <x:c r="I166" s="30" t="str">
        <x:v>OK</x:v>
      </x:c>
    </x:row>
    <x:row r="167" ht="72" customHeight="1">
      <x:c r="A167" s="30" t="n">
        <x:v>1</x:v>
      </x:c>
      <x:c r="B167" s="30" t="str">
        <x:v>Italy</x:v>
      </x:c>
      <x:c r="C167" s="30" t="str">
        <x:v>Leonardo</x:v>
      </x:c>
      <x:c r="D167" s="30" t="str">
        <x:v>Ammunition</x:v>
      </x:c>
      <x:c r="E167" s="30" t="str">
        <x:v>VULCANO 127</x:v>
      </x:c>
      <x:c r="F167" s="30" t="n">
        <x:v>3</x:v>
      </x:c>
      <x:c r="G167" s="30" t="str">
        <x:v>Present</x:v>
      </x:c>
      <x:c r="H167" s="30" t="str">
        <x:v>Present</x:v>
      </x:c>
      <x:c r="I167" s="30" t="str">
        <x:v>OK</x:v>
      </x:c>
    </x:row>
    <x:row r="168" ht="72" customHeight="1">
      <x:c r="A168" s="30" t="n">
        <x:v>1</x:v>
      </x:c>
      <x:c r="B168" s="30" t="str">
        <x:v>Italy</x:v>
      </x:c>
      <x:c r="C168" s="30" t="str">
        <x:v>Leonardo</x:v>
      </x:c>
      <x:c r="D168" s="30" t="str">
        <x:v>Ammunition</x:v>
      </x:c>
      <x:c r="E168" s="30" t="str">
        <x:v>VULCANO 155</x:v>
      </x:c>
      <x:c r="F168" s="30" t="n">
        <x:v>4</x:v>
      </x:c>
      <x:c r="G168" s="30" t="str">
        <x:v>Present</x:v>
      </x:c>
      <x:c r="H168" s="30" t="str">
        <x:v>Present</x:v>
      </x:c>
      <x:c r="I168" s="30" t="str">
        <x:v>OK</x:v>
      </x:c>
    </x:row>
    <x:row r="169" ht="72" customHeight="1">
      <x:c r="A169" s="30" t="n">
        <x:v>1</x:v>
      </x:c>
      <x:c r="B169" s="30" t="str">
        <x:v>Italy</x:v>
      </x:c>
      <x:c r="C169" s="30" t="str">
        <x:v>Leonardo</x:v>
      </x:c>
      <x:c r="D169" s="30" t="str">
        <x:v>Ammunition</x:v>
      </x:c>
      <x:c r="E169" s="30" t="str">
        <x:v>VULCANO 76</x:v>
      </x:c>
      <x:c r="F169" s="30" t="n">
        <x:v>4</x:v>
      </x:c>
      <x:c r="G169" s="30" t="str">
        <x:v>Present</x:v>
      </x:c>
      <x:c r="H169" s="30" t="str">
        <x:v>Present</x:v>
      </x:c>
      <x:c r="I169" s="30" t="str">
        <x:v>OK</x:v>
      </x:c>
    </x:row>
    <x:row r="170" ht="72" customHeight="1">
      <x:c r="A170" s="30" t="n">
        <x:v>1</x:v>
      </x:c>
      <x:c r="B170" s="30" t="str">
        <x:v>Italy</x:v>
      </x:c>
      <x:c r="C170" s="30" t="str">
        <x:v>Leonardo</x:v>
      </x:c>
      <x:c r="D170" s="30" t="str">
        <x:v>Protected Vehicles</x:v>
      </x:c>
      <x:c r="E170" s="30" t="str">
        <x:v>Ariete C2</x:v>
      </x:c>
      <x:c r="F170" s="30" t="n">
        <x:v>1</x:v>
      </x:c>
      <x:c r="G170" s="30" t="str">
        <x:v>Present</x:v>
      </x:c>
      <x:c r="H170" s="30" t="str">
        <x:v>Present</x:v>
      </x:c>
      <x:c r="I170" s="30" t="str">
        <x:v>OK</x:v>
      </x:c>
    </x:row>
    <x:row r="171" ht="72" customHeight="1">
      <x:c r="A171" s="30" t="n">
        <x:v>1</x:v>
      </x:c>
      <x:c r="B171" s="30" t="str">
        <x:v>Italy</x:v>
      </x:c>
      <x:c r="C171" s="30" t="str">
        <x:v>Leonardo</x:v>
      </x:c>
      <x:c r="D171" s="30" t="str">
        <x:v>Protected Vehicles</x:v>
      </x:c>
      <x:c r="E171" s="30" t="str">
        <x:v>Centauro II</x:v>
      </x:c>
      <x:c r="F171" s="30" t="n">
        <x:v>2</x:v>
      </x:c>
      <x:c r="G171" s="30" t="str">
        <x:v>Present</x:v>
      </x:c>
      <x:c r="H171" s="30" t="str">
        <x:v>Present</x:v>
      </x:c>
      <x:c r="I171" s="30" t="str">
        <x:v>OK</x:v>
      </x:c>
    </x:row>
    <x:row r="172" ht="72" customHeight="1">
      <x:c r="A172" s="30" t="n">
        <x:v>1</x:v>
      </x:c>
      <x:c r="B172" s="30" t="str">
        <x:v>Italy</x:v>
      </x:c>
      <x:c r="C172" s="30" t="str">
        <x:v>Leonardo</x:v>
      </x:c>
      <x:c r="D172" s="30" t="str">
        <x:v>Protected Vehicles</x:v>
      </x:c>
      <x:c r="E172" s="30" t="str">
        <x:v>LMV2</x:v>
      </x:c>
      <x:c r="F172" s="30" t="n">
        <x:v>1</x:v>
      </x:c>
      <x:c r="G172" s="30" t="str">
        <x:v>Present</x:v>
      </x:c>
      <x:c r="H172" s="30" t="str">
        <x:v>Present</x:v>
      </x:c>
      <x:c r="I172" s="30" t="str">
        <x:v>OK</x:v>
      </x:c>
    </x:row>
    <x:row r="173" ht="72" customHeight="1">
      <x:c r="A173" s="30" t="n">
        <x:v>1</x:v>
      </x:c>
      <x:c r="B173" s="30" t="str">
        <x:v>Italy</x:v>
      </x:c>
      <x:c r="C173" s="30" t="str">
        <x:v>Leonardo</x:v>
      </x:c>
      <x:c r="D173" s="30" t="str">
        <x:v>Protected Vehicles</x:v>
      </x:c>
      <x:c r="E173" s="30" t="str">
        <x:v>MTV</x:v>
      </x:c>
      <x:c r="F173" s="30" t="n">
        <x:v>1</x:v>
      </x:c>
      <x:c r="G173" s="30" t="str">
        <x:v>Present</x:v>
      </x:c>
      <x:c r="H173" s="30" t="str">
        <x:v>Present</x:v>
      </x:c>
      <x:c r="I173" s="30" t="str">
        <x:v>OK</x:v>
      </x:c>
    </x:row>
    <x:row r="174" ht="72" customHeight="1">
      <x:c r="A174" s="30" t="n">
        <x:v>1</x:v>
      </x:c>
      <x:c r="B174" s="30" t="str">
        <x:v>Italy</x:v>
      </x:c>
      <x:c r="C174" s="30" t="str">
        <x:v>Leonardo</x:v>
      </x:c>
      <x:c r="D174" s="30" t="str">
        <x:v>Protected Vehicles</x:v>
      </x:c>
      <x:c r="E174" s="30" t="str">
        <x:v>MUV</x:v>
      </x:c>
      <x:c r="F174" s="30" t="n">
        <x:v>2</x:v>
      </x:c>
      <x:c r="G174" s="30" t="str">
        <x:v>Present</x:v>
      </x:c>
      <x:c r="H174" s="30" t="str">
        <x:v>Present</x:v>
      </x:c>
      <x:c r="I174" s="30" t="str">
        <x:v>OK</x:v>
      </x:c>
    </x:row>
    <x:row r="175" ht="72" customHeight="1">
      <x:c r="A175" s="30" t="n">
        <x:v>1</x:v>
      </x:c>
      <x:c r="B175" s="30" t="str">
        <x:v>Italy</x:v>
      </x:c>
      <x:c r="C175" s="30" t="str">
        <x:v>Leonardo</x:v>
      </x:c>
      <x:c r="D175" s="30" t="str">
        <x:v>Protected Vehicles</x:v>
      </x:c>
      <x:c r="E175" s="30" t="str">
        <x:v>SUPERAV Amphibious / VBA</x:v>
      </x:c>
      <x:c r="F175" s="30" t="n">
        <x:v>2</x:v>
      </x:c>
      <x:c r="G175" s="30" t="str">
        <x:v>Present</x:v>
      </x:c>
      <x:c r="H175" s="30" t="str">
        <x:v>Present</x:v>
      </x:c>
      <x:c r="I175" s="30" t="str">
        <x:v>OK</x:v>
      </x:c>
    </x:row>
    <x:row r="176" ht="72" customHeight="1">
      <x:c r="A176" s="30" t="n">
        <x:v>1</x:v>
      </x:c>
      <x:c r="B176" s="30" t="str">
        <x:v>Italy</x:v>
      </x:c>
      <x:c r="C176" s="30" t="str">
        <x:v>Leonardo</x:v>
      </x:c>
      <x:c r="D176" s="30" t="str">
        <x:v>Protected Vehicles</x:v>
      </x:c>
      <x:c r="E176" s="30" t="str">
        <x:v>SUPERAV Land</x:v>
      </x:c>
      <x:c r="F176" s="30" t="n">
        <x:v>2</x:v>
      </x:c>
      <x:c r="G176" s="30" t="str">
        <x:v>Present</x:v>
      </x:c>
      <x:c r="H176" s="30" t="str">
        <x:v>Present</x:v>
      </x:c>
      <x:c r="I176" s="30" t="str">
        <x:v>OK</x:v>
      </x:c>
    </x:row>
    <x:row r="177" ht="72" customHeight="1">
      <x:c r="A177" s="30" t="n">
        <x:v>1</x:v>
      </x:c>
      <x:c r="B177" s="30" t="str">
        <x:v>Italy</x:v>
      </x:c>
      <x:c r="C177" s="30" t="str">
        <x:v>Leonardo</x:v>
      </x:c>
      <x:c r="D177" s="30" t="str">
        <x:v>Protected Vehicles</x:v>
      </x:c>
      <x:c r="E177" s="30" t="str">
        <x:v>VBA</x:v>
      </x:c>
      <x:c r="F177" s="30" t="n">
        <x:v>2</x:v>
      </x:c>
      <x:c r="G177" s="30" t="str">
        <x:v>Present</x:v>
      </x:c>
      <x:c r="H177" s="30" t="str">
        <x:v>Present</x:v>
      </x:c>
      <x:c r="I177" s="30" t="str">
        <x:v>OK</x:v>
      </x:c>
    </x:row>
    <x:row r="178" ht="72" customHeight="1">
      <x:c r="A178" s="30" t="n">
        <x:v>1</x:v>
      </x:c>
      <x:c r="B178" s="30" t="str">
        <x:v>Italy</x:v>
      </x:c>
      <x:c r="C178" s="30" t="str">
        <x:v>Leonardo</x:v>
      </x:c>
      <x:c r="D178" s="30" t="str">
        <x:v>Protected Vehicles</x:v>
      </x:c>
      <x:c r="E178" s="30" t="str">
        <x:v>VBM Freccia AIFV/ATGM</x:v>
      </x:c>
      <x:c r="F178" s="30" t="n">
        <x:v>2</x:v>
      </x:c>
      <x:c r="G178" s="30" t="str">
        <x:v>Present</x:v>
      </x:c>
      <x:c r="H178" s="30" t="str">
        <x:v>Present</x:v>
      </x:c>
      <x:c r="I178" s="30" t="str">
        <x:v>OK</x:v>
      </x:c>
    </x:row>
    <x:row r="179" ht="72" customHeight="1">
      <x:c r="A179" s="30" t="n">
        <x:v>1</x:v>
      </x:c>
      <x:c r="B179" s="30" t="str">
        <x:v>Italy</x:v>
      </x:c>
      <x:c r="C179" s="30" t="str">
        <x:v>Leonardo</x:v>
      </x:c>
      <x:c r="D179" s="30" t="str">
        <x:v>Marine/Naval</x:v>
      </x:c>
      <x:c r="E179" s="30" t="str">
        <x:v>HITROLE</x:v>
      </x:c>
      <x:c r="F179" s="30" t="n">
        <x:v>1</x:v>
      </x:c>
      <x:c r="G179" s="30" t="str">
        <x:v>Present</x:v>
      </x:c>
      <x:c r="H179" s="30" t="str">
        <x:v>Present</x:v>
      </x:c>
      <x:c r="I179" s="30" t="str">
        <x:v>OK</x:v>
      </x:c>
    </x:row>
    <x:row r="180" ht="72" customHeight="1">
      <x:c r="A180" s="30" t="n">
        <x:v>1</x:v>
      </x:c>
      <x:c r="B180" s="30" t="str">
        <x:v>Italy</x:v>
      </x:c>
      <x:c r="C180" s="30" t="str">
        <x:v>Leonardo</x:v>
      </x:c>
      <x:c r="D180" s="30" t="str">
        <x:v>Marine/Naval</x:v>
      </x:c>
      <x:c r="E180" s="30" t="str">
        <x:v>LIONFISH 12.7</x:v>
      </x:c>
      <x:c r="F180" s="30" t="n">
        <x:v>1</x:v>
      </x:c>
      <x:c r="G180" s="30" t="str">
        <x:v>Present</x:v>
      </x:c>
      <x:c r="H180" s="30" t="str">
        <x:v>Present</x:v>
      </x:c>
      <x:c r="I180" s="30" t="str">
        <x:v>OK</x:v>
      </x:c>
    </x:row>
    <x:row r="181" ht="72" customHeight="1">
      <x:c r="A181" s="30" t="n">
        <x:v>1</x:v>
      </x:c>
      <x:c r="B181" s="30" t="str">
        <x:v>Italy</x:v>
      </x:c>
      <x:c r="C181" s="30" t="str">
        <x:v>Leonardo</x:v>
      </x:c>
      <x:c r="D181" s="30" t="str">
        <x:v>Marine/Naval</x:v>
      </x:c>
      <x:c r="E181" s="30" t="str">
        <x:v>LIONFISH 20</x:v>
      </x:c>
      <x:c r="F181" s="30" t="n">
        <x:v>1</x:v>
      </x:c>
      <x:c r="G181" s="30" t="str">
        <x:v>Present</x:v>
      </x:c>
      <x:c r="H181" s="30" t="str">
        <x:v>Present</x:v>
      </x:c>
      <x:c r="I181" s="30" t="str">
        <x:v>OK</x:v>
      </x:c>
    </x:row>
    <x:row r="182" ht="72" customHeight="1">
      <x:c r="A182" s="30" t="n">
        <x:v>1</x:v>
      </x:c>
      <x:c r="B182" s="30" t="str">
        <x:v>Italy</x:v>
      </x:c>
      <x:c r="C182" s="30" t="str">
        <x:v>Leonardo</x:v>
      </x:c>
      <x:c r="D182" s="30" t="str">
        <x:v>Marine/Naval</x:v>
      </x:c>
      <x:c r="E182" s="30" t="str">
        <x:v>LIONFISH 20/30 Family</x:v>
      </x:c>
      <x:c r="F182" s="30" t="n">
        <x:v>1</x:v>
      </x:c>
      <x:c r="G182" s="30" t="str">
        <x:v>Present</x:v>
      </x:c>
      <x:c r="H182" s="30" t="str">
        <x:v>Present</x:v>
      </x:c>
      <x:c r="I182" s="30" t="str">
        <x:v>Family/system/component-level entry — review if exact-model-only view is needed</x:v>
      </x:c>
    </x:row>
    <x:row r="183" ht="72" customHeight="1">
      <x:c r="A183" s="30" t="n">
        <x:v>1</x:v>
      </x:c>
      <x:c r="B183" s="30" t="str">
        <x:v>Italy</x:v>
      </x:c>
      <x:c r="C183" s="30" t="str">
        <x:v>Leonardo</x:v>
      </x:c>
      <x:c r="D183" s="30" t="str">
        <x:v>Marine/Naval</x:v>
      </x:c>
      <x:c r="E183" s="30" t="str">
        <x:v>LIONFISH 30</x:v>
      </x:c>
      <x:c r="F183" s="30" t="n">
        <x:v>1</x:v>
      </x:c>
      <x:c r="G183" s="30" t="str">
        <x:v>Present</x:v>
      </x:c>
      <x:c r="H183" s="30" t="str">
        <x:v>Present</x:v>
      </x:c>
      <x:c r="I183" s="30" t="str">
        <x:v>OK</x:v>
      </x:c>
    </x:row>
    <x:row r="184" ht="72" customHeight="1">
      <x:c r="A184" s="30" t="n">
        <x:v>1</x:v>
      </x:c>
      <x:c r="B184" s="30" t="str">
        <x:v>Italy</x:v>
      </x:c>
      <x:c r="C184" s="30" t="str">
        <x:v>Leonardo</x:v>
      </x:c>
      <x:c r="D184" s="30" t="str">
        <x:v>Marine/Naval</x:v>
      </x:c>
      <x:c r="E184" s="30" t="str">
        <x:v>MARLIN 30</x:v>
      </x:c>
      <x:c r="F184" s="30" t="n">
        <x:v>1</x:v>
      </x:c>
      <x:c r="G184" s="30" t="str">
        <x:v>Present</x:v>
      </x:c>
      <x:c r="H184" s="30" t="str">
        <x:v>Present</x:v>
      </x:c>
      <x:c r="I184" s="30" t="str">
        <x:v>OK</x:v>
      </x:c>
    </x:row>
    <x:row r="185" ht="72" customHeight="1">
      <x:c r="A185" s="30" t="n">
        <x:v>1</x:v>
      </x:c>
      <x:c r="B185" s="30" t="str">
        <x:v>Italy</x:v>
      </x:c>
      <x:c r="C185" s="30" t="str">
        <x:v>Leonardo</x:v>
      </x:c>
      <x:c r="D185" s="30" t="str">
        <x:v>Marine/Naval</x:v>
      </x:c>
      <x:c r="E185" s="30" t="str">
        <x:v>MARLIN 40</x:v>
      </x:c>
      <x:c r="F185" s="30" t="n">
        <x:v>1</x:v>
      </x:c>
      <x:c r="G185" s="30" t="str">
        <x:v>Present</x:v>
      </x:c>
      <x:c r="H185" s="30" t="str">
        <x:v>Present</x:v>
      </x:c>
      <x:c r="I185" s="30" t="str">
        <x:v>OK</x:v>
      </x:c>
    </x:row>
    <x:row r="186" ht="72" customHeight="1">
      <x:c r="A186" s="30" t="n">
        <x:v>1</x:v>
      </x:c>
      <x:c r="B186" s="30" t="str">
        <x:v>Italy</x:v>
      </x:c>
      <x:c r="C186" s="30" t="str">
        <x:v>Leonardo</x:v>
      </x:c>
      <x:c r="D186" s="30" t="str">
        <x:v>Marine/Naval</x:v>
      </x:c>
      <x:c r="E186" s="30" t="str">
        <x:v>OTO 127/64 LW</x:v>
      </x:c>
      <x:c r="F186" s="30" t="n">
        <x:v>3</x:v>
      </x:c>
      <x:c r="G186" s="30" t="str">
        <x:v>Present</x:v>
      </x:c>
      <x:c r="H186" s="30" t="str">
        <x:v>Present</x:v>
      </x:c>
      <x:c r="I186" s="30" t="str">
        <x:v>OK</x:v>
      </x:c>
    </x:row>
    <x:row r="187" ht="72" customHeight="1">
      <x:c r="A187" s="30" t="n">
        <x:v>1</x:v>
      </x:c>
      <x:c r="B187" s="30" t="str">
        <x:v>Italy</x:v>
      </x:c>
      <x:c r="C187" s="30" t="str">
        <x:v>Leonardo</x:v>
      </x:c>
      <x:c r="D187" s="30" t="str">
        <x:v>Marine/Naval</x:v>
      </x:c>
      <x:c r="E187" s="30" t="str">
        <x:v>OTO 76/62 Compact / family</x:v>
      </x:c>
      <x:c r="F187" s="30" t="n">
        <x:v>1</x:v>
      </x:c>
      <x:c r="G187" s="30" t="str">
        <x:v>Present</x:v>
      </x:c>
      <x:c r="H187" s="30" t="str">
        <x:v>Present</x:v>
      </x:c>
      <x:c r="I187" s="30" t="str">
        <x:v>Family/system/component-level entry — review if exact-model-only view is needed</x:v>
      </x:c>
    </x:row>
    <x:row r="188" ht="72" customHeight="1">
      <x:c r="A188" s="30" t="n">
        <x:v>1</x:v>
      </x:c>
      <x:c r="B188" s="30" t="str">
        <x:v>Italy</x:v>
      </x:c>
      <x:c r="C188" s="30" t="str">
        <x:v>Leonardo</x:v>
      </x:c>
      <x:c r="D188" s="30" t="str">
        <x:v>Marine/Naval</x:v>
      </x:c>
      <x:c r="E188" s="30" t="str">
        <x:v>OTO 76/62 Super Rapid</x:v>
      </x:c>
      <x:c r="F188" s="30" t="n">
        <x:v>2</x:v>
      </x:c>
      <x:c r="G188" s="30" t="str">
        <x:v>Present</x:v>
      </x:c>
      <x:c r="H188" s="30" t="str">
        <x:v>Present</x:v>
      </x:c>
      <x:c r="I188" s="30" t="str">
        <x:v>OK</x:v>
      </x:c>
    </x:row>
    <x:row r="189" ht="72" customHeight="1">
      <x:c r="A189" s="30" t="n">
        <x:v>1</x:v>
      </x:c>
      <x:c r="B189" s="30" t="str">
        <x:v>Italy</x:v>
      </x:c>
      <x:c r="C189" s="30" t="str">
        <x:v>Leonardo</x:v>
      </x:c>
      <x:c r="D189" s="30" t="str">
        <x:v>UAVs/Drones</x:v>
      </x:c>
      <x:c r="E189" s="30" t="str">
        <x:v>AWHero</x:v>
      </x:c>
      <x:c r="F189" s="30" t="n">
        <x:v>1</x:v>
      </x:c>
      <x:c r="G189" s="30" t="str">
        <x:v>Present</x:v>
      </x:c>
      <x:c r="H189" s="30" t="str">
        <x:v>Present</x:v>
      </x:c>
      <x:c r="I189" s="30" t="str">
        <x:v>OK</x:v>
      </x:c>
    </x:row>
    <x:row r="190" ht="72" customHeight="1">
      <x:c r="A190" s="30" t="n">
        <x:v>1</x:v>
      </x:c>
      <x:c r="B190" s="30" t="str">
        <x:v>Italy</x:v>
      </x:c>
      <x:c r="C190" s="30" t="str">
        <x:v>Leonardo</x:v>
      </x:c>
      <x:c r="D190" s="30" t="str">
        <x:v>UAVs/Drones</x:v>
      </x:c>
      <x:c r="E190" s="30" t="str">
        <x:v>CREX-B Micro UAS</x:v>
      </x:c>
      <x:c r="F190" s="30" t="n">
        <x:v>1</x:v>
      </x:c>
      <x:c r="G190" s="30" t="str">
        <x:v>Present</x:v>
      </x:c>
      <x:c r="H190" s="30" t="str">
        <x:v>Present</x:v>
      </x:c>
      <x:c r="I190" s="30" t="str">
        <x:v>OK</x:v>
      </x:c>
    </x:row>
    <x:row r="191" ht="72" customHeight="1">
      <x:c r="A191" s="30" t="n">
        <x:v>1</x:v>
      </x:c>
      <x:c r="B191" s="30" t="str">
        <x:v>Italy</x:v>
      </x:c>
      <x:c r="C191" s="30" t="str">
        <x:v>Leonardo</x:v>
      </x:c>
      <x:c r="D191" s="30" t="str">
        <x:v>UAVs/Drones</x:v>
      </x:c>
      <x:c r="E191" s="30" t="str">
        <x:v>Falco EVO</x:v>
      </x:c>
      <x:c r="F191" s="30" t="n">
        <x:v>2</x:v>
      </x:c>
      <x:c r="G191" s="30" t="str">
        <x:v>Present</x:v>
      </x:c>
      <x:c r="H191" s="30" t="str">
        <x:v>Present</x:v>
      </x:c>
      <x:c r="I191" s="30" t="str">
        <x:v>OK</x:v>
      </x:c>
    </x:row>
    <x:row r="192" ht="72" customHeight="1">
      <x:c r="A192" s="30" t="n">
        <x:v>1</x:v>
      </x:c>
      <x:c r="B192" s="30" t="str">
        <x:v>Italy</x:v>
      </x:c>
      <x:c r="C192" s="30" t="str">
        <x:v>Leonardo</x:v>
      </x:c>
      <x:c r="D192" s="30" t="str">
        <x:v>UAVs/Drones</x:v>
      </x:c>
      <x:c r="E192" s="30" t="str">
        <x:v>Falco Xplorer</x:v>
      </x:c>
      <x:c r="F192" s="30" t="n">
        <x:v>2</x:v>
      </x:c>
      <x:c r="G192" s="30" t="str">
        <x:v>Present</x:v>
      </x:c>
      <x:c r="H192" s="30" t="str">
        <x:v>Present</x:v>
      </x:c>
      <x:c r="I192" s="30" t="str">
        <x:v>OK</x:v>
      </x:c>
    </x:row>
    <x:row r="193" ht="72" customHeight="1">
      <x:c r="A193" s="30" t="n">
        <x:v>1</x:v>
      </x:c>
      <x:c r="B193" s="30" t="str">
        <x:v>Italy</x:v>
      </x:c>
      <x:c r="C193" s="30" t="str">
        <x:v>Leonardo</x:v>
      </x:c>
      <x:c r="D193" s="30" t="str">
        <x:v>UAVs/Drones</x:v>
      </x:c>
      <x:c r="E193" s="30" t="str">
        <x:v>Mirach 100/5 Aerial Target</x:v>
      </x:c>
      <x:c r="F193" s="30" t="n">
        <x:v>1</x:v>
      </x:c>
      <x:c r="G193" s="30" t="str">
        <x:v>Present</x:v>
      </x:c>
      <x:c r="H193" s="30" t="str">
        <x:v>Present</x:v>
      </x:c>
      <x:c r="I193" s="30" t="str">
        <x:v>OK</x:v>
      </x:c>
    </x:row>
    <x:row r="194" ht="72" customHeight="1">
      <x:c r="A194" s="30" t="n">
        <x:v>2</x:v>
      </x:c>
      <x:c r="B194" s="30" t="str">
        <x:v>Germany</x:v>
      </x:c>
      <x:c r="C194" s="30" t="str">
        <x:v>Rheinmetall</x:v>
      </x:c>
      <x:c r="D194" s="30" t="str">
        <x:v>Artillery</x:v>
      </x:c>
      <x:c r="E194" s="30" t="str">
        <x:v>HX3 10×10 Wheeled Self-Propelled Howitzer</x:v>
      </x:c>
      <x:c r="F194" s="30" t="n">
        <x:v>2</x:v>
      </x:c>
      <x:c r="G194" s="30" t="str">
        <x:v>Present</x:v>
      </x:c>
      <x:c r="H194" s="30" t="str">
        <x:v>Present</x:v>
      </x:c>
      <x:c r="I194" s="30" t="str">
        <x:v>OK</x:v>
      </x:c>
    </x:row>
    <x:row r="195" ht="72" customHeight="1">
      <x:c r="A195" s="30" t="n">
        <x:v>2</x:v>
      </x:c>
      <x:c r="B195" s="30" t="str">
        <x:v>Germany</x:v>
      </x:c>
      <x:c r="C195" s="30" t="str">
        <x:v>Rheinmetall</x:v>
      </x:c>
      <x:c r="D195" s="30" t="str">
        <x:v>Artillery</x:v>
      </x:c>
      <x:c r="E195" s="30" t="str">
        <x:v>Skyranger 30 Mobile Air Defence System</x:v>
      </x:c>
      <x:c r="F195" s="30" t="n">
        <x:v>1</x:v>
      </x:c>
      <x:c r="G195" s="30" t="str">
        <x:v>Present</x:v>
      </x:c>
      <x:c r="H195" s="30" t="str">
        <x:v>Present</x:v>
      </x:c>
      <x:c r="I195" s="30" t="str">
        <x:v>Family/system/component-level entry — review if exact-model-only view is needed</x:v>
      </x:c>
    </x:row>
    <x:row r="196" ht="72" customHeight="1">
      <x:c r="A196" s="30" t="n">
        <x:v>2</x:v>
      </x:c>
      <x:c r="B196" s="30" t="str">
        <x:v>Germany</x:v>
      </x:c>
      <x:c r="C196" s="30" t="str">
        <x:v>Rheinmetall</x:v>
      </x:c>
      <x:c r="D196" s="30" t="str">
        <x:v>Artillery</x:v>
      </x:c>
      <x:c r="E196" s="30" t="str">
        <x:v>Skyranger 35 Mobile Air Defence System</x:v>
      </x:c>
      <x:c r="F196" s="30" t="n">
        <x:v>2</x:v>
      </x:c>
      <x:c r="G196" s="30" t="str">
        <x:v>Present</x:v>
      </x:c>
      <x:c r="H196" s="30" t="str">
        <x:v>Present</x:v>
      </x:c>
      <x:c r="I196" s="30" t="str">
        <x:v>Family/system/component-level entry — review if exact-model-only view is needed</x:v>
      </x:c>
    </x:row>
    <x:row r="197" ht="72" customHeight="1">
      <x:c r="A197" s="30" t="n">
        <x:v>2</x:v>
      </x:c>
      <x:c r="B197" s="30" t="str">
        <x:v>Germany</x:v>
      </x:c>
      <x:c r="C197" s="30" t="str">
        <x:v>Rheinmetall</x:v>
      </x:c>
      <x:c r="D197" s="30" t="str">
        <x:v>Ammunition</x:v>
      </x:c>
      <x:c r="E197" s="30" t="str">
        <x:v>Assegai 155 mm Projectile Family</x:v>
      </x:c>
      <x:c r="F197" s="30" t="n">
        <x:v>1</x:v>
      </x:c>
      <x:c r="G197" s="30" t="str">
        <x:v>Present</x:v>
      </x:c>
      <x:c r="H197" s="30" t="str">
        <x:v>Present</x:v>
      </x:c>
      <x:c r="I197" s="30" t="str">
        <x:v>Family/system/component-level entry — review if exact-model-only view is needed</x:v>
      </x:c>
    </x:row>
    <x:row r="198" ht="72" customHeight="1">
      <x:c r="A198" s="30" t="n">
        <x:v>2</x:v>
      </x:c>
      <x:c r="B198" s="30" t="str">
        <x:v>Germany</x:v>
      </x:c>
      <x:c r="C198" s="30" t="str">
        <x:v>Rheinmetall</x:v>
      </x:c>
      <x:c r="D198" s="30" t="str">
        <x:v>Protected Vehicles</x:v>
      </x:c>
      <x:c r="E198" s="30" t="str">
        <x:v>Fuchs Evolution</x:v>
      </x:c>
      <x:c r="F198" s="30" t="n">
        <x:v>2</x:v>
      </x:c>
      <x:c r="G198" s="30" t="str">
        <x:v>Present</x:v>
      </x:c>
      <x:c r="H198" s="30" t="str">
        <x:v>Present</x:v>
      </x:c>
      <x:c r="I198" s="30" t="str">
        <x:v>OK</x:v>
      </x:c>
    </x:row>
    <x:row r="199" ht="72" customHeight="1">
      <x:c r="A199" s="30" t="n">
        <x:v>2</x:v>
      </x:c>
      <x:c r="B199" s="30" t="str">
        <x:v>Germany</x:v>
      </x:c>
      <x:c r="C199" s="30" t="str">
        <x:v>Rheinmetall</x:v>
      </x:c>
      <x:c r="D199" s="30" t="str">
        <x:v>Protected Vehicles</x:v>
      </x:c>
      <x:c r="E199" s="30" t="str">
        <x:v>Fuchs JAGM</x:v>
      </x:c>
      <x:c r="F199" s="30" t="n">
        <x:v>1</x:v>
      </x:c>
      <x:c r="G199" s="30" t="str">
        <x:v>Present</x:v>
      </x:c>
      <x:c r="H199" s="30" t="str">
        <x:v>Present</x:v>
      </x:c>
      <x:c r="I199" s="30" t="str">
        <x:v>OK</x:v>
      </x:c>
    </x:row>
    <x:row r="200" ht="72" customHeight="1">
      <x:c r="A200" s="30" t="n">
        <x:v>2</x:v>
      </x:c>
      <x:c r="B200" s="30" t="str">
        <x:v>Germany</x:v>
      </x:c>
      <x:c r="C200" s="30" t="str">
        <x:v>Rheinmetall</x:v>
      </x:c>
      <x:c r="D200" s="30" t="str">
        <x:v>Protected Vehicles</x:v>
      </x:c>
      <x:c r="E200" s="30" t="str">
        <x:v>Lynx KF41 Infantry Fighting Vehicle</x:v>
      </x:c>
      <x:c r="F200" s="30" t="n">
        <x:v>2</x:v>
      </x:c>
      <x:c r="G200" s="30" t="str">
        <x:v>Present</x:v>
      </x:c>
      <x:c r="H200" s="30" t="str">
        <x:v>Present</x:v>
      </x:c>
      <x:c r="I200" s="30" t="str">
        <x:v>OK</x:v>
      </x:c>
    </x:row>
    <x:row r="201" ht="72" customHeight="1">
      <x:c r="A201" s="30" t="n">
        <x:v>2</x:v>
      </x:c>
      <x:c r="B201" s="30" t="str">
        <x:v>Germany</x:v>
      </x:c>
      <x:c r="C201" s="30" t="str">
        <x:v>Rheinmetall</x:v>
      </x:c>
      <x:c r="D201" s="30" t="str">
        <x:v>Protected Vehicles</x:v>
      </x:c>
      <x:c r="E201" s="30" t="str">
        <x:v>Panther KF51</x:v>
      </x:c>
      <x:c r="F201" s="30" t="n">
        <x:v>3</x:v>
      </x:c>
      <x:c r="G201" s="30" t="str">
        <x:v>Present</x:v>
      </x:c>
      <x:c r="H201" s="30" t="str">
        <x:v>Present</x:v>
      </x:c>
      <x:c r="I201" s="30" t="str">
        <x:v>OK</x:v>
      </x:c>
    </x:row>
    <x:row r="202" ht="72" customHeight="1">
      <x:c r="A202" s="30" t="n">
        <x:v>2</x:v>
      </x:c>
      <x:c r="B202" s="30" t="str">
        <x:v>Germany</x:v>
      </x:c>
      <x:c r="C202" s="30" t="str">
        <x:v>Rheinmetall</x:v>
      </x:c>
      <x:c r="D202" s="30" t="str">
        <x:v>Protected Vehicles</x:v>
      </x:c>
      <x:c r="E202" s="30" t="str">
        <x:v>Survivor R</x:v>
      </x:c>
      <x:c r="F202" s="30" t="n">
        <x:v>2</x:v>
      </x:c>
      <x:c r="G202" s="30" t="str">
        <x:v>Present</x:v>
      </x:c>
      <x:c r="H202" s="30" t="str">
        <x:v>Present</x:v>
      </x:c>
      <x:c r="I202" s="30" t="str">
        <x:v>OK</x:v>
      </x:c>
    </x:row>
    <x:row r="203" ht="72" customHeight="1">
      <x:c r="A203" s="30" t="n">
        <x:v>2</x:v>
      </x:c>
      <x:c r="B203" s="30" t="str">
        <x:v>Germany</x:v>
      </x:c>
      <x:c r="C203" s="30" t="str">
        <x:v>Rheinmetall</x:v>
      </x:c>
      <x:c r="D203" s="30" t="str">
        <x:v>Marine/Naval</x:v>
      </x:c>
      <x:c r="E203" s="30" t="str">
        <x:v>Oerlikon Millennium Gun System</x:v>
      </x:c>
      <x:c r="F203" s="30" t="n">
        <x:v>2</x:v>
      </x:c>
      <x:c r="G203" s="30" t="str">
        <x:v>Present</x:v>
      </x:c>
      <x:c r="H203" s="30" t="str">
        <x:v>Present</x:v>
      </x:c>
      <x:c r="I203" s="30" t="str">
        <x:v>Family/system/component-level entry — review if exact-model-only view is needed</x:v>
      </x:c>
    </x:row>
    <x:row r="204" ht="72" customHeight="1">
      <x:c r="A204" s="30" t="n">
        <x:v>2</x:v>
      </x:c>
      <x:c r="B204" s="30" t="str">
        <x:v>Germany</x:v>
      </x:c>
      <x:c r="C204" s="30" t="str">
        <x:v>Rheinmetall</x:v>
      </x:c>
      <x:c r="D204" s="30" t="str">
        <x:v>UAVs/Drones</x:v>
      </x:c>
      <x:c r="E204" s="30" t="str">
        <x:v>FV-014 Loitering Munition</x:v>
      </x:c>
      <x:c r="F204" s="30" t="n">
        <x:v>3</x:v>
      </x:c>
      <x:c r="G204" s="30" t="str">
        <x:v>Present</x:v>
      </x:c>
      <x:c r="H204" s="30" t="str">
        <x:v>Present</x:v>
      </x:c>
      <x:c r="I204" s="30" t="str">
        <x:v>OK</x:v>
      </x:c>
    </x:row>
    <x:row r="205" ht="72" customHeight="1">
      <x:c r="A205" s="30" t="n">
        <x:v>2</x:v>
      </x:c>
      <x:c r="B205" s="30" t="str">
        <x:v>Germany</x:v>
      </x:c>
      <x:c r="C205" s="30" t="str">
        <x:v>Rheinmetall</x:v>
      </x:c>
      <x:c r="D205" s="30" t="str">
        <x:v>UAVs/Drones</x:v>
      </x:c>
      <x:c r="E205" s="30" t="str">
        <x:v>LUNA NG</x:v>
      </x:c>
      <x:c r="F205" s="30" t="n">
        <x:v>3</x:v>
      </x:c>
      <x:c r="G205" s="30" t="str">
        <x:v>Present</x:v>
      </x:c>
      <x:c r="H205" s="30" t="str">
        <x:v>Present</x:v>
      </x:c>
      <x:c r="I205" s="30" t="str">
        <x:v>OK</x:v>
      </x:c>
    </x:row>
    <x:row r="206" ht="72" customHeight="1">
      <x:c r="A206" s="30" t="n">
        <x:v>2</x:v>
      </x:c>
      <x:c r="B206" s="30" t="str">
        <x:v>South Korea</x:v>
      </x:c>
      <x:c r="C206" s="30" t="str">
        <x:v>Hanwha (Aerospace/Group)</x:v>
      </x:c>
      <x:c r="D206" s="30" t="str">
        <x:v>Artillery</x:v>
      </x:c>
      <x:c r="E206" s="30" t="str">
        <x:v>120 mm Self-Propelled Mortar Carrier</x:v>
      </x:c>
      <x:c r="F206" s="30" t="n">
        <x:v>3</x:v>
      </x:c>
      <x:c r="G206" s="30" t="str">
        <x:v>Present</x:v>
      </x:c>
      <x:c r="H206" s="30" t="str">
        <x:v>Present</x:v>
      </x:c>
      <x:c r="I206" s="30" t="str">
        <x:v>OK</x:v>
      </x:c>
    </x:row>
    <x:row r="207" ht="72" customHeight="1">
      <x:c r="A207" s="30" t="n">
        <x:v>2</x:v>
      </x:c>
      <x:c r="B207" s="30" t="str">
        <x:v>South Korea</x:v>
      </x:c>
      <x:c r="C207" s="30" t="str">
        <x:v>Hanwha (Aerospace/Group)</x:v>
      </x:c>
      <x:c r="D207" s="30" t="str">
        <x:v>Artillery</x:v>
      </x:c>
      <x:c r="E207" s="30" t="str">
        <x:v>Chunmoo Multiple Rocket Launcher</x:v>
      </x:c>
      <x:c r="F207" s="30" t="n">
        <x:v>5</x:v>
      </x:c>
      <x:c r="G207" s="30" t="str">
        <x:v>Present</x:v>
      </x:c>
      <x:c r="H207" s="30" t="str">
        <x:v>Present</x:v>
      </x:c>
      <x:c r="I207" s="30" t="str">
        <x:v>OK</x:v>
      </x:c>
    </x:row>
    <x:row r="208" ht="72" customHeight="1">
      <x:c r="A208" s="30" t="n">
        <x:v>2</x:v>
      </x:c>
      <x:c r="B208" s="30" t="str">
        <x:v>South Korea</x:v>
      </x:c>
      <x:c r="C208" s="30" t="str">
        <x:v>Hanwha (Aerospace/Group)</x:v>
      </x:c>
      <x:c r="D208" s="30" t="str">
        <x:v>Artillery</x:v>
      </x:c>
      <x:c r="E208" s="30" t="str">
        <x:v>K10 Ammunition Resupply Vehicle</x:v>
      </x:c>
      <x:c r="F208" s="30" t="n">
        <x:v>4</x:v>
      </x:c>
      <x:c r="G208" s="30" t="str">
        <x:v>Present</x:v>
      </x:c>
      <x:c r="H208" s="30" t="str">
        <x:v>Present</x:v>
      </x:c>
      <x:c r="I208" s="30" t="str">
        <x:v>OK</x:v>
      </x:c>
    </x:row>
    <x:row r="209" ht="72" customHeight="1">
      <x:c r="A209" s="30" t="n">
        <x:v>2</x:v>
      </x:c>
      <x:c r="B209" s="30" t="str">
        <x:v>South Korea</x:v>
      </x:c>
      <x:c r="C209" s="30" t="str">
        <x:v>Hanwha (Aerospace/Group)</x:v>
      </x:c>
      <x:c r="D209" s="30" t="str">
        <x:v>Artillery</x:v>
      </x:c>
      <x:c r="E209" s="30" t="str">
        <x:v>K105A1 / K105 HTS</x:v>
      </x:c>
      <x:c r="F209" s="30" t="n">
        <x:v>1</x:v>
      </x:c>
      <x:c r="G209" s="30" t="str">
        <x:v>Present</x:v>
      </x:c>
      <x:c r="H209" s="30" t="str">
        <x:v>Present</x:v>
      </x:c>
      <x:c r="I209" s="30" t="str">
        <x:v>OK</x:v>
      </x:c>
    </x:row>
    <x:row r="210" ht="72" customHeight="1">
      <x:c r="A210" s="30" t="n">
        <x:v>2</x:v>
      </x:c>
      <x:c r="B210" s="30" t="str">
        <x:v>South Korea</x:v>
      </x:c>
      <x:c r="C210" s="30" t="str">
        <x:v>Hanwha (Aerospace/Group)</x:v>
      </x:c>
      <x:c r="D210" s="30" t="str">
        <x:v>Artillery</x:v>
      </x:c>
      <x:c r="E210" s="30" t="str">
        <x:v>K9 Thunder</x:v>
      </x:c>
      <x:c r="F210" s="30" t="n">
        <x:v>5</x:v>
      </x:c>
      <x:c r="G210" s="30" t="str">
        <x:v>Present</x:v>
      </x:c>
      <x:c r="H210" s="30" t="str">
        <x:v>Present</x:v>
      </x:c>
      <x:c r="I210" s="30" t="str">
        <x:v>OK</x:v>
      </x:c>
    </x:row>
    <x:row r="211" ht="72" customHeight="1">
      <x:c r="A211" s="30" t="n">
        <x:v>2</x:v>
      </x:c>
      <x:c r="B211" s="30" t="str">
        <x:v>South Korea</x:v>
      </x:c>
      <x:c r="C211" s="30" t="str">
        <x:v>Hanwha (Aerospace/Group)</x:v>
      </x:c>
      <x:c r="D211" s="30" t="str">
        <x:v>Artillery</x:v>
      </x:c>
      <x:c r="E211" s="30" t="str">
        <x:v>K9A2</x:v>
      </x:c>
      <x:c r="F211" s="30" t="n">
        <x:v>4</x:v>
      </x:c>
      <x:c r="G211" s="30" t="str">
        <x:v>Present</x:v>
      </x:c>
      <x:c r="H211" s="30" t="str">
        <x:v>Present</x:v>
      </x:c>
      <x:c r="I211" s="30" t="str">
        <x:v>OK</x:v>
      </x:c>
    </x:row>
    <x:row r="212" ht="72" customHeight="1">
      <x:c r="A212" s="30" t="n">
        <x:v>2</x:v>
      </x:c>
      <x:c r="B212" s="30" t="str">
        <x:v>South Korea</x:v>
      </x:c>
      <x:c r="C212" s="30" t="str">
        <x:v>Hanwha (Aerospace/Group)</x:v>
      </x:c>
      <x:c r="D212" s="30" t="str">
        <x:v>Ammunition</x:v>
      </x:c>
      <x:c r="E212" s="30" t="str">
        <x:v>120 mm Mortar Ammunition</x:v>
      </x:c>
      <x:c r="F212" s="30" t="n">
        <x:v>1</x:v>
      </x:c>
      <x:c r="G212" s="30" t="str">
        <x:v>Present</x:v>
      </x:c>
      <x:c r="H212" s="30" t="str">
        <x:v>Present</x:v>
      </x:c>
      <x:c r="I212" s="30" t="str">
        <x:v>OK</x:v>
      </x:c>
    </x:row>
    <x:row r="213" ht="72" customHeight="1">
      <x:c r="A213" s="30" t="n">
        <x:v>2</x:v>
      </x:c>
      <x:c r="B213" s="30" t="str">
        <x:v>South Korea</x:v>
      </x:c>
      <x:c r="C213" s="30" t="str">
        <x:v>Hanwha (Aerospace/Group)</x:v>
      </x:c>
      <x:c r="D213" s="30" t="str">
        <x:v>Ammunition</x:v>
      </x:c>
      <x:c r="E213" s="30" t="str">
        <x:v>155 mm Artillery Ammunition Family</x:v>
      </x:c>
      <x:c r="F213" s="30" t="n">
        <x:v>4</x:v>
      </x:c>
      <x:c r="G213" s="30" t="str">
        <x:v>Present</x:v>
      </x:c>
      <x:c r="H213" s="30" t="str">
        <x:v>Present</x:v>
      </x:c>
      <x:c r="I213" s="30" t="str">
        <x:v>Family/system/component-level entry — review if exact-model-only view is needed</x:v>
      </x:c>
    </x:row>
    <x:row r="214" ht="72" customHeight="1">
      <x:c r="A214" s="30" t="n">
        <x:v>2</x:v>
      </x:c>
      <x:c r="B214" s="30" t="str">
        <x:v>South Korea</x:v>
      </x:c>
      <x:c r="C214" s="30" t="str">
        <x:v>Hanwha (Aerospace/Group)</x:v>
      </x:c>
      <x:c r="D214" s="30" t="str">
        <x:v>Ammunition</x:v>
      </x:c>
      <x:c r="E214" s="30" t="str">
        <x:v>40 mm Grenade Ammunition</x:v>
      </x:c>
      <x:c r="F214" s="30" t="n">
        <x:v>2</x:v>
      </x:c>
      <x:c r="G214" s="30" t="str">
        <x:v>Present</x:v>
      </x:c>
      <x:c r="H214" s="30" t="str">
        <x:v>Present</x:v>
      </x:c>
      <x:c r="I214" s="30" t="str">
        <x:v>OK</x:v>
      </x:c>
    </x:row>
    <x:row r="215" ht="72" customHeight="1">
      <x:c r="A215" s="30" t="n">
        <x:v>2</x:v>
      </x:c>
      <x:c r="B215" s="30" t="str">
        <x:v>South Korea</x:v>
      </x:c>
      <x:c r="C215" s="30" t="str">
        <x:v>Hanwha (Aerospace/Group)</x:v>
      </x:c>
      <x:c r="D215" s="30" t="str">
        <x:v>Protected Vehicles</x:v>
      </x:c>
      <x:c r="E215" s="30" t="str">
        <x:v>K21 IFV</x:v>
      </x:c>
      <x:c r="F215" s="30" t="n">
        <x:v>3</x:v>
      </x:c>
      <x:c r="G215" s="30" t="str">
        <x:v>Present</x:v>
      </x:c>
      <x:c r="H215" s="30" t="str">
        <x:v>Present</x:v>
      </x:c>
      <x:c r="I215" s="30" t="str">
        <x:v>OK</x:v>
      </x:c>
    </x:row>
    <x:row r="216" ht="72" customHeight="1">
      <x:c r="A216" s="30" t="n">
        <x:v>2</x:v>
      </x:c>
      <x:c r="B216" s="30" t="str">
        <x:v>South Korea</x:v>
      </x:c>
      <x:c r="C216" s="30" t="str">
        <x:v>Hanwha (Aerospace/Group)</x:v>
      </x:c>
      <x:c r="D216" s="30" t="str">
        <x:v>Protected Vehicles</x:v>
      </x:c>
      <x:c r="E216" s="30" t="str">
        <x:v>Redback IFV</x:v>
      </x:c>
      <x:c r="F216" s="30" t="n">
        <x:v>4</x:v>
      </x:c>
      <x:c r="G216" s="30" t="str">
        <x:v>Present</x:v>
      </x:c>
      <x:c r="H216" s="30" t="str">
        <x:v>Present</x:v>
      </x:c>
      <x:c r="I216" s="30" t="str">
        <x:v>OK</x:v>
      </x:c>
    </x:row>
    <x:row r="217" ht="72" customHeight="1">
      <x:c r="A217" s="30" t="n">
        <x:v>2</x:v>
      </x:c>
      <x:c r="B217" s="30" t="str">
        <x:v>South Korea</x:v>
      </x:c>
      <x:c r="C217" s="30" t="str">
        <x:v>Hanwha (Aerospace/Group)</x:v>
      </x:c>
      <x:c r="D217" s="30" t="str">
        <x:v>Protected Vehicles</x:v>
      </x:c>
      <x:c r="E217" s="30" t="str">
        <x:v>Tigon 8×8</x:v>
      </x:c>
      <x:c r="F217" s="30" t="n">
        <x:v>2</x:v>
      </x:c>
      <x:c r="G217" s="30" t="str">
        <x:v>Present</x:v>
      </x:c>
      <x:c r="H217" s="30" t="str">
        <x:v>Present</x:v>
      </x:c>
      <x:c r="I217" s="30" t="str">
        <x:v>OK</x:v>
      </x:c>
    </x:row>
    <x:row r="218" ht="72" customHeight="1">
      <x:c r="A218" s="30" t="n">
        <x:v>2</x:v>
      </x:c>
      <x:c r="B218" s="30" t="str">
        <x:v>South Korea</x:v>
      </x:c>
      <x:c r="C218" s="30" t="str">
        <x:v>Hanwha (Aerospace/Group)</x:v>
      </x:c>
      <x:c r="D218" s="30" t="str">
        <x:v>Marine/Naval</x:v>
      </x:c>
      <x:c r="E218" s="30" t="str">
        <x:v>KSS-I 1,200 t-Class Submarine (Hanwha Ocean)</x:v>
      </x:c>
      <x:c r="F218" s="30" t="n">
        <x:v>2</x:v>
      </x:c>
      <x:c r="G218" s="30" t="str">
        <x:v>Present</x:v>
      </x:c>
      <x:c r="H218" s="30" t="str">
        <x:v>Present</x:v>
      </x:c>
      <x:c r="I218" s="30" t="str">
        <x:v>OK</x:v>
      </x:c>
    </x:row>
    <x:row r="219" ht="72" customHeight="1">
      <x:c r="A219" s="30" t="n">
        <x:v>2</x:v>
      </x:c>
      <x:c r="B219" s="30" t="str">
        <x:v>South Korea</x:v>
      </x:c>
      <x:c r="C219" s="30" t="str">
        <x:v>Hanwha (Aerospace/Group)</x:v>
      </x:c>
      <x:c r="D219" s="30" t="str">
        <x:v>Marine/Naval</x:v>
      </x:c>
      <x:c r="E219" s="30" t="str">
        <x:v>KSS-II 1,800 t-Class Submarine (Hanwha Ocean)</x:v>
      </x:c>
      <x:c r="F219" s="30" t="n">
        <x:v>2</x:v>
      </x:c>
      <x:c r="G219" s="30" t="str">
        <x:v>Present</x:v>
      </x:c>
      <x:c r="H219" s="30" t="str">
        <x:v>Present</x:v>
      </x:c>
      <x:c r="I219" s="30" t="str">
        <x:v>OK</x:v>
      </x:c>
    </x:row>
    <x:row r="220" ht="72" customHeight="1">
      <x:c r="A220" s="30" t="n">
        <x:v>2</x:v>
      </x:c>
      <x:c r="B220" s="30" t="str">
        <x:v>South Korea</x:v>
      </x:c>
      <x:c r="C220" s="30" t="str">
        <x:v>Hanwha (Aerospace/Group)</x:v>
      </x:c>
      <x:c r="D220" s="30" t="str">
        <x:v>Marine/Naval</x:v>
      </x:c>
      <x:c r="E220" s="30" t="str">
        <x:v>KSS-III 3,000 t-Class Submarine (Hanwha Ocean)</x:v>
      </x:c>
      <x:c r="F220" s="30" t="n">
        <x:v>3</x:v>
      </x:c>
      <x:c r="G220" s="30" t="str">
        <x:v>Present</x:v>
      </x:c>
      <x:c r="H220" s="30" t="str">
        <x:v>Present</x:v>
      </x:c>
      <x:c r="I220" s="30" t="str">
        <x:v>OK</x:v>
      </x:c>
    </x:row>
    <x:row r="221" ht="72" customHeight="1">
      <x:c r="A221" s="30" t="n">
        <x:v>2</x:v>
      </x:c>
      <x:c r="B221" s="30" t="str">
        <x:v>South Korea</x:v>
      </x:c>
      <x:c r="C221" s="30" t="str">
        <x:v>Hanwha (Aerospace/Group)</x:v>
      </x:c>
      <x:c r="D221" s="30" t="str">
        <x:v>Missiles</x:v>
      </x:c>
      <x:c r="E221" s="30" t="str">
        <x:v>CGR-080 Guided Rocket</x:v>
      </x:c>
      <x:c r="F221" s="30" t="n">
        <x:v>1</x:v>
      </x:c>
      <x:c r="G221" s="30" t="str">
        <x:v>Present</x:v>
      </x:c>
      <x:c r="H221" s="30" t="str">
        <x:v>Present</x:v>
      </x:c>
      <x:c r="I221" s="30" t="str">
        <x:v>OK</x:v>
      </x:c>
    </x:row>
    <x:row r="222" ht="72" customHeight="1">
      <x:c r="A222" s="30" t="n">
        <x:v>2</x:v>
      </x:c>
      <x:c r="B222" s="30" t="str">
        <x:v>South Korea</x:v>
      </x:c>
      <x:c r="C222" s="30" t="str">
        <x:v>Hanwha (Aerospace/Group)</x:v>
      </x:c>
      <x:c r="D222" s="30" t="str">
        <x:v>Missiles</x:v>
      </x:c>
      <x:c r="E222" s="30" t="str">
        <x:v>CTM-290 Tactical Missile</x:v>
      </x:c>
      <x:c r="F222" s="30" t="n">
        <x:v>1</x:v>
      </x:c>
      <x:c r="G222" s="30" t="str">
        <x:v>Present</x:v>
      </x:c>
      <x:c r="H222" s="30" t="str">
        <x:v>Present</x:v>
      </x:c>
      <x:c r="I222" s="30" t="str">
        <x:v>OK</x:v>
      </x:c>
    </x:row>
    <x:row r="223" ht="72" customHeight="1">
      <x:c r="A223" s="30" t="n">
        <x:v>2</x:v>
      </x:c>
      <x:c r="B223" s="30" t="str">
        <x:v>South Korea</x:v>
      </x:c>
      <x:c r="C223" s="30" t="str">
        <x:v>Hanwha (Aerospace/Group)</x:v>
      </x:c>
      <x:c r="D223" s="30" t="str">
        <x:v>Missiles</x:v>
      </x:c>
      <x:c r="E223" s="30" t="str">
        <x:v>L-SAM Anti-Ballistic Missile</x:v>
      </x:c>
      <x:c r="F223" s="30" t="n">
        <x:v>2</x:v>
      </x:c>
      <x:c r="G223" s="30" t="str">
        <x:v>Present</x:v>
      </x:c>
      <x:c r="H223" s="30" t="str">
        <x:v>Present</x:v>
      </x:c>
      <x:c r="I223" s="30" t="str">
        <x:v>OK</x:v>
      </x:c>
    </x:row>
    <x:row r="224" ht="72" customHeight="1">
      <x:c r="A224" s="30" t="n">
        <x:v>2</x:v>
      </x:c>
      <x:c r="B224" s="30" t="str">
        <x:v>Israel</x:v>
      </x:c>
      <x:c r="C224" s="30" t="str">
        <x:v>Elbit Systems</x:v>
      </x:c>
      <x:c r="D224" s="30" t="str">
        <x:v>Artillery</x:v>
      </x:c>
      <x:c r="E224" s="30" t="str">
        <x:v>ATMOS 155 mm Self-Propelled Howitzer</x:v>
      </x:c>
      <x:c r="F224" s="30" t="n">
        <x:v>4</x:v>
      </x:c>
      <x:c r="G224" s="30" t="str">
        <x:v>Present</x:v>
      </x:c>
      <x:c r="H224" s="30" t="str">
        <x:v>Present</x:v>
      </x:c>
      <x:c r="I224" s="30" t="str">
        <x:v>OK</x:v>
      </x:c>
    </x:row>
    <x:row r="225" ht="72" customHeight="1">
      <x:c r="A225" s="30" t="n">
        <x:v>2</x:v>
      </x:c>
      <x:c r="B225" s="30" t="str">
        <x:v>Israel</x:v>
      </x:c>
      <x:c r="C225" s="30" t="str">
        <x:v>Elbit Systems</x:v>
      </x:c>
      <x:c r="D225" s="30" t="str">
        <x:v>Artillery</x:v>
      </x:c>
      <x:c r="E225" s="30" t="str">
        <x:v>CARDOM 120/81 mm Mortar System</x:v>
      </x:c>
      <x:c r="F225" s="30" t="n">
        <x:v>2</x:v>
      </x:c>
      <x:c r="G225" s="30" t="str">
        <x:v>Present</x:v>
      </x:c>
      <x:c r="H225" s="30" t="str">
        <x:v>Present</x:v>
      </x:c>
      <x:c r="I225" s="30" t="str">
        <x:v>Family/system/component-level entry — review if exact-model-only view is needed</x:v>
      </x:c>
    </x:row>
    <x:row r="226" ht="72" customHeight="1">
      <x:c r="A226" s="30" t="n">
        <x:v>2</x:v>
      </x:c>
      <x:c r="B226" s="30" t="str">
        <x:v>Israel</x:v>
      </x:c>
      <x:c r="C226" s="30" t="str">
        <x:v>Elbit Systems</x:v>
      </x:c>
      <x:c r="D226" s="30" t="str">
        <x:v>Artillery</x:v>
      </x:c>
      <x:c r="E226" s="30" t="str">
        <x:v>PULS — Precise &amp; Universal Launching System</x:v>
      </x:c>
      <x:c r="F226" s="30" t="n">
        <x:v>1</x:v>
      </x:c>
      <x:c r="G226" s="30" t="str">
        <x:v>Present</x:v>
      </x:c>
      <x:c r="H226" s="30" t="str">
        <x:v>Present</x:v>
      </x:c>
      <x:c r="I226" s="30" t="str">
        <x:v>Family/system/component-level entry — review if exact-model-only view is needed</x:v>
      </x:c>
    </x:row>
    <x:row r="227" ht="72" customHeight="1">
      <x:c r="A227" s="30" t="n">
        <x:v>2</x:v>
      </x:c>
      <x:c r="B227" s="30" t="str">
        <x:v>Israel</x:v>
      </x:c>
      <x:c r="C227" s="30" t="str">
        <x:v>Elbit Systems</x:v>
      </x:c>
      <x:c r="D227" s="30" t="str">
        <x:v>Artillery</x:v>
      </x:c>
      <x:c r="E227" s="30" t="str">
        <x:v>SIGMA 155</x:v>
      </x:c>
      <x:c r="F227" s="30" t="n">
        <x:v>2</x:v>
      </x:c>
      <x:c r="G227" s="30" t="str">
        <x:v>Present</x:v>
      </x:c>
      <x:c r="H227" s="30" t="str">
        <x:v>Present</x:v>
      </x:c>
      <x:c r="I227" s="30" t="str">
        <x:v>OK</x:v>
      </x:c>
    </x:row>
    <x:row r="228" ht="72" customHeight="1">
      <x:c r="A228" s="30" t="n">
        <x:v>2</x:v>
      </x:c>
      <x:c r="B228" s="30" t="str">
        <x:v>Israel</x:v>
      </x:c>
      <x:c r="C228" s="30" t="str">
        <x:v>Elbit Systems</x:v>
      </x:c>
      <x:c r="D228" s="30" t="str">
        <x:v>Artillery</x:v>
      </x:c>
      <x:c r="E228" s="30" t="str">
        <x:v>SPEAR 120 mm Mortar System</x:v>
      </x:c>
      <x:c r="F228" s="30" t="n">
        <x:v>1</x:v>
      </x:c>
      <x:c r="G228" s="30" t="str">
        <x:v>Present</x:v>
      </x:c>
      <x:c r="H228" s="30" t="str">
        <x:v>Present</x:v>
      </x:c>
      <x:c r="I228" s="30" t="str">
        <x:v>Family/system/component-level entry — review if exact-model-only view is needed</x:v>
      </x:c>
    </x:row>
    <x:row r="229" ht="72" customHeight="1">
      <x:c r="A229" s="30" t="n">
        <x:v>2</x:v>
      </x:c>
      <x:c r="B229" s="30" t="str">
        <x:v>Israel</x:v>
      </x:c>
      <x:c r="C229" s="30" t="str">
        <x:v>Elbit Systems</x:v>
      </x:c>
      <x:c r="D229" s="30" t="str">
        <x:v>Artillery</x:v>
      </x:c>
      <x:c r="E229" s="30" t="str">
        <x:v>SPEAR LR 120 mm Mortar</x:v>
      </x:c>
      <x:c r="F229" s="30" t="n">
        <x:v>2</x:v>
      </x:c>
      <x:c r="G229" s="30" t="str">
        <x:v>Present</x:v>
      </x:c>
      <x:c r="H229" s="30" t="str">
        <x:v>Present</x:v>
      </x:c>
      <x:c r="I229" s="30" t="str">
        <x:v>OK</x:v>
      </x:c>
    </x:row>
    <x:row r="230" ht="72" customHeight="1">
      <x:c r="A230" s="30" t="n">
        <x:v>2</x:v>
      </x:c>
      <x:c r="B230" s="30" t="str">
        <x:v>Israel</x:v>
      </x:c>
      <x:c r="C230" s="30" t="str">
        <x:v>Elbit Systems</x:v>
      </x:c>
      <x:c r="D230" s="30" t="str">
        <x:v>Ammunition</x:v>
      </x:c>
      <x:c r="E230" s="30" t="str">
        <x:v>155 mm Artillery Ammunition Family</x:v>
      </x:c>
      <x:c r="F230" s="30" t="n">
        <x:v>3</x:v>
      </x:c>
      <x:c r="G230" s="30" t="str">
        <x:v>Present</x:v>
      </x:c>
      <x:c r="H230" s="30" t="str">
        <x:v>Present</x:v>
      </x:c>
      <x:c r="I230" s="30" t="str">
        <x:v>Family/system/component-level entry — review if exact-model-only view is needed</x:v>
      </x:c>
    </x:row>
    <x:row r="231" ht="72" customHeight="1">
      <x:c r="A231" s="30" t="n">
        <x:v>2</x:v>
      </x:c>
      <x:c r="B231" s="30" t="str">
        <x:v>Israel</x:v>
      </x:c>
      <x:c r="C231" s="30" t="str">
        <x:v>Elbit Systems</x:v>
      </x:c>
      <x:c r="D231" s="30" t="str">
        <x:v>Marine/Naval</x:v>
      </x:c>
      <x:c r="E231" s="30" t="str">
        <x:v>Seagull USV</x:v>
      </x:c>
      <x:c r="F231" s="30" t="n">
        <x:v>3</x:v>
      </x:c>
      <x:c r="G231" s="30" t="str">
        <x:v>Present</x:v>
      </x:c>
      <x:c r="H231" s="30" t="str">
        <x:v>Present</x:v>
      </x:c>
      <x:c r="I231" s="30" t="str">
        <x:v>OK</x:v>
      </x:c>
    </x:row>
    <x:row r="232" ht="72" customHeight="1">
      <x:c r="A232" s="30" t="n">
        <x:v>2</x:v>
      </x:c>
      <x:c r="B232" s="30" t="str">
        <x:v>Israel</x:v>
      </x:c>
      <x:c r="C232" s="30" t="str">
        <x:v>Elbit Systems</x:v>
      </x:c>
      <x:c r="D232" s="30" t="str">
        <x:v>UAVs/Drones</x:v>
      </x:c>
      <x:c r="E232" s="30" t="str">
        <x:v>FAST Capsule</x:v>
      </x:c>
      <x:c r="F232" s="30" t="n">
        <x:v>1</x:v>
      </x:c>
      <x:c r="G232" s="30" t="str">
        <x:v>Present</x:v>
      </x:c>
      <x:c r="H232" s="30" t="str">
        <x:v>Present</x:v>
      </x:c>
      <x:c r="I232" s="30" t="str">
        <x:v>OK</x:v>
      </x:c>
    </x:row>
    <x:row r="233" ht="72" customHeight="1">
      <x:c r="A233" s="30" t="n">
        <x:v>2</x:v>
      </x:c>
      <x:c r="B233" s="30" t="str">
        <x:v>Israel</x:v>
      </x:c>
      <x:c r="C233" s="30" t="str">
        <x:v>Elbit Systems</x:v>
      </x:c>
      <x:c r="D233" s="30" t="str">
        <x:v>UAVs/Drones</x:v>
      </x:c>
      <x:c r="E233" s="30" t="str">
        <x:v>Hermes 450 Tactical UAS</x:v>
      </x:c>
      <x:c r="F233" s="30" t="n">
        <x:v>2</x:v>
      </x:c>
      <x:c r="G233" s="30" t="str">
        <x:v>Present</x:v>
      </x:c>
      <x:c r="H233" s="30" t="str">
        <x:v>Present</x:v>
      </x:c>
      <x:c r="I233" s="30" t="str">
        <x:v>OK</x:v>
      </x:c>
    </x:row>
    <x:row r="234" ht="72" customHeight="1">
      <x:c r="A234" s="30" t="n">
        <x:v>2</x:v>
      </x:c>
      <x:c r="B234" s="30" t="str">
        <x:v>Israel</x:v>
      </x:c>
      <x:c r="C234" s="30" t="str">
        <x:v>Elbit Systems</x:v>
      </x:c>
      <x:c r="D234" s="30" t="str">
        <x:v>UAVs/Drones</x:v>
      </x:c>
      <x:c r="E234" s="30" t="str">
        <x:v>Hermes 900</x:v>
      </x:c>
      <x:c r="F234" s="30" t="n">
        <x:v>3</x:v>
      </x:c>
      <x:c r="G234" s="30" t="str">
        <x:v>Present</x:v>
      </x:c>
      <x:c r="H234" s="30" t="str">
        <x:v>Present</x:v>
      </x:c>
      <x:c r="I234" s="30" t="str">
        <x:v>OK</x:v>
      </x:c>
    </x:row>
    <x:row r="235" ht="72" customHeight="1">
      <x:c r="A235" s="30" t="n">
        <x:v>2</x:v>
      </x:c>
      <x:c r="B235" s="30" t="str">
        <x:v>Israel</x:v>
      </x:c>
      <x:c r="C235" s="30" t="str">
        <x:v>Elbit Systems</x:v>
      </x:c>
      <x:c r="D235" s="30" t="str">
        <x:v>UAVs/Drones</x:v>
      </x:c>
      <x:c r="E235" s="30" t="str">
        <x:v>Skylark 3 Hybrid</x:v>
      </x:c>
      <x:c r="F235" s="30" t="n">
        <x:v>2</x:v>
      </x:c>
      <x:c r="G235" s="30" t="str">
        <x:v>Present</x:v>
      </x:c>
      <x:c r="H235" s="30" t="str">
        <x:v>Present</x:v>
      </x:c>
      <x:c r="I235" s="30" t="str">
        <x:v>OK</x:v>
      </x:c>
    </x:row>
    <x:row r="236" ht="72" customHeight="1">
      <x:c r="A236" s="30" t="n">
        <x:v>2</x:v>
      </x:c>
      <x:c r="B236" s="30" t="str">
        <x:v>Israel</x:v>
      </x:c>
      <x:c r="C236" s="30" t="str">
        <x:v>Elbit Systems</x:v>
      </x:c>
      <x:c r="D236" s="30" t="str">
        <x:v>UAVs/Drones</x:v>
      </x:c>
      <x:c r="E236" s="30" t="str">
        <x:v>SkyStriker</x:v>
      </x:c>
      <x:c r="F236" s="30" t="n">
        <x:v>3</x:v>
      </x:c>
      <x:c r="G236" s="30" t="str">
        <x:v>Present</x:v>
      </x:c>
      <x:c r="H236" s="30" t="str">
        <x:v>Present</x:v>
      </x:c>
      <x:c r="I236" s="30" t="str">
        <x:v>OK</x:v>
      </x:c>
    </x:row>
    <x:row r="237" ht="72" customHeight="1">
      <x:c r="A237" s="30" t="n">
        <x:v>2</x:v>
      </x:c>
      <x:c r="B237" s="30" t="str">
        <x:v>Israel</x:v>
      </x:c>
      <x:c r="C237" s="30" t="str">
        <x:v>Elbit Systems</x:v>
      </x:c>
      <x:c r="D237" s="30" t="str">
        <x:v>Missiles</x:v>
      </x:c>
      <x:c r="E237" s="30" t="str">
        <x:v>Accular 122 Guided Rocket</x:v>
      </x:c>
      <x:c r="F237" s="30" t="n">
        <x:v>2</x:v>
      </x:c>
      <x:c r="G237" s="30" t="str">
        <x:v>Present</x:v>
      </x:c>
      <x:c r="H237" s="30" t="str">
        <x:v>Present</x:v>
      </x:c>
      <x:c r="I237" s="30" t="str">
        <x:v>OK</x:v>
      </x:c>
    </x:row>
    <x:row r="238" ht="72" customHeight="1">
      <x:c r="A238" s="30" t="n">
        <x:v>2</x:v>
      </x:c>
      <x:c r="B238" s="30" t="str">
        <x:v>Israel</x:v>
      </x:c>
      <x:c r="C238" s="30" t="str">
        <x:v>Elbit Systems</x:v>
      </x:c>
      <x:c r="D238" s="30" t="str">
        <x:v>Missiles</x:v>
      </x:c>
      <x:c r="E238" s="30" t="str">
        <x:v>Accular 160 Guided Rocket</x:v>
      </x:c>
      <x:c r="F238" s="30" t="n">
        <x:v>2</x:v>
      </x:c>
      <x:c r="G238" s="30" t="str">
        <x:v>Present</x:v>
      </x:c>
      <x:c r="H238" s="30" t="str">
        <x:v>Present</x:v>
      </x:c>
      <x:c r="I238" s="30" t="str">
        <x:v>OK</x:v>
      </x:c>
    </x:row>
    <x:row r="239" ht="72" customHeight="1">
      <x:c r="A239" s="30" t="n">
        <x:v>2</x:v>
      </x:c>
      <x:c r="B239" s="30" t="str">
        <x:v>Israel</x:v>
      </x:c>
      <x:c r="C239" s="30" t="str">
        <x:v>Elbit Systems</x:v>
      </x:c>
      <x:c r="D239" s="30" t="str">
        <x:v>Missiles</x:v>
      </x:c>
      <x:c r="E239" s="30" t="str">
        <x:v>EXTRA Guided Rocket</x:v>
      </x:c>
      <x:c r="F239" s="30" t="n">
        <x:v>2</x:v>
      </x:c>
      <x:c r="G239" s="30" t="str">
        <x:v>Present</x:v>
      </x:c>
      <x:c r="H239" s="30" t="str">
        <x:v>Present</x:v>
      </x:c>
      <x:c r="I239" s="30" t="str">
        <x:v>OK</x:v>
      </x:c>
    </x:row>
    <x:row r="240" ht="72" customHeight="1">
      <x:c r="A240" s="30" t="n">
        <x:v>2</x:v>
      </x:c>
      <x:c r="B240" s="30" t="str">
        <x:v>Israel</x:v>
      </x:c>
      <x:c r="C240" s="30" t="str">
        <x:v>Elbit Systems</x:v>
      </x:c>
      <x:c r="D240" s="30" t="str">
        <x:v>Missiles</x:v>
      </x:c>
      <x:c r="E240" s="30" t="str">
        <x:v>Predator Hawk Tactical Missile</x:v>
      </x:c>
      <x:c r="F240" s="30" t="n">
        <x:v>2</x:v>
      </x:c>
      <x:c r="G240" s="30" t="str">
        <x:v>Present</x:v>
      </x:c>
      <x:c r="H240" s="30" t="str">
        <x:v>Present</x:v>
      </x:c>
      <x:c r="I240" s="30" t="str">
        <x:v>OK</x:v>
      </x:c>
    </x:row>
    <x:row r="241" ht="72" customHeight="1">
      <x:c r="A241" s="30" t="n">
        <x:v>2</x:v>
      </x:c>
      <x:c r="B241" s="30" t="str">
        <x:v>US</x:v>
      </x:c>
      <x:c r="C241" s="30" t="str">
        <x:v>General Dynamics</x:v>
      </x:c>
      <x:c r="D241" s="30" t="str">
        <x:v>Ammunition</x:v>
      </x:c>
      <x:c r="E241" s="30" t="str">
        <x:v>25 mm Bushmaster Ammunition Family</x:v>
      </x:c>
      <x:c r="F241" s="30" t="n">
        <x:v>3</x:v>
      </x:c>
      <x:c r="G241" s="30" t="str">
        <x:v>Present</x:v>
      </x:c>
      <x:c r="H241" s="30" t="str">
        <x:v>Present</x:v>
      </x:c>
      <x:c r="I241" s="30" t="str">
        <x:v>Family/system/component-level entry — review if exact-model-only view is needed</x:v>
      </x:c>
    </x:row>
    <x:row r="242" ht="72" customHeight="1">
      <x:c r="A242" s="30" t="n">
        <x:v>2</x:v>
      </x:c>
      <x:c r="B242" s="30" t="str">
        <x:v>US</x:v>
      </x:c>
      <x:c r="C242" s="30" t="str">
        <x:v>General Dynamics</x:v>
      </x:c>
      <x:c r="D242" s="30" t="str">
        <x:v>Ammunition</x:v>
      </x:c>
      <x:c r="E242" s="30" t="str">
        <x:v>25 mm PGU-20 API</x:v>
      </x:c>
      <x:c r="F242" s="30" t="n">
        <x:v>1</x:v>
      </x:c>
      <x:c r="G242" s="30" t="str">
        <x:v>Present</x:v>
      </x:c>
      <x:c r="H242" s="30" t="str">
        <x:v>Present</x:v>
      </x:c>
      <x:c r="I242" s="30" t="str">
        <x:v>OK</x:v>
      </x:c>
    </x:row>
    <x:row r="243" ht="72" customHeight="1">
      <x:c r="A243" s="30" t="n">
        <x:v>2</x:v>
      </x:c>
      <x:c r="B243" s="30" t="str">
        <x:v>US</x:v>
      </x:c>
      <x:c r="C243" s="30" t="str">
        <x:v>General Dynamics</x:v>
      </x:c>
      <x:c r="D243" s="30" t="str">
        <x:v>Ammunition</x:v>
      </x:c>
      <x:c r="E243" s="30" t="str">
        <x:v>Large-Caliber Tank Ammunition</x:v>
      </x:c>
      <x:c r="F243" s="30" t="n">
        <x:v>1</x:v>
      </x:c>
      <x:c r="G243" s="30" t="str">
        <x:v>Present</x:v>
      </x:c>
      <x:c r="H243" s="30" t="str">
        <x:v>Present</x:v>
      </x:c>
      <x:c r="I243" s="30" t="str">
        <x:v>OK</x:v>
      </x:c>
    </x:row>
    <x:row r="244" ht="72" customHeight="1">
      <x:c r="A244" s="30" t="n">
        <x:v>2</x:v>
      </x:c>
      <x:c r="B244" s="30" t="str">
        <x:v>US</x:v>
      </x:c>
      <x:c r="C244" s="30" t="str">
        <x:v>General Dynamics</x:v>
      </x:c>
      <x:c r="D244" s="30" t="str">
        <x:v>Ammunition</x:v>
      </x:c>
      <x:c r="E244" s="30" t="str">
        <x:v>Medium-Caliber Ammunition Family</x:v>
      </x:c>
      <x:c r="F244" s="30" t="n">
        <x:v>2</x:v>
      </x:c>
      <x:c r="G244" s="30" t="str">
        <x:v>Present</x:v>
      </x:c>
      <x:c r="H244" s="30" t="str">
        <x:v>Present</x:v>
      </x:c>
      <x:c r="I244" s="30" t="str">
        <x:v>Family/system/component-level entry — review if exact-model-only view is needed</x:v>
      </x:c>
    </x:row>
    <x:row r="245" ht="72" customHeight="1">
      <x:c r="A245" s="30" t="n">
        <x:v>2</x:v>
      </x:c>
      <x:c r="B245" s="30" t="str">
        <x:v>US</x:v>
      </x:c>
      <x:c r="C245" s="30" t="str">
        <x:v>General Dynamics</x:v>
      </x:c>
      <x:c r="D245" s="30" t="str">
        <x:v>Ammunition</x:v>
      </x:c>
      <x:c r="E245" s="30" t="str">
        <x:v>Small-Caliber Ammunition Family</x:v>
      </x:c>
      <x:c r="F245" s="30" t="n">
        <x:v>1</x:v>
      </x:c>
      <x:c r="G245" s="30" t="str">
        <x:v>Present</x:v>
      </x:c>
      <x:c r="H245" s="30" t="str">
        <x:v>Present</x:v>
      </x:c>
      <x:c r="I245" s="30" t="str">
        <x:v>Family/system/component-level entry — review if exact-model-only view is needed</x:v>
      </x:c>
    </x:row>
    <x:row r="246" ht="72" customHeight="1">
      <x:c r="A246" s="30" t="n">
        <x:v>2</x:v>
      </x:c>
      <x:c r="B246" s="30" t="str">
        <x:v>US</x:v>
      </x:c>
      <x:c r="C246" s="30" t="str">
        <x:v>General Dynamics</x:v>
      </x:c>
      <x:c r="D246" s="30" t="str">
        <x:v>Small Arms</x:v>
      </x:c>
      <x:c r="E246" s="30" t="str">
        <x:v>M2HB .50 Caliber Heavy Machine Gun</x:v>
      </x:c>
      <x:c r="F246" s="30" t="n">
        <x:v>1</x:v>
      </x:c>
      <x:c r="G246" s="30" t="str">
        <x:v>Present</x:v>
      </x:c>
      <x:c r="H246" s="30" t="str">
        <x:v>Present</x:v>
      </x:c>
      <x:c r="I246" s="30" t="str">
        <x:v>OK</x:v>
      </x:c>
    </x:row>
    <x:row r="247" ht="72" customHeight="1">
      <x:c r="A247" s="30" t="n">
        <x:v>2</x:v>
      </x:c>
      <x:c r="B247" s="30" t="str">
        <x:v>US</x:v>
      </x:c>
      <x:c r="C247" s="30" t="str">
        <x:v>General Dynamics</x:v>
      </x:c>
      <x:c r="D247" s="30" t="str">
        <x:v>Protected Vehicles</x:v>
      </x:c>
      <x:c r="E247" s="30" t="str">
        <x:v>ASCOD Tracked Vehicle Family</x:v>
      </x:c>
      <x:c r="F247" s="30" t="n">
        <x:v>2</x:v>
      </x:c>
      <x:c r="G247" s="30" t="str">
        <x:v>Present</x:v>
      </x:c>
      <x:c r="H247" s="30" t="str">
        <x:v>Present</x:v>
      </x:c>
      <x:c r="I247" s="30" t="str">
        <x:v>Family/system/component-level entry — review if exact-model-only view is needed</x:v>
      </x:c>
    </x:row>
    <x:row r="248" ht="72" customHeight="1">
      <x:c r="A248" s="30" t="n">
        <x:v>2</x:v>
      </x:c>
      <x:c r="B248" s="30" t="str">
        <x:v>US</x:v>
      </x:c>
      <x:c r="C248" s="30" t="str">
        <x:v>General Dynamics</x:v>
      </x:c>
      <x:c r="D248" s="30" t="str">
        <x:v>Protected Vehicles</x:v>
      </x:c>
      <x:c r="E248" s="30" t="str">
        <x:v>M1A2 Abrams SEPv3</x:v>
      </x:c>
      <x:c r="F248" s="30" t="n">
        <x:v>3</x:v>
      </x:c>
      <x:c r="G248" s="30" t="str">
        <x:v>Present</x:v>
      </x:c>
      <x:c r="H248" s="30" t="str">
        <x:v>Present</x:v>
      </x:c>
      <x:c r="I248" s="30" t="str">
        <x:v>Limited/configuration-dependent public specifications</x:v>
      </x:c>
    </x:row>
    <x:row r="249" ht="72" customHeight="1">
      <x:c r="A249" s="30" t="n">
        <x:v>2</x:v>
      </x:c>
      <x:c r="B249" s="30" t="str">
        <x:v>US</x:v>
      </x:c>
      <x:c r="C249" s="30" t="str">
        <x:v>General Dynamics</x:v>
      </x:c>
      <x:c r="D249" s="30" t="str">
        <x:v>Protected Vehicles</x:v>
      </x:c>
      <x:c r="E249" s="30" t="str">
        <x:v>Stryker A1</x:v>
      </x:c>
      <x:c r="F249" s="30" t="n">
        <x:v>2</x:v>
      </x:c>
      <x:c r="G249" s="30" t="str">
        <x:v>Present</x:v>
      </x:c>
      <x:c r="H249" s="30" t="str">
        <x:v>Present</x:v>
      </x:c>
      <x:c r="I249" s="30" t="str">
        <x:v>OK</x:v>
      </x:c>
    </x:row>
    <x:row r="250" ht="72" customHeight="1">
      <x:c r="A250" s="30" t="n">
        <x:v>2</x:v>
      </x:c>
      <x:c r="B250" s="30" t="str">
        <x:v>US</x:v>
      </x:c>
      <x:c r="C250" s="30" t="str">
        <x:v>General Dynamics</x:v>
      </x:c>
      <x:c r="D250" s="30" t="str">
        <x:v>Marine/Naval</x:v>
      </x:c>
      <x:c r="E250" s="30" t="str">
        <x:v>Bluefin HAUV</x:v>
      </x:c>
      <x:c r="F250" s="30" t="n">
        <x:v>1</x:v>
      </x:c>
      <x:c r="G250" s="30" t="str">
        <x:v>Present</x:v>
      </x:c>
      <x:c r="H250" s="30" t="str">
        <x:v>Present</x:v>
      </x:c>
      <x:c r="I250" s="30" t="str">
        <x:v>OK</x:v>
      </x:c>
    </x:row>
    <x:row r="251" ht="72" customHeight="1">
      <x:c r="A251" s="30" t="n">
        <x:v>2</x:v>
      </x:c>
      <x:c r="B251" s="30" t="str">
        <x:v>US</x:v>
      </x:c>
      <x:c r="C251" s="30" t="str">
        <x:v>General Dynamics</x:v>
      </x:c>
      <x:c r="D251" s="30" t="str">
        <x:v>Marine/Naval</x:v>
      </x:c>
      <x:c r="E251" s="30" t="str">
        <x:v>Bluefin-12 UUV</x:v>
      </x:c>
      <x:c r="F251" s="30" t="n">
        <x:v>2</x:v>
      </x:c>
      <x:c r="G251" s="30" t="str">
        <x:v>Present</x:v>
      </x:c>
      <x:c r="H251" s="30" t="str">
        <x:v>Present</x:v>
      </x:c>
      <x:c r="I251" s="30" t="str">
        <x:v>OK</x:v>
      </x:c>
    </x:row>
    <x:row r="252" ht="72" customHeight="1">
      <x:c r="A252" s="30" t="n">
        <x:v>2</x:v>
      </x:c>
      <x:c r="B252" s="30" t="str">
        <x:v>US</x:v>
      </x:c>
      <x:c r="C252" s="30" t="str">
        <x:v>General Dynamics</x:v>
      </x:c>
      <x:c r="D252" s="30" t="str">
        <x:v>Marine/Naval</x:v>
      </x:c>
      <x:c r="E252" s="30" t="str">
        <x:v>Bluefin-21 AUV</x:v>
      </x:c>
      <x:c r="F252" s="30" t="n">
        <x:v>1</x:v>
      </x:c>
      <x:c r="G252" s="30" t="str">
        <x:v>Present</x:v>
      </x:c>
      <x:c r="H252" s="30" t="str">
        <x:v>Present</x:v>
      </x:c>
      <x:c r="I252" s="30" t="str">
        <x:v>OK</x:v>
      </x:c>
    </x:row>
    <x:row r="253" ht="72" customHeight="1">
      <x:c r="A253" s="30" t="n">
        <x:v>2</x:v>
      </x:c>
      <x:c r="B253" s="30" t="str">
        <x:v>US</x:v>
      </x:c>
      <x:c r="C253" s="30" t="str">
        <x:v>General Dynamics</x:v>
      </x:c>
      <x:c r="D253" s="30" t="str">
        <x:v>Marine/Naval</x:v>
      </x:c>
      <x:c r="E253" s="30" t="str">
        <x:v>Bluefin-9 AUV</x:v>
      </x:c>
      <x:c r="F253" s="30" t="n">
        <x:v>1</x:v>
      </x:c>
      <x:c r="G253" s="30" t="str">
        <x:v>Present</x:v>
      </x:c>
      <x:c r="H253" s="30" t="str">
        <x:v>Present</x:v>
      </x:c>
      <x:c r="I253" s="30" t="str">
        <x:v>OK</x:v>
      </x:c>
    </x:row>
    <x:row r="254" ht="72" customHeight="1">
      <x:c r="A254" s="30" t="n">
        <x:v>2</x:v>
      </x:c>
      <x:c r="B254" s="30" t="str">
        <x:v>US</x:v>
      </x:c>
      <x:c r="C254" s="30" t="str">
        <x:v>General Dynamics</x:v>
      </x:c>
      <x:c r="D254" s="30" t="str">
        <x:v>Marine/Naval</x:v>
      </x:c>
      <x:c r="E254" s="30" t="str">
        <x:v>Columbia-class Ballistic-Missile Submarine</x:v>
      </x:c>
      <x:c r="F254" s="30" t="n">
        <x:v>2</x:v>
      </x:c>
      <x:c r="G254" s="30" t="str">
        <x:v>Present</x:v>
      </x:c>
      <x:c r="H254" s="30" t="str">
        <x:v>Present</x:v>
      </x:c>
      <x:c r="I254" s="30" t="str">
        <x:v>OK</x:v>
      </x:c>
    </x:row>
    <x:row r="255" ht="72" customHeight="1">
      <x:c r="A255" s="30" t="n">
        <x:v>2</x:v>
      </x:c>
      <x:c r="B255" s="30" t="str">
        <x:v>US</x:v>
      </x:c>
      <x:c r="C255" s="30" t="str">
        <x:v>General Dynamics</x:v>
      </x:c>
      <x:c r="D255" s="30" t="str">
        <x:v>Marine/Naval</x:v>
      </x:c>
      <x:c r="E255" s="30" t="str">
        <x:v>Expeditionary Sea Base (ESB)</x:v>
      </x:c>
      <x:c r="F255" s="30" t="n">
        <x:v>3</x:v>
      </x:c>
      <x:c r="G255" s="30" t="str">
        <x:v>Present</x:v>
      </x:c>
      <x:c r="H255" s="30" t="str">
        <x:v>Present</x:v>
      </x:c>
      <x:c r="I255" s="30" t="str">
        <x:v>OK</x:v>
      </x:c>
    </x:row>
    <x:row r="256" ht="72" customHeight="1">
      <x:c r="A256" s="30" t="n">
        <x:v>2</x:v>
      </x:c>
      <x:c r="B256" s="30" t="str">
        <x:v>US</x:v>
      </x:c>
      <x:c r="C256" s="30" t="str">
        <x:v>General Dynamics</x:v>
      </x:c>
      <x:c r="D256" s="30" t="str">
        <x:v>Marine/Naval</x:v>
      </x:c>
      <x:c r="E256" s="30" t="str">
        <x:v>John Lewis-class Fleet Replenishment Oiler (T-AO)</x:v>
      </x:c>
      <x:c r="F256" s="30" t="n">
        <x:v>2</x:v>
      </x:c>
      <x:c r="G256" s="30" t="str">
        <x:v>Present</x:v>
      </x:c>
      <x:c r="H256" s="30" t="str">
        <x:v>Present</x:v>
      </x:c>
      <x:c r="I256" s="30" t="str">
        <x:v>OK</x:v>
      </x:c>
    </x:row>
    <x:row r="257" ht="72" customHeight="1">
      <x:c r="A257" s="30" t="n">
        <x:v>2</x:v>
      </x:c>
      <x:c r="B257" s="30" t="str">
        <x:v>US</x:v>
      </x:c>
      <x:c r="C257" s="30" t="str">
        <x:v>General Dynamics</x:v>
      </x:c>
      <x:c r="D257" s="30" t="str">
        <x:v>Missiles</x:v>
      </x:c>
      <x:c r="E257" s="30" t="str">
        <x:v>Hydra-70 Rocket System</x:v>
      </x:c>
      <x:c r="F257" s="30" t="n">
        <x:v>4</x:v>
      </x:c>
      <x:c r="G257" s="30" t="str">
        <x:v>Present</x:v>
      </x:c>
      <x:c r="H257" s="30" t="str">
        <x:v>Present</x:v>
      </x:c>
      <x:c r="I257" s="30" t="str">
        <x:v>Family/system/component-level entry — review if exact-model-only view is needed</x:v>
      </x:c>
    </x:row>
    <x:row r="258" ht="72" customHeight="1">
      <x:c r="A258" s="30" t="n">
        <x:v>2</x:v>
      </x:c>
      <x:c r="B258" s="30" t="str">
        <x:v>China</x:v>
      </x:c>
      <x:c r="C258" s="30" t="str">
        <x:v>NORINCO</x:v>
      </x:c>
      <x:c r="D258" s="30" t="str">
        <x:v>Artillery</x:v>
      </x:c>
      <x:c r="E258" s="30" t="str">
        <x:v>AH4 155 mm Lightweight Howitzer</x:v>
      </x:c>
      <x:c r="F258" s="30" t="n">
        <x:v>2</x:v>
      </x:c>
      <x:c r="G258" s="30" t="str">
        <x:v>Present</x:v>
      </x:c>
      <x:c r="H258" s="30" t="str">
        <x:v>Present</x:v>
      </x:c>
      <x:c r="I258" s="30" t="str">
        <x:v>OK</x:v>
      </x:c>
    </x:row>
    <x:row r="259" ht="72" customHeight="1">
      <x:c r="A259" s="30" t="n">
        <x:v>2</x:v>
      </x:c>
      <x:c r="B259" s="30" t="str">
        <x:v>China</x:v>
      </x:c>
      <x:c r="C259" s="30" t="str">
        <x:v>NORINCO</x:v>
      </x:c>
      <x:c r="D259" s="30" t="str">
        <x:v>Artillery</x:v>
      </x:c>
      <x:c r="E259" s="30" t="str">
        <x:v>AR3 Multiple Rocket Launcher</x:v>
      </x:c>
      <x:c r="F259" s="30" t="n">
        <x:v>1</x:v>
      </x:c>
      <x:c r="G259" s="30" t="str">
        <x:v>Present</x:v>
      </x:c>
      <x:c r="H259" s="30" t="str">
        <x:v>Present</x:v>
      </x:c>
      <x:c r="I259" s="30" t="str">
        <x:v>OK</x:v>
      </x:c>
    </x:row>
    <x:row r="260" ht="72" customHeight="1">
      <x:c r="A260" s="30" t="n">
        <x:v>2</x:v>
      </x:c>
      <x:c r="B260" s="30" t="str">
        <x:v>China</x:v>
      </x:c>
      <x:c r="C260" s="30" t="str">
        <x:v>NORINCO</x:v>
      </x:c>
      <x:c r="D260" s="30" t="str">
        <x:v>Artillery</x:v>
      </x:c>
      <x:c r="E260" s="30" t="str">
        <x:v>PCL-09 / CS-SH1 122 mm SPH</x:v>
      </x:c>
      <x:c r="F260" s="30" t="n">
        <x:v>1</x:v>
      </x:c>
      <x:c r="G260" s="30" t="str">
        <x:v>Present</x:v>
      </x:c>
      <x:c r="H260" s="30" t="str">
        <x:v>Present</x:v>
      </x:c>
      <x:c r="I260" s="30" t="str">
        <x:v>OK</x:v>
      </x:c>
    </x:row>
    <x:row r="261" ht="72" customHeight="1">
      <x:c r="A261" s="30" t="n">
        <x:v>2</x:v>
      </x:c>
      <x:c r="B261" s="30" t="str">
        <x:v>China</x:v>
      </x:c>
      <x:c r="C261" s="30" t="str">
        <x:v>NORINCO</x:v>
      </x:c>
      <x:c r="D261" s="30" t="str">
        <x:v>Artillery</x:v>
      </x:c>
      <x:c r="E261" s="30" t="str">
        <x:v>PLZ-52 155 mm Tracked SPH</x:v>
      </x:c>
      <x:c r="F261" s="30" t="n">
        <x:v>1</x:v>
      </x:c>
      <x:c r="G261" s="30" t="str">
        <x:v>Present</x:v>
      </x:c>
      <x:c r="H261" s="30" t="str">
        <x:v>Present</x:v>
      </x:c>
      <x:c r="I261" s="30" t="str">
        <x:v>OK</x:v>
      </x:c>
    </x:row>
    <x:row r="262" ht="72" customHeight="1">
      <x:c r="A262" s="30" t="n">
        <x:v>2</x:v>
      </x:c>
      <x:c r="B262" s="30" t="str">
        <x:v>China</x:v>
      </x:c>
      <x:c r="C262" s="30" t="str">
        <x:v>NORINCO</x:v>
      </x:c>
      <x:c r="D262" s="30" t="str">
        <x:v>Artillery</x:v>
      </x:c>
      <x:c r="E262" s="30" t="str">
        <x:v>SH1 155 mm Wheeled Self-Propelled Howitzer</x:v>
      </x:c>
      <x:c r="F262" s="30" t="n">
        <x:v>1</x:v>
      </x:c>
      <x:c r="G262" s="30" t="str">
        <x:v>Present</x:v>
      </x:c>
      <x:c r="H262" s="30" t="str">
        <x:v>Present</x:v>
      </x:c>
      <x:c r="I262" s="30" t="str">
        <x:v>OK</x:v>
      </x:c>
    </x:row>
    <x:row r="263" ht="72" customHeight="1">
      <x:c r="A263" s="30" t="n">
        <x:v>2</x:v>
      </x:c>
      <x:c r="B263" s="30" t="str">
        <x:v>China</x:v>
      </x:c>
      <x:c r="C263" s="30" t="str">
        <x:v>NORINCO</x:v>
      </x:c>
      <x:c r="D263" s="30" t="str">
        <x:v>Artillery</x:v>
      </x:c>
      <x:c r="E263" s="30" t="str">
        <x:v>SH15 / PCL-181 155 mm Wheeled Howitzer</x:v>
      </x:c>
      <x:c r="F263" s="30" t="n">
        <x:v>2</x:v>
      </x:c>
      <x:c r="G263" s="30" t="str">
        <x:v>Present</x:v>
      </x:c>
      <x:c r="H263" s="30" t="str">
        <x:v>Present</x:v>
      </x:c>
      <x:c r="I263" s="30" t="str">
        <x:v>OK</x:v>
      </x:c>
    </x:row>
    <x:row r="264" ht="72" customHeight="1">
      <x:c r="A264" s="30" t="n">
        <x:v>2</x:v>
      </x:c>
      <x:c r="B264" s="30" t="str">
        <x:v>China</x:v>
      </x:c>
      <x:c r="C264" s="30" t="str">
        <x:v>NORINCO</x:v>
      </x:c>
      <x:c r="D264" s="30" t="str">
        <x:v>Artillery</x:v>
      </x:c>
      <x:c r="E264" s="30" t="str">
        <x:v>SR5 Universal Multiple Rocket Launcher</x:v>
      </x:c>
      <x:c r="F264" s="30" t="n">
        <x:v>1</x:v>
      </x:c>
      <x:c r="G264" s="30" t="str">
        <x:v>Present</x:v>
      </x:c>
      <x:c r="H264" s="30" t="str">
        <x:v>Present</x:v>
      </x:c>
      <x:c r="I264" s="30" t="str">
        <x:v>OK</x:v>
      </x:c>
    </x:row>
    <x:row r="265" ht="72" customHeight="1">
      <x:c r="A265" s="30" t="n">
        <x:v>2</x:v>
      </x:c>
      <x:c r="B265" s="30" t="str">
        <x:v>China</x:v>
      </x:c>
      <x:c r="C265" s="30" t="str">
        <x:v>NORINCO</x:v>
      </x:c>
      <x:c r="D265" s="30" t="str">
        <x:v>Artillery</x:v>
      </x:c>
      <x:c r="E265" s="30" t="str">
        <x:v>Type 90B 122 mm MLRS</x:v>
      </x:c>
      <x:c r="F265" s="30" t="n">
        <x:v>2</x:v>
      </x:c>
      <x:c r="G265" s="30" t="str">
        <x:v>Present</x:v>
      </x:c>
      <x:c r="H265" s="30" t="str">
        <x:v>Present</x:v>
      </x:c>
      <x:c r="I265" s="30" t="str">
        <x:v>OK</x:v>
      </x:c>
    </x:row>
    <x:row r="266" ht="72" customHeight="1">
      <x:c r="A266" s="30" t="n">
        <x:v>2</x:v>
      </x:c>
      <x:c r="B266" s="30" t="str">
        <x:v>China</x:v>
      </x:c>
      <x:c r="C266" s="30" t="str">
        <x:v>NORINCO</x:v>
      </x:c>
      <x:c r="D266" s="30" t="str">
        <x:v>Ammunition</x:v>
      </x:c>
      <x:c r="E266" s="30" t="str">
        <x:v>155 mm GP6 Laser-Guided Projectile</x:v>
      </x:c>
      <x:c r="F266" s="30" t="n">
        <x:v>1</x:v>
      </x:c>
      <x:c r="G266" s="30" t="str">
        <x:v>Present</x:v>
      </x:c>
      <x:c r="H266" s="30" t="str">
        <x:v>Present</x:v>
      </x:c>
      <x:c r="I266" s="30" t="str">
        <x:v>OK</x:v>
      </x:c>
    </x:row>
    <x:row r="267" ht="72" customHeight="1">
      <x:c r="A267" s="30" t="n">
        <x:v>2</x:v>
      </x:c>
      <x:c r="B267" s="30" t="str">
        <x:v>China</x:v>
      </x:c>
      <x:c r="C267" s="30" t="str">
        <x:v>NORINCO</x:v>
      </x:c>
      <x:c r="D267" s="30" t="str">
        <x:v>Small Arms</x:v>
      </x:c>
      <x:c r="E267" s="30" t="str">
        <x:v>CS/LR4 7.62 mm Sniper Rifle</x:v>
      </x:c>
      <x:c r="F267" s="30" t="n">
        <x:v>1</x:v>
      </x:c>
      <x:c r="G267" s="30" t="str">
        <x:v>Present</x:v>
      </x:c>
      <x:c r="H267" s="30" t="str">
        <x:v>Present</x:v>
      </x:c>
      <x:c r="I267" s="30" t="str">
        <x:v>OK</x:v>
      </x:c>
    </x:row>
    <x:row r="268" ht="72" customHeight="1">
      <x:c r="A268" s="30" t="n">
        <x:v>2</x:v>
      </x:c>
      <x:c r="B268" s="30" t="str">
        <x:v>China</x:v>
      </x:c>
      <x:c r="C268" s="30" t="str">
        <x:v>NORINCO</x:v>
      </x:c>
      <x:c r="D268" s="30" t="str">
        <x:v>Small Arms</x:v>
      </x:c>
      <x:c r="E268" s="30" t="str">
        <x:v>QBU-10 12.7 mm Anti-Materiel Rifle</x:v>
      </x:c>
      <x:c r="F268" s="30" t="n">
        <x:v>1</x:v>
      </x:c>
      <x:c r="G268" s="30" t="str">
        <x:v>Present</x:v>
      </x:c>
      <x:c r="H268" s="30" t="str">
        <x:v>Present</x:v>
      </x:c>
      <x:c r="I268" s="30" t="str">
        <x:v>OK</x:v>
      </x:c>
    </x:row>
    <x:row r="269" ht="72" customHeight="1">
      <x:c r="A269" s="30" t="n">
        <x:v>2</x:v>
      </x:c>
      <x:c r="B269" s="30" t="str">
        <x:v>China</x:v>
      </x:c>
      <x:c r="C269" s="30" t="str">
        <x:v>NORINCO</x:v>
      </x:c>
      <x:c r="D269" s="30" t="str">
        <x:v>Small Arms</x:v>
      </x:c>
      <x:c r="E269" s="30" t="str">
        <x:v>QJY-88 5.8 mm Machine Gun</x:v>
      </x:c>
      <x:c r="F269" s="30" t="n">
        <x:v>3</x:v>
      </x:c>
      <x:c r="G269" s="30" t="str">
        <x:v>Present</x:v>
      </x:c>
      <x:c r="H269" s="30" t="str">
        <x:v>Present</x:v>
      </x:c>
      <x:c r="I269" s="30" t="str">
        <x:v>OK</x:v>
      </x:c>
    </x:row>
    <x:row r="270" ht="72" customHeight="1">
      <x:c r="A270" s="30" t="n">
        <x:v>2</x:v>
      </x:c>
      <x:c r="B270" s="30" t="str">
        <x:v>China</x:v>
      </x:c>
      <x:c r="C270" s="30" t="str">
        <x:v>NORINCO</x:v>
      </x:c>
      <x:c r="D270" s="30" t="str">
        <x:v>Protected Vehicles</x:v>
      </x:c>
      <x:c r="E270" s="30" t="str">
        <x:v>VN1 8×8 IFV</x:v>
      </x:c>
      <x:c r="F270" s="30" t="n">
        <x:v>1</x:v>
      </x:c>
      <x:c r="G270" s="30" t="str">
        <x:v>Present</x:v>
      </x:c>
      <x:c r="H270" s="30" t="str">
        <x:v>Present</x:v>
      </x:c>
      <x:c r="I270" s="30" t="str">
        <x:v>OK</x:v>
      </x:c>
    </x:row>
    <x:row r="271" ht="72" customHeight="1">
      <x:c r="A271" s="30" t="n">
        <x:v>2</x:v>
      </x:c>
      <x:c r="B271" s="30" t="str">
        <x:v>China</x:v>
      </x:c>
      <x:c r="C271" s="30" t="str">
        <x:v>NORINCO</x:v>
      </x:c>
      <x:c r="D271" s="30" t="str">
        <x:v>Protected Vehicles</x:v>
      </x:c>
      <x:c r="E271" s="30" t="str">
        <x:v>VN22 6×6</x:v>
      </x:c>
      <x:c r="F271" s="30" t="n">
        <x:v>1</x:v>
      </x:c>
      <x:c r="G271" s="30" t="str">
        <x:v>Present</x:v>
      </x:c>
      <x:c r="H271" s="30" t="str">
        <x:v>Present</x:v>
      </x:c>
      <x:c r="I271" s="30" t="str">
        <x:v>OK</x:v>
      </x:c>
    </x:row>
    <x:row r="272" ht="72" customHeight="1">
      <x:c r="A272" s="30" t="n">
        <x:v>2</x:v>
      </x:c>
      <x:c r="B272" s="30" t="str">
        <x:v>China</x:v>
      </x:c>
      <x:c r="C272" s="30" t="str">
        <x:v>NORINCO</x:v>
      </x:c>
      <x:c r="D272" s="30" t="str">
        <x:v>Protected Vehicles</x:v>
      </x:c>
      <x:c r="E272" s="30" t="str">
        <x:v>VT4 / MBT-3000</x:v>
      </x:c>
      <x:c r="F272" s="30" t="n">
        <x:v>2</x:v>
      </x:c>
      <x:c r="G272" s="30" t="str">
        <x:v>Present</x:v>
      </x:c>
      <x:c r="H272" s="30" t="str">
        <x:v>Present</x:v>
      </x:c>
      <x:c r="I272" s="30" t="str">
        <x:v>OK</x:v>
      </x:c>
    </x:row>
    <x:row r="273" ht="72" customHeight="1">
      <x:c r="A273" s="30" t="n">
        <x:v>2</x:v>
      </x:c>
      <x:c r="B273" s="30" t="str">
        <x:v>China</x:v>
      </x:c>
      <x:c r="C273" s="30" t="str">
        <x:v>NORINCO</x:v>
      </x:c>
      <x:c r="D273" s="30" t="str">
        <x:v>Missiles</x:v>
      </x:c>
      <x:c r="E273" s="30" t="str">
        <x:v>HJ-10 / Red Arrow 10</x:v>
      </x:c>
      <x:c r="F273" s="30" t="n">
        <x:v>2</x:v>
      </x:c>
      <x:c r="G273" s="30" t="str">
        <x:v>Present</x:v>
      </x:c>
      <x:c r="H273" s="30" t="str">
        <x:v>Present</x:v>
      </x:c>
      <x:c r="I273" s="30" t="str">
        <x:v>OK</x:v>
      </x:c>
    </x:row>
    <x:row r="274" ht="72" customHeight="1">
      <x:c r="A274" s="30" t="n">
        <x:v>2</x:v>
      </x:c>
      <x:c r="B274" s="30" t="str">
        <x:v>China</x:v>
      </x:c>
      <x:c r="C274" s="30" t="str">
        <x:v>NORINCO</x:v>
      </x:c>
      <x:c r="D274" s="30" t="str">
        <x:v>Missiles</x:v>
      </x:c>
      <x:c r="E274" s="30" t="str">
        <x:v>HJ-12 / Red Arrow 12 ATGM</x:v>
      </x:c>
      <x:c r="F274" s="30" t="n">
        <x:v>1</x:v>
      </x:c>
      <x:c r="G274" s="30" t="str">
        <x:v>Present</x:v>
      </x:c>
      <x:c r="H274" s="30" t="str">
        <x:v>Present</x:v>
      </x:c>
      <x:c r="I274" s="30" t="str">
        <x:v>OK</x:v>
      </x:c>
    </x:row>
    <x:row r="275" ht="72" customHeight="1">
      <x:c r="A275" s="30" t="n">
        <x:v>2</x:v>
      </x:c>
      <x:c r="B275" s="30" t="str">
        <x:v>China</x:v>
      </x:c>
      <x:c r="C275" s="30" t="str">
        <x:v>NORINCO</x:v>
      </x:c>
      <x:c r="D275" s="30" t="str">
        <x:v>Missiles</x:v>
      </x:c>
      <x:c r="E275" s="30" t="str">
        <x:v>Sky Dragon 50</x:v>
      </x:c>
      <x:c r="F275" s="30" t="n">
        <x:v>1</x:v>
      </x:c>
      <x:c r="G275" s="30" t="str">
        <x:v>Present</x:v>
      </x:c>
      <x:c r="H275" s="30" t="str">
        <x:v>Present</x:v>
      </x:c>
      <x:c r="I275" s="30" t="str">
        <x:v>OK</x:v>
      </x:c>
    </x:row>
    <x:row r="276" ht="72" customHeight="1">
      <x:c r="A276" s="30" t="n">
        <x:v>3</x:v>
      </x:c>
      <x:c r="B276" s="30" t="str">
        <x:v>India</x:v>
      </x:c>
      <x:c r="C276" s="30" t="str">
        <x:v>Tata Advanced Systems</x:v>
      </x:c>
      <x:c r="D276" s="30" t="str">
        <x:v>Artillery</x:v>
      </x:c>
      <x:c r="E276" s="30" t="str">
        <x:v>105 mm Mounted Gun System</x:v>
      </x:c>
      <x:c r="F276" s="30" t="n">
        <x:v>1</x:v>
      </x:c>
      <x:c r="G276" s="30" t="str">
        <x:v>Present</x:v>
      </x:c>
      <x:c r="H276" s="30" t="str">
        <x:v>Present</x:v>
      </x:c>
      <x:c r="I276" s="30" t="str">
        <x:v>Family/system/component-level entry — review if exact-model-only view is needed</x:v>
      </x:c>
    </x:row>
    <x:row r="277" ht="72" customHeight="1">
      <x:c r="A277" s="30" t="n">
        <x:v>3</x:v>
      </x:c>
      <x:c r="B277" s="30" t="str">
        <x:v>India</x:v>
      </x:c>
      <x:c r="C277" s="30" t="str">
        <x:v>Tata Advanced Systems</x:v>
      </x:c>
      <x:c r="D277" s="30" t="str">
        <x:v>Artillery</x:v>
      </x:c>
      <x:c r="E277" s="30" t="str">
        <x:v>155/52 mm Mounted Gun System</x:v>
      </x:c>
      <x:c r="F277" s="30" t="n">
        <x:v>1</x:v>
      </x:c>
      <x:c r="G277" s="30" t="str">
        <x:v>Present</x:v>
      </x:c>
      <x:c r="H277" s="30" t="str">
        <x:v>Present</x:v>
      </x:c>
      <x:c r="I277" s="30" t="str">
        <x:v>Family/system/component-level entry — review if exact-model-only view is needed</x:v>
      </x:c>
    </x:row>
    <x:row r="278" ht="72" customHeight="1">
      <x:c r="A278" s="30" t="n">
        <x:v>3</x:v>
      </x:c>
      <x:c r="B278" s="30" t="str">
        <x:v>India</x:v>
      </x:c>
      <x:c r="C278" s="30" t="str">
        <x:v>Tata Advanced Systems</x:v>
      </x:c>
      <x:c r="D278" s="30" t="str">
        <x:v>Artillery</x:v>
      </x:c>
      <x:c r="E278" s="30" t="str">
        <x:v>40 mm L70 Air-Defence Gun Upgrade</x:v>
      </x:c>
      <x:c r="F278" s="30" t="n">
        <x:v>1</x:v>
      </x:c>
      <x:c r="G278" s="30" t="str">
        <x:v>Present</x:v>
      </x:c>
      <x:c r="H278" s="30" t="str">
        <x:v>Present</x:v>
      </x:c>
      <x:c r="I278" s="30" t="str">
        <x:v>OK</x:v>
      </x:c>
    </x:row>
    <x:row r="279" ht="72" customHeight="1">
      <x:c r="A279" s="30" t="n">
        <x:v>3</x:v>
      </x:c>
      <x:c r="B279" s="30" t="str">
        <x:v>India</x:v>
      </x:c>
      <x:c r="C279" s="30" t="str">
        <x:v>Tata Advanced Systems</x:v>
      </x:c>
      <x:c r="D279" s="30" t="str">
        <x:v>Artillery</x:v>
      </x:c>
      <x:c r="E279" s="30" t="str">
        <x:v>ATAGS — Advanced Towed Artillery Gun System</x:v>
      </x:c>
      <x:c r="F279" s="30" t="n">
        <x:v>6</x:v>
      </x:c>
      <x:c r="G279" s="30" t="str">
        <x:v>Present</x:v>
      </x:c>
      <x:c r="H279" s="30" t="str">
        <x:v>Present</x:v>
      </x:c>
      <x:c r="I279" s="30" t="str">
        <x:v>Family/system/component-level entry — review if exact-model-only view is needed</x:v>
      </x:c>
    </x:row>
    <x:row r="280" ht="72" customHeight="1">
      <x:c r="A280" s="30" t="n">
        <x:v>3</x:v>
      </x:c>
      <x:c r="B280" s="30" t="str">
        <x:v>India</x:v>
      </x:c>
      <x:c r="C280" s="30" t="str">
        <x:v>Tata Advanced Systems</x:v>
      </x:c>
      <x:c r="D280" s="30" t="str">
        <x:v>Artillery</x:v>
      </x:c>
      <x:c r="E280" s="30" t="str">
        <x:v>Pinaka Multi Barrel Rocket Launcher</x:v>
      </x:c>
      <x:c r="F280" s="30" t="n">
        <x:v>4</x:v>
      </x:c>
      <x:c r="G280" s="30" t="str">
        <x:v>Present</x:v>
      </x:c>
      <x:c r="H280" s="30" t="str">
        <x:v>Present</x:v>
      </x:c>
      <x:c r="I280" s="30" t="str">
        <x:v>OK</x:v>
      </x:c>
    </x:row>
    <x:row r="281" ht="72" customHeight="1">
      <x:c r="A281" s="30" t="n">
        <x:v>3</x:v>
      </x:c>
      <x:c r="B281" s="30" t="str">
        <x:v>India</x:v>
      </x:c>
      <x:c r="C281" s="30" t="str">
        <x:v>Tata Advanced Systems</x:v>
      </x:c>
      <x:c r="D281" s="30" t="str">
        <x:v>Protected Vehicles</x:v>
      </x:c>
      <x:c r="E281" s="30" t="str">
        <x:v>Advanced Armoured Tracked Platform (AATP)</x:v>
      </x:c>
      <x:c r="F281" s="30" t="n">
        <x:v>2</x:v>
      </x:c>
      <x:c r="G281" s="30" t="str">
        <x:v>Present</x:v>
      </x:c>
      <x:c r="H281" s="30" t="str">
        <x:v>Present</x:v>
      </x:c>
      <x:c r="I281" s="30" t="str">
        <x:v>Limited/configuration-dependent public specifications</x:v>
      </x:c>
    </x:row>
    <x:row r="282" ht="72" customHeight="1">
      <x:c r="A282" s="30" t="n">
        <x:v>3</x:v>
      </x:c>
      <x:c r="B282" s="30" t="str">
        <x:v>India</x:v>
      </x:c>
      <x:c r="C282" s="30" t="str">
        <x:v>Tata Advanced Systems</x:v>
      </x:c>
      <x:c r="D282" s="30" t="str">
        <x:v>Protected Vehicles</x:v>
      </x:c>
      <x:c r="E282" s="30" t="str">
        <x:v>Light Armoured Multi-Role Vehicle (LAMV) 4×4</x:v>
      </x:c>
      <x:c r="F282" s="30" t="n">
        <x:v>4</x:v>
      </x:c>
      <x:c r="G282" s="30" t="str">
        <x:v>Present</x:v>
      </x:c>
      <x:c r="H282" s="30" t="str">
        <x:v>Present</x:v>
      </x:c>
      <x:c r="I282" s="30" t="str">
        <x:v>Limited/configuration-dependent public specifications</x:v>
      </x:c>
    </x:row>
    <x:row r="283" ht="72" customHeight="1">
      <x:c r="A283" s="30" t="n">
        <x:v>3</x:v>
      </x:c>
      <x:c r="B283" s="30" t="str">
        <x:v>India</x:v>
      </x:c>
      <x:c r="C283" s="30" t="str">
        <x:v>Tata Advanced Systems</x:v>
      </x:c>
      <x:c r="D283" s="30" t="str">
        <x:v>Protected Vehicles</x:v>
      </x:c>
      <x:c r="E283" s="30" t="str">
        <x:v>QRFV Medium</x:v>
      </x:c>
      <x:c r="F283" s="30" t="n">
        <x:v>1</x:v>
      </x:c>
      <x:c r="G283" s="30" t="str">
        <x:v>Present</x:v>
      </x:c>
      <x:c r="H283" s="30" t="str">
        <x:v>Present</x:v>
      </x:c>
      <x:c r="I283" s="30" t="str">
        <x:v>OK</x:v>
      </x:c>
    </x:row>
    <x:row r="284" ht="72" customHeight="1">
      <x:c r="A284" s="30" t="n">
        <x:v>3</x:v>
      </x:c>
      <x:c r="B284" s="30" t="str">
        <x:v>India</x:v>
      </x:c>
      <x:c r="C284" s="30" t="str">
        <x:v>Tata Advanced Systems</x:v>
      </x:c>
      <x:c r="D284" s="30" t="str">
        <x:v>Protected Vehicles</x:v>
      </x:c>
      <x:c r="E284" s="30" t="str">
        <x:v>Tata Armoured Personnel Carrier 4x4 / Mine Protected Vehicle</x:v>
      </x:c>
      <x:c r="F284" s="30" t="n">
        <x:v>2</x:v>
      </x:c>
      <x:c r="G284" s="30" t="str">
        <x:v>Present</x:v>
      </x:c>
      <x:c r="H284" s="30" t="str">
        <x:v>Present</x:v>
      </x:c>
      <x:c r="I284" s="30" t="str">
        <x:v>OK</x:v>
      </x:c>
    </x:row>
    <x:row r="285" ht="72" customHeight="1">
      <x:c r="A285" s="30" t="n">
        <x:v>3</x:v>
      </x:c>
      <x:c r="B285" s="30" t="str">
        <x:v>India</x:v>
      </x:c>
      <x:c r="C285" s="30" t="str">
        <x:v>Tata Advanced Systems</x:v>
      </x:c>
      <x:c r="D285" s="30" t="str">
        <x:v>Protected Vehicles</x:v>
      </x:c>
      <x:c r="E285" s="30" t="str">
        <x:v>Tata High Mobility Vehicles</x:v>
      </x:c>
      <x:c r="F285" s="30" t="n">
        <x:v>1</x:v>
      </x:c>
      <x:c r="G285" s="30" t="str">
        <x:v>Present</x:v>
      </x:c>
      <x:c r="H285" s="30" t="str">
        <x:v>Present</x:v>
      </x:c>
      <x:c r="I285" s="30" t="str">
        <x:v>OK</x:v>
      </x:c>
    </x:row>
    <x:row r="286" ht="72" customHeight="1">
      <x:c r="A286" s="30" t="n">
        <x:v>3</x:v>
      </x:c>
      <x:c r="B286" s="30" t="str">
        <x:v>India</x:v>
      </x:c>
      <x:c r="C286" s="30" t="str">
        <x:v>Tata Advanced Systems</x:v>
      </x:c>
      <x:c r="D286" s="30" t="str">
        <x:v>Protected Vehicles</x:v>
      </x:c>
      <x:c r="E286" s="30" t="str">
        <x:v>Tata HMV 3138 8x8</x:v>
      </x:c>
      <x:c r="F286" s="30" t="n">
        <x:v>2</x:v>
      </x:c>
      <x:c r="G286" s="30" t="str">
        <x:v>Present</x:v>
      </x:c>
      <x:c r="H286" s="30" t="str">
        <x:v>Present</x:v>
      </x:c>
      <x:c r="I286" s="30" t="str">
        <x:v>OK</x:v>
      </x:c>
    </x:row>
    <x:row r="287" ht="72" customHeight="1">
      <x:c r="A287" s="30" t="n">
        <x:v>3</x:v>
      </x:c>
      <x:c r="B287" s="30" t="str">
        <x:v>India</x:v>
      </x:c>
      <x:c r="C287" s="30" t="str">
        <x:v>Tata Advanced Systems</x:v>
      </x:c>
      <x:c r="D287" s="30" t="str">
        <x:v>Protected Vehicles</x:v>
      </x:c>
      <x:c r="E287" s="30" t="str">
        <x:v>Tata Mine Protected Vehicle family</x:v>
      </x:c>
      <x:c r="F287" s="30" t="n">
        <x:v>2</x:v>
      </x:c>
      <x:c r="G287" s="30" t="str">
        <x:v>Present</x:v>
      </x:c>
      <x:c r="H287" s="30" t="str">
        <x:v>Present</x:v>
      </x:c>
      <x:c r="I287" s="30" t="str">
        <x:v>Limited/configuration-dependent public specifications; Family/system/component-level entry — review if exact-model-only view is needed</x:v>
      </x:c>
    </x:row>
    <x:row r="288" ht="72" customHeight="1">
      <x:c r="A288" s="30" t="n">
        <x:v>3</x:v>
      </x:c>
      <x:c r="B288" s="30" t="str">
        <x:v>India</x:v>
      </x:c>
      <x:c r="C288" s="30" t="str">
        <x:v>Tata Advanced Systems</x:v>
      </x:c>
      <x:c r="D288" s="30" t="str">
        <x:v>Protected Vehicles</x:v>
      </x:c>
      <x:c r="E288" s="30" t="str">
        <x:v>WhAP / Kestrel 8×8</x:v>
      </x:c>
      <x:c r="F288" s="30" t="n">
        <x:v>6</x:v>
      </x:c>
      <x:c r="G288" s="30" t="str">
        <x:v>Present</x:v>
      </x:c>
      <x:c r="H288" s="30" t="str">
        <x:v>Present</x:v>
      </x:c>
      <x:c r="I288" s="30" t="str">
        <x:v>OK</x:v>
      </x:c>
    </x:row>
    <x:row r="289" ht="72" customHeight="1">
      <x:c r="A289" s="30" t="n">
        <x:v>3</x:v>
      </x:c>
      <x:c r="B289" s="30" t="str">
        <x:v>India</x:v>
      </x:c>
      <x:c r="C289" s="30" t="str">
        <x:v>Tata Advanced Systems</x:v>
      </x:c>
      <x:c r="D289" s="30" t="str">
        <x:v>UAVs/Drones</x:v>
      </x:c>
      <x:c r="E289" s="30" t="str">
        <x:v>ALS-50 Loitering Munition</x:v>
      </x:c>
      <x:c r="F289" s="30" t="n">
        <x:v>4</x:v>
      </x:c>
      <x:c r="G289" s="30" t="str">
        <x:v>Present</x:v>
      </x:c>
      <x:c r="H289" s="30" t="str">
        <x:v>Present</x:v>
      </x:c>
      <x:c r="I289" s="30" t="str">
        <x:v>OK</x:v>
      </x:c>
    </x:row>
    <x:row r="290" ht="72" customHeight="1">
      <x:c r="A290" s="30" t="n">
        <x:v>3</x:v>
      </x:c>
      <x:c r="B290" s="30" t="str">
        <x:v>India</x:v>
      </x:c>
      <x:c r="C290" s="30" t="str">
        <x:v>Tata Advanced Systems</x:v>
      </x:c>
      <x:c r="D290" s="30" t="str">
        <x:v>UAVs/Drones</x:v>
      </x:c>
      <x:c r="E290" s="30" t="str">
        <x:v>ALS-50M / larger ALS UAV family</x:v>
      </x:c>
      <x:c r="F290" s="30" t="n">
        <x:v>1</x:v>
      </x:c>
      <x:c r="G290" s="30" t="str">
        <x:v>Present</x:v>
      </x:c>
      <x:c r="H290" s="30" t="str">
        <x:v>Present</x:v>
      </x:c>
      <x:c r="I290" s="30" t="str">
        <x:v>Family/system/component-level entry — review if exact-model-only view is needed</x:v>
      </x:c>
    </x:row>
    <x:row r="291" ht="72" customHeight="1">
      <x:c r="A291" s="30" t="n">
        <x:v>3</x:v>
      </x:c>
      <x:c r="B291" s="30" t="str">
        <x:v>India</x:v>
      </x:c>
      <x:c r="C291" s="30" t="str">
        <x:v>Tata Advanced Systems</x:v>
      </x:c>
      <x:c r="D291" s="30" t="str">
        <x:v>UAVs/Drones</x:v>
      </x:c>
      <x:c r="E291" s="30" t="str">
        <x:v>Rakshak VTOL / IVTOL UAV</x:v>
      </x:c>
      <x:c r="F291" s="30" t="n">
        <x:v>2</x:v>
      </x:c>
      <x:c r="G291" s="30" t="str">
        <x:v>Present</x:v>
      </x:c>
      <x:c r="H291" s="30" t="str">
        <x:v>Present</x:v>
      </x:c>
      <x:c r="I291" s="30" t="str">
        <x:v>OK</x:v>
      </x:c>
    </x:row>
    <x:row r="292" ht="72" customHeight="1">
      <x:c r="A292" s="30" t="n">
        <x:v>3</x:v>
      </x:c>
      <x:c r="B292" s="30" t="str">
        <x:v>India</x:v>
      </x:c>
      <x:c r="C292" s="30" t="str">
        <x:v>Tata Advanced Systems</x:v>
      </x:c>
      <x:c r="D292" s="30" t="str">
        <x:v>UAVs/Drones</x:v>
      </x:c>
      <x:c r="E292" s="30" t="str">
        <x:v>SKY-I Small UAV</x:v>
      </x:c>
      <x:c r="F292" s="30" t="n">
        <x:v>1</x:v>
      </x:c>
      <x:c r="G292" s="30" t="str">
        <x:v>Present</x:v>
      </x:c>
      <x:c r="H292" s="30" t="str">
        <x:v>Present</x:v>
      </x:c>
      <x:c r="I292" s="30" t="str">
        <x:v>Limited/configuration-dependent public specifications</x:v>
      </x:c>
    </x:row>
    <x:row r="293" ht="72" customHeight="1">
      <x:c r="A293" s="30" t="n">
        <x:v>3</x:v>
      </x:c>
      <x:c r="B293" s="30" t="str">
        <x:v>India</x:v>
      </x:c>
      <x:c r="C293" s="30" t="str">
        <x:v>Tata Advanced Systems</x:v>
      </x:c>
      <x:c r="D293" s="30" t="str">
        <x:v>UAVs/Drones</x:v>
      </x:c>
      <x:c r="E293" s="30" t="str">
        <x:v>Small tactical UAV family</x:v>
      </x:c>
      <x:c r="F293" s="30" t="n">
        <x:v>1</x:v>
      </x:c>
      <x:c r="G293" s="30" t="str">
        <x:v>Present</x:v>
      </x:c>
      <x:c r="H293" s="30" t="str">
        <x:v>Present</x:v>
      </x:c>
      <x:c r="I293" s="30" t="str">
        <x:v>Family/system/component-level entry — review if exact-model-only view is needed</x:v>
      </x:c>
    </x:row>
    <x:row r="294" ht="72" customHeight="1">
      <x:c r="A294" s="30" t="n">
        <x:v>3</x:v>
      </x:c>
      <x:c r="B294" s="30" t="str">
        <x:v>India</x:v>
      </x:c>
      <x:c r="C294" s="30" t="str">
        <x:v>Tata Advanced Systems</x:v>
      </x:c>
      <x:c r="D294" s="30" t="str">
        <x:v>Missiles</x:v>
      </x:c>
      <x:c r="E294" s="30" t="str">
        <x:v>Advanced Air Defence (AAD) Mobile Launcher System</x:v>
      </x:c>
      <x:c r="F294" s="30" t="n">
        <x:v>1</x:v>
      </x:c>
      <x:c r="G294" s="30" t="str">
        <x:v>Present</x:v>
      </x:c>
      <x:c r="H294" s="30" t="str">
        <x:v>Present</x:v>
      </x:c>
      <x:c r="I294" s="30" t="str">
        <x:v>Family/system/component-level entry — review if exact-model-only view is needed</x:v>
      </x:c>
    </x:row>
    <x:row r="295" ht="72" customHeight="1">
      <x:c r="A295" s="30" t="n">
        <x:v>3</x:v>
      </x:c>
      <x:c r="B295" s="30" t="str">
        <x:v>India</x:v>
      </x:c>
      <x:c r="C295" s="30" t="str">
        <x:v>Tata Advanced Systems</x:v>
      </x:c>
      <x:c r="D295" s="30" t="str">
        <x:v>Missiles</x:v>
      </x:c>
      <x:c r="E295" s="30" t="str">
        <x:v>Akash Air Force Launcher</x:v>
      </x:c>
      <x:c r="F295" s="30" t="n">
        <x:v>1</x:v>
      </x:c>
      <x:c r="G295" s="30" t="str">
        <x:v>Present</x:v>
      </x:c>
      <x:c r="H295" s="30" t="str">
        <x:v>Present</x:v>
      </x:c>
      <x:c r="I295" s="30" t="str">
        <x:v>OK</x:v>
      </x:c>
    </x:row>
    <x:row r="296" ht="72" customHeight="1">
      <x:c r="A296" s="30" t="n">
        <x:v>3</x:v>
      </x:c>
      <x:c r="B296" s="30" t="str">
        <x:v>India</x:v>
      </x:c>
      <x:c r="C296" s="30" t="str">
        <x:v>Tata Advanced Systems</x:v>
      </x:c>
      <x:c r="D296" s="30" t="str">
        <x:v>Missiles</x:v>
      </x:c>
      <x:c r="E296" s="30" t="str">
        <x:v>Akash Army Launcher</x:v>
      </x:c>
      <x:c r="F296" s="30" t="n">
        <x:v>1</x:v>
      </x:c>
      <x:c r="G296" s="30" t="str">
        <x:v>Present</x:v>
      </x:c>
      <x:c r="H296" s="30" t="str">
        <x:v>Present</x:v>
      </x:c>
      <x:c r="I296" s="30" t="str">
        <x:v>OK</x:v>
      </x:c>
    </x:row>
    <x:row r="297" ht="72" customHeight="1">
      <x:c r="A297" s="30" t="n">
        <x:v>3</x:v>
      </x:c>
      <x:c r="B297" s="30" t="str">
        <x:v>India</x:v>
      </x:c>
      <x:c r="C297" s="30" t="str">
        <x:v>Tata Advanced Systems</x:v>
      </x:c>
      <x:c r="D297" s="30" t="str">
        <x:v>Missiles</x:v>
      </x:c>
      <x:c r="E297" s="30" t="str">
        <x:v>Akash Launcher / Weapon-System Hardware (Family)</x:v>
      </x:c>
      <x:c r="F297" s="30" t="n">
        <x:v>1</x:v>
      </x:c>
      <x:c r="G297" s="30" t="str">
        <x:v>Present</x:v>
      </x:c>
      <x:c r="H297" s="30" t="str">
        <x:v>Present</x:v>
      </x:c>
      <x:c r="I297" s="30" t="str">
        <x:v>OK</x:v>
      </x:c>
    </x:row>
    <x:row r="298" ht="72" customHeight="1">
      <x:c r="A298" s="30" t="n">
        <x:v>3</x:v>
      </x:c>
      <x:c r="B298" s="30" t="str">
        <x:v>India</x:v>
      </x:c>
      <x:c r="C298" s="30" t="str">
        <x:v>Tata Advanced Systems</x:v>
      </x:c>
      <x:c r="D298" s="30" t="str">
        <x:v>Missiles</x:v>
      </x:c>
      <x:c r="E298" s="30" t="str">
        <x:v>MRSAM Mobile Launcher System</x:v>
      </x:c>
      <x:c r="F298" s="30" t="n">
        <x:v>2</x:v>
      </x:c>
      <x:c r="G298" s="30" t="str">
        <x:v>Present</x:v>
      </x:c>
      <x:c r="H298" s="30" t="str">
        <x:v>Present</x:v>
      </x:c>
      <x:c r="I298" s="30" t="str">
        <x:v>Family/system/component-level entry — review if exact-model-only view is needed</x:v>
      </x:c>
    </x:row>
    <x:row r="299" ht="72" customHeight="1">
      <x:c r="A299" s="30" t="n">
        <x:v>3</x:v>
      </x:c>
      <x:c r="B299" s="30" t="str">
        <x:v>India</x:v>
      </x:c>
      <x:c r="C299" s="30" t="str">
        <x:v>Mahindra Defence</x:v>
      </x:c>
      <x:c r="D299" s="30" t="str">
        <x:v>Ammunition</x:v>
      </x:c>
      <x:c r="E299" s="30" t="str">
        <x:v>Anti-Submarine Bombs</x:v>
      </x:c>
      <x:c r="F299" s="30" t="n">
        <x:v>1</x:v>
      </x:c>
      <x:c r="G299" s="30" t="str">
        <x:v>Present</x:v>
      </x:c>
      <x:c r="H299" s="30" t="str">
        <x:v>Present</x:v>
      </x:c>
      <x:c r="I299" s="30" t="str">
        <x:v>Limited/configuration-dependent public specifications</x:v>
      </x:c>
    </x:row>
    <x:row r="300" ht="72" customHeight="1">
      <x:c r="A300" s="30" t="n">
        <x:v>3</x:v>
      </x:c>
      <x:c r="B300" s="30" t="str">
        <x:v>India</x:v>
      </x:c>
      <x:c r="C300" s="30" t="str">
        <x:v>Mahindra Defence</x:v>
      </x:c>
      <x:c r="D300" s="30" t="str">
        <x:v>Ammunition</x:v>
      </x:c>
      <x:c r="E300" s="30" t="str">
        <x:v>Sea Mines</x:v>
      </x:c>
      <x:c r="F300" s="30" t="n">
        <x:v>1</x:v>
      </x:c>
      <x:c r="G300" s="30" t="str">
        <x:v>Present</x:v>
      </x:c>
      <x:c r="H300" s="30" t="str">
        <x:v>Present</x:v>
      </x:c>
      <x:c r="I300" s="30" t="str">
        <x:v>Limited/configuration-dependent public specifications</x:v>
      </x:c>
    </x:row>
    <x:row r="301" ht="72" customHeight="1">
      <x:c r="A301" s="30" t="n">
        <x:v>3</x:v>
      </x:c>
      <x:c r="B301" s="30" t="str">
        <x:v>India</x:v>
      </x:c>
      <x:c r="C301" s="30" t="str">
        <x:v>Mahindra Defence</x:v>
      </x:c>
      <x:c r="D301" s="30" t="str">
        <x:v>Protected Vehicles</x:v>
      </x:c>
      <x:c r="E301" s="30" t="str">
        <x:v>Armado / Armoured Light Specialist Vehicle (ALSV)</x:v>
      </x:c>
      <x:c r="F301" s="30" t="n">
        <x:v>3</x:v>
      </x:c>
      <x:c r="G301" s="30" t="str">
        <x:v>Present</x:v>
      </x:c>
      <x:c r="H301" s="30" t="str">
        <x:v>Present</x:v>
      </x:c>
      <x:c r="I301" s="30" t="str">
        <x:v>OK</x:v>
      </x:c>
    </x:row>
    <x:row r="302" ht="72" customHeight="1">
      <x:c r="A302" s="30" t="n">
        <x:v>3</x:v>
      </x:c>
      <x:c r="B302" s="30" t="str">
        <x:v>India</x:v>
      </x:c>
      <x:c r="C302" s="30" t="str">
        <x:v>Mahindra Defence</x:v>
      </x:c>
      <x:c r="D302" s="30" t="str">
        <x:v>Protected Vehicles</x:v>
      </x:c>
      <x:c r="E302" s="30" t="str">
        <x:v>Mahindra Axe</x:v>
      </x:c>
      <x:c r="F302" s="30" t="n">
        <x:v>1</x:v>
      </x:c>
      <x:c r="G302" s="30" t="str">
        <x:v>Present</x:v>
      </x:c>
      <x:c r="H302" s="30" t="str">
        <x:v>Present</x:v>
      </x:c>
      <x:c r="I302" s="30" t="str">
        <x:v>OK</x:v>
      </x:c>
    </x:row>
    <x:row r="303" ht="72" customHeight="1">
      <x:c r="A303" s="30" t="n">
        <x:v>3</x:v>
      </x:c>
      <x:c r="B303" s="30" t="str">
        <x:v>India</x:v>
      </x:c>
      <x:c r="C303" s="30" t="str">
        <x:v>Mahindra Defence</x:v>
      </x:c>
      <x:c r="D303" s="30" t="str">
        <x:v>Protected Vehicles</x:v>
      </x:c>
      <x:c r="E303" s="30" t="str">
        <x:v>Mahindra High Mobility Reconnaissance Vehicle</x:v>
      </x:c>
      <x:c r="F303" s="30" t="n">
        <x:v>1</x:v>
      </x:c>
      <x:c r="G303" s="30" t="str">
        <x:v>Present</x:v>
      </x:c>
      <x:c r="H303" s="30" t="str">
        <x:v>Present</x:v>
      </x:c>
      <x:c r="I303" s="30" t="str">
        <x:v>OK</x:v>
      </x:c>
    </x:row>
    <x:row r="304" ht="72" customHeight="1">
      <x:c r="A304" s="30" t="n">
        <x:v>3</x:v>
      </x:c>
      <x:c r="B304" s="30" t="str">
        <x:v>India</x:v>
      </x:c>
      <x:c r="C304" s="30" t="str">
        <x:v>Mahindra Defence</x:v>
      </x:c>
      <x:c r="D304" s="30" t="str">
        <x:v>Protected Vehicles</x:v>
      </x:c>
      <x:c r="E304" s="30" t="str">
        <x:v>Mahindra Striker</x:v>
      </x:c>
      <x:c r="F304" s="30" t="n">
        <x:v>1</x:v>
      </x:c>
      <x:c r="G304" s="30" t="str">
        <x:v>Present</x:v>
      </x:c>
      <x:c r="H304" s="30" t="str">
        <x:v>Present</x:v>
      </x:c>
      <x:c r="I304" s="30" t="str">
        <x:v>OK</x:v>
      </x:c>
    </x:row>
    <x:row r="305" ht="72" customHeight="1">
      <x:c r="A305" s="30" t="n">
        <x:v>3</x:v>
      </x:c>
      <x:c r="B305" s="30" t="str">
        <x:v>India</x:v>
      </x:c>
      <x:c r="C305" s="30" t="str">
        <x:v>Mahindra Defence</x:v>
      </x:c>
      <x:c r="D305" s="30" t="str">
        <x:v>Protected Vehicles</x:v>
      </x:c>
      <x:c r="E305" s="30" t="str">
        <x:v>Marksman</x:v>
      </x:c>
      <x:c r="F305" s="30" t="n">
        <x:v>3</x:v>
      </x:c>
      <x:c r="G305" s="30" t="str">
        <x:v>Present</x:v>
      </x:c>
      <x:c r="H305" s="30" t="str">
        <x:v>Present</x:v>
      </x:c>
      <x:c r="I305" s="30" t="str">
        <x:v>OK</x:v>
      </x:c>
    </x:row>
    <x:row r="306" ht="72" customHeight="1">
      <x:c r="A306" s="30" t="n">
        <x:v>3</x:v>
      </x:c>
      <x:c r="B306" s="30" t="str">
        <x:v>India</x:v>
      </x:c>
      <x:c r="C306" s="30" t="str">
        <x:v>Mahindra Defence</x:v>
      </x:c>
      <x:c r="D306" s="30" t="str">
        <x:v>Protected Vehicles</x:v>
      </x:c>
      <x:c r="E306" s="30" t="str">
        <x:v>Mine Protected Armoured Personnel Carrier 4×4</x:v>
      </x:c>
      <x:c r="F306" s="30" t="n">
        <x:v>1</x:v>
      </x:c>
      <x:c r="G306" s="30" t="str">
        <x:v>Present</x:v>
      </x:c>
      <x:c r="H306" s="30" t="str">
        <x:v>Present</x:v>
      </x:c>
      <x:c r="I306" s="30" t="str">
        <x:v>OK</x:v>
      </x:c>
    </x:row>
    <x:row r="307" ht="72" customHeight="1">
      <x:c r="A307" s="30" t="n">
        <x:v>3</x:v>
      </x:c>
      <x:c r="B307" s="30" t="str">
        <x:v>India</x:v>
      </x:c>
      <x:c r="C307" s="30" t="str">
        <x:v>Mahindra Defence</x:v>
      </x:c>
      <x:c r="D307" s="30" t="str">
        <x:v>Protected Vehicles</x:v>
      </x:c>
      <x:c r="E307" s="30" t="str">
        <x:v>Mine Protected Vehicle-I (MPV-I)</x:v>
      </x:c>
      <x:c r="F307" s="30" t="n">
        <x:v>3</x:v>
      </x:c>
      <x:c r="G307" s="30" t="str">
        <x:v>Present</x:v>
      </x:c>
      <x:c r="H307" s="30" t="str">
        <x:v>Present</x:v>
      </x:c>
      <x:c r="I307" s="30" t="str">
        <x:v>OK</x:v>
      </x:c>
    </x:row>
    <x:row r="308" ht="72" customHeight="1">
      <x:c r="A308" s="30" t="n">
        <x:v>3</x:v>
      </x:c>
      <x:c r="B308" s="30" t="str">
        <x:v>India</x:v>
      </x:c>
      <x:c r="C308" s="30" t="str">
        <x:v>Mahindra Defence</x:v>
      </x:c>
      <x:c r="D308" s="30" t="str">
        <x:v>Protected Vehicles</x:v>
      </x:c>
      <x:c r="E308" s="30" t="str">
        <x:v>Rakshak / Rakshak Plus</x:v>
      </x:c>
      <x:c r="F308" s="30" t="n">
        <x:v>2</x:v>
      </x:c>
      <x:c r="G308" s="30" t="str">
        <x:v>Present</x:v>
      </x:c>
      <x:c r="H308" s="30" t="str">
        <x:v>Present</x:v>
      </x:c>
      <x:c r="I308" s="30" t="str">
        <x:v>OK</x:v>
      </x:c>
    </x:row>
    <x:row r="309" ht="72" customHeight="1">
      <x:c r="A309" s="30" t="n">
        <x:v>3</x:v>
      </x:c>
      <x:c r="B309" s="30" t="str">
        <x:v>India</x:v>
      </x:c>
      <x:c r="C309" s="30" t="str">
        <x:v>Mahindra Defence</x:v>
      </x:c>
      <x:c r="D309" s="30" t="str">
        <x:v>Protected Vehicles</x:v>
      </x:c>
      <x:c r="E309" s="30" t="str">
        <x:v>Up-Armoured Scorpio</x:v>
      </x:c>
      <x:c r="F309" s="30" t="n">
        <x:v>1</x:v>
      </x:c>
      <x:c r="G309" s="30" t="str">
        <x:v>Present</x:v>
      </x:c>
      <x:c r="H309" s="30" t="str">
        <x:v>Present</x:v>
      </x:c>
      <x:c r="I309" s="30" t="str">
        <x:v>OK</x:v>
      </x:c>
    </x:row>
    <x:row r="310" ht="72" customHeight="1">
      <x:c r="A310" s="30" t="n">
        <x:v>3</x:v>
      </x:c>
      <x:c r="B310" s="30" t="str">
        <x:v>India</x:v>
      </x:c>
      <x:c r="C310" s="30" t="str">
        <x:v>Mahindra Defence</x:v>
      </x:c>
      <x:c r="D310" s="30" t="str">
        <x:v>Protected Vehicles</x:v>
      </x:c>
      <x:c r="E310" s="30" t="str">
        <x:v>VMIMS on ALSV + Alakran-L</x:v>
      </x:c>
      <x:c r="F310" s="30" t="n">
        <x:v>1</x:v>
      </x:c>
      <x:c r="G310" s="30" t="str">
        <x:v>Present</x:v>
      </x:c>
      <x:c r="H310" s="30" t="str">
        <x:v>Present</x:v>
      </x:c>
      <x:c r="I310" s="30" t="str">
        <x:v>OK</x:v>
      </x:c>
    </x:row>
    <x:row r="311" ht="72" customHeight="1">
      <x:c r="A311" s="30" t="n">
        <x:v>3</x:v>
      </x:c>
      <x:c r="B311" s="30" t="str">
        <x:v>India</x:v>
      </x:c>
      <x:c r="C311" s="30" t="str">
        <x:v>Mahindra Defence</x:v>
      </x:c>
      <x:c r="D311" s="30" t="str">
        <x:v>Marine/Naval</x:v>
      </x:c>
      <x:c r="E311" s="30" t="str">
        <x:v>Decoy Launchers</x:v>
      </x:c>
      <x:c r="F311" s="30" t="n">
        <x:v>2</x:v>
      </x:c>
      <x:c r="G311" s="30" t="str">
        <x:v>Present</x:v>
      </x:c>
      <x:c r="H311" s="30" t="str">
        <x:v>Present</x:v>
      </x:c>
      <x:c r="I311" s="30" t="str">
        <x:v>Limited/configuration-dependent public specifications</x:v>
      </x:c>
    </x:row>
    <x:row r="312" ht="72" customHeight="1">
      <x:c r="A312" s="30" t="n">
        <x:v>3</x:v>
      </x:c>
      <x:c r="B312" s="30" t="str">
        <x:v>India</x:v>
      </x:c>
      <x:c r="C312" s="30" t="str">
        <x:v>Mahindra Defence</x:v>
      </x:c>
      <x:c r="D312" s="30" t="str">
        <x:v>Marine/Naval</x:v>
      </x:c>
      <x:c r="E312" s="30" t="str">
        <x:v>Integrated Anti-Submarine Warfare Defence Suite (IADS)</x:v>
      </x:c>
      <x:c r="F312" s="30" t="n">
        <x:v>2</x:v>
      </x:c>
      <x:c r="G312" s="30" t="str">
        <x:v>Present</x:v>
      </x:c>
      <x:c r="H312" s="30" t="str">
        <x:v>Present</x:v>
      </x:c>
      <x:c r="I312" s="30" t="str">
        <x:v>Family/system/component-level entry — review if exact-model-only view is needed</x:v>
      </x:c>
    </x:row>
    <x:row r="313" ht="72" customHeight="1">
      <x:c r="A313" s="30" t="n">
        <x:v>3</x:v>
      </x:c>
      <x:c r="B313" s="30" t="str">
        <x:v>India</x:v>
      </x:c>
      <x:c r="C313" s="30" t="str">
        <x:v>Mahindra Defence</x:v>
      </x:c>
      <x:c r="D313" s="30" t="str">
        <x:v>Marine/Naval</x:v>
      </x:c>
      <x:c r="E313" s="30" t="str">
        <x:v>Mahindra Underwater Systems — Torpedo Launchers / Sonar Dome / Naval Loaders</x:v>
      </x:c>
      <x:c r="F313" s="30" t="n">
        <x:v>3</x:v>
      </x:c>
      <x:c r="G313" s="30" t="str">
        <x:v>Present</x:v>
      </x:c>
      <x:c r="H313" s="30" t="str">
        <x:v>Present</x:v>
      </x:c>
      <x:c r="I313" s="30" t="str">
        <x:v>Family/system/component-level entry — review if exact-model-only view is needed</x:v>
      </x:c>
    </x:row>
    <x:row r="314" ht="72" customHeight="1">
      <x:c r="A314" s="30" t="n">
        <x:v>3</x:v>
      </x:c>
      <x:c r="B314" s="30" t="str">
        <x:v>India</x:v>
      </x:c>
      <x:c r="C314" s="30" t="str">
        <x:v>Mahindra Defence</x:v>
      </x:c>
      <x:c r="D314" s="30" t="str">
        <x:v>Marine/Naval</x:v>
      </x:c>
      <x:c r="E314" s="30" t="str">
        <x:v>Torpedo Launchers</x:v>
      </x:c>
      <x:c r="F314" s="30" t="n">
        <x:v>2</x:v>
      </x:c>
      <x:c r="G314" s="30" t="str">
        <x:v>Present</x:v>
      </x:c>
      <x:c r="H314" s="30" t="str">
        <x:v>Present</x:v>
      </x:c>
      <x:c r="I314" s="30" t="str">
        <x:v>Limited/configuration-dependent public specifications</x:v>
      </x:c>
    </x:row>
    <x:row r="315" ht="72" customHeight="1">
      <x:c r="A315" s="30" t="n">
        <x:v>3</x:v>
      </x:c>
      <x:c r="B315" s="30" t="str">
        <x:v>India</x:v>
      </x:c>
      <x:c r="C315" s="30" t="str">
        <x:v>Larsen &amp; Toubro (L&amp;T)</x:v>
      </x:c>
      <x:c r="D315" s="30" t="str">
        <x:v>Artillery</x:v>
      </x:c>
      <x:c r="E315" s="30" t="str">
        <x:v>K9 Vajra-T</x:v>
      </x:c>
      <x:c r="F315" s="30" t="n">
        <x:v>5</x:v>
      </x:c>
      <x:c r="G315" s="30" t="str">
        <x:v>Present</x:v>
      </x:c>
      <x:c r="H315" s="30" t="str">
        <x:v>Present</x:v>
      </x:c>
      <x:c r="I315" s="30" t="str">
        <x:v>OK</x:v>
      </x:c>
    </x:row>
    <x:row r="316" ht="72" customHeight="1">
      <x:c r="A316" s="30" t="n">
        <x:v>3</x:v>
      </x:c>
      <x:c r="B316" s="30" t="str">
        <x:v>India</x:v>
      </x:c>
      <x:c r="C316" s="30" t="str">
        <x:v>Larsen &amp; Toubro (L&amp;T)</x:v>
      </x:c>
      <x:c r="D316" s="30" t="str">
        <x:v>Artillery</x:v>
      </x:c>
      <x:c r="E316" s="30" t="str">
        <x:v>Pinaka Launcher / Launcher System</x:v>
      </x:c>
      <x:c r="F316" s="30" t="n">
        <x:v>4</x:v>
      </x:c>
      <x:c r="G316" s="30" t="str">
        <x:v>Present</x:v>
      </x:c>
      <x:c r="H316" s="30" t="str">
        <x:v>Present</x:v>
      </x:c>
      <x:c r="I316" s="30" t="str">
        <x:v>Family/system/component-level entry — review if exact-model-only view is needed</x:v>
      </x:c>
    </x:row>
    <x:row r="317" ht="72" customHeight="1">
      <x:c r="A317" s="30" t="n">
        <x:v>3</x:v>
      </x:c>
      <x:c r="B317" s="30" t="str">
        <x:v>India</x:v>
      </x:c>
      <x:c r="C317" s="30" t="str">
        <x:v>Larsen &amp; Toubro (L&amp;T)</x:v>
      </x:c>
      <x:c r="D317" s="30" t="str">
        <x:v>Protected Vehicles</x:v>
      </x:c>
      <x:c r="E317" s="30" t="str">
        <x:v>Zorawar Light Tank</x:v>
      </x:c>
      <x:c r="F317" s="30" t="n">
        <x:v>4</x:v>
      </x:c>
      <x:c r="G317" s="30" t="str">
        <x:v>Present</x:v>
      </x:c>
      <x:c r="H317" s="30" t="str">
        <x:v>Present</x:v>
      </x:c>
      <x:c r="I317" s="30" t="str">
        <x:v>Limited/configuration-dependent public specifications</x:v>
      </x:c>
    </x:row>
    <x:row r="318" ht="72" customHeight="1">
      <x:c r="A318" s="30" t="n">
        <x:v>3</x:v>
      </x:c>
      <x:c r="B318" s="30" t="str">
        <x:v>India</x:v>
      </x:c>
      <x:c r="C318" s="30" t="str">
        <x:v>Larsen &amp; Toubro (L&amp;T)</x:v>
      </x:c>
      <x:c r="D318" s="30" t="str">
        <x:v>Marine/Naval</x:v>
      </x:c>
      <x:c r="E318" s="30" t="str">
        <x:v>Autonomous Underwater Vehicle / UUV Systems</x:v>
      </x:c>
      <x:c r="F318" s="30" t="n">
        <x:v>1</x:v>
      </x:c>
      <x:c r="G318" s="30" t="str">
        <x:v>Present</x:v>
      </x:c>
      <x:c r="H318" s="30" t="str">
        <x:v>Present</x:v>
      </x:c>
      <x:c r="I318" s="30" t="str">
        <x:v>Limited/configuration-dependent public specifications; Family/system/component-level entry — review if exact-model-only view is needed</x:v>
      </x:c>
    </x:row>
    <x:row r="319" ht="72" customHeight="1">
      <x:c r="A319" s="30" t="n">
        <x:v>3</x:v>
      </x:c>
      <x:c r="B319" s="30" t="str">
        <x:v>India</x:v>
      </x:c>
      <x:c r="C319" s="30" t="str">
        <x:v>Larsen &amp; Toubro (L&amp;T)</x:v>
      </x:c>
      <x:c r="D319" s="30" t="str">
        <x:v>Marine/Naval</x:v>
      </x:c>
      <x:c r="E319" s="30" t="str">
        <x:v>Cadet Training Ship</x:v>
      </x:c>
      <x:c r="F319" s="30" t="n">
        <x:v>1</x:v>
      </x:c>
      <x:c r="G319" s="30" t="str">
        <x:v>Present</x:v>
      </x:c>
      <x:c r="H319" s="30" t="str">
        <x:v>Present</x:v>
      </x:c>
      <x:c r="I319" s="30" t="str">
        <x:v>OK</x:v>
      </x:c>
    </x:row>
    <x:row r="320" ht="72" customHeight="1">
      <x:c r="A320" s="30" t="n">
        <x:v>3</x:v>
      </x:c>
      <x:c r="B320" s="30" t="str">
        <x:v>India</x:v>
      </x:c>
      <x:c r="C320" s="30" t="str">
        <x:v>Larsen &amp; Toubro (L&amp;T)</x:v>
      </x:c>
      <x:c r="D320" s="30" t="str">
        <x:v>Marine/Naval</x:v>
      </x:c>
      <x:c r="E320" s="30" t="str">
        <x:v>High-Speed Interceptor Boat</x:v>
      </x:c>
      <x:c r="F320" s="30" t="n">
        <x:v>1</x:v>
      </x:c>
      <x:c r="G320" s="30" t="str">
        <x:v>Present</x:v>
      </x:c>
      <x:c r="H320" s="30" t="str">
        <x:v>Present</x:v>
      </x:c>
      <x:c r="I320" s="30" t="str">
        <x:v>OK</x:v>
      </x:c>
    </x:row>
    <x:row r="321" ht="72" customHeight="1">
      <x:c r="A321" s="30" t="n">
        <x:v>3</x:v>
      </x:c>
      <x:c r="B321" s="30" t="str">
        <x:v>India</x:v>
      </x:c>
      <x:c r="C321" s="30" t="str">
        <x:v>Larsen &amp; Toubro (L&amp;T)</x:v>
      </x:c>
      <x:c r="D321" s="30" t="str">
        <x:v>Marine/Naval</x:v>
      </x:c>
      <x:c r="E321" s="30" t="str">
        <x:v>Multi-Purpose Vessel (MPV)</x:v>
      </x:c>
      <x:c r="F321" s="30" t="n">
        <x:v>1</x:v>
      </x:c>
      <x:c r="G321" s="30" t="str">
        <x:v>Present</x:v>
      </x:c>
      <x:c r="H321" s="30" t="str">
        <x:v>Present</x:v>
      </x:c>
      <x:c r="I321" s="30" t="str">
        <x:v>OK</x:v>
      </x:c>
    </x:row>
    <x:row r="322" ht="72" customHeight="1">
      <x:c r="A322" s="30" t="n">
        <x:v>3</x:v>
      </x:c>
      <x:c r="B322" s="30" t="str">
        <x:v>India</x:v>
      </x:c>
      <x:c r="C322" s="30" t="str">
        <x:v>Larsen &amp; Toubro (L&amp;T)</x:v>
      </x:c>
      <x:c r="D322" s="30" t="str">
        <x:v>Marine/Naval</x:v>
      </x:c>
      <x:c r="E322" s="30" t="str">
        <x:v>Naval Floating Dock</x:v>
      </x:c>
      <x:c r="F322" s="30" t="n">
        <x:v>1</x:v>
      </x:c>
      <x:c r="G322" s="30" t="str">
        <x:v>Present</x:v>
      </x:c>
      <x:c r="H322" s="30" t="str">
        <x:v>Present</x:v>
      </x:c>
      <x:c r="I322" s="30" t="str">
        <x:v>OK</x:v>
      </x:c>
    </x:row>
    <x:row r="323" ht="72" customHeight="1">
      <x:c r="A323" s="30" t="n">
        <x:v>3</x:v>
      </x:c>
      <x:c r="B323" s="30" t="str">
        <x:v>India</x:v>
      </x:c>
      <x:c r="C323" s="30" t="str">
        <x:v>Larsen &amp; Toubro (L&amp;T)</x:v>
      </x:c>
      <x:c r="D323" s="30" t="str">
        <x:v>Marine/Naval</x:v>
      </x:c>
      <x:c r="E323" s="30" t="str">
        <x:v>Offshore Patrol Vessel (OPV)</x:v>
      </x:c>
      <x:c r="F323" s="30" t="n">
        <x:v>1</x:v>
      </x:c>
      <x:c r="G323" s="30" t="str">
        <x:v>Present</x:v>
      </x:c>
      <x:c r="H323" s="30" t="str">
        <x:v>Present</x:v>
      </x:c>
      <x:c r="I323" s="30" t="str">
        <x:v>OK</x:v>
      </x:c>
    </x:row>
    <x:row r="324" ht="72" customHeight="1">
      <x:c r="A324" s="30" t="n">
        <x:v>3</x:v>
      </x:c>
      <x:c r="B324" s="30" t="str">
        <x:v>India</x:v>
      </x:c>
      <x:c r="C324" s="30" t="str">
        <x:v>Larsen &amp; Toubro (L&amp;T)</x:v>
      </x:c>
      <x:c r="D324" s="30" t="str">
        <x:v>Marine/Naval</x:v>
      </x:c>
      <x:c r="E324" s="30" t="str">
        <x:v>P7 Heavy Drop Platform System</x:v>
      </x:c>
      <x:c r="F324" s="30" t="n">
        <x:v>1</x:v>
      </x:c>
      <x:c r="G324" s="30" t="str">
        <x:v>Present</x:v>
      </x:c>
      <x:c r="H324" s="30" t="str">
        <x:v>Present</x:v>
      </x:c>
      <x:c r="I324" s="30" t="str">
        <x:v>Family/system/component-level entry — review if exact-model-only view is needed</x:v>
      </x:c>
    </x:row>
    <x:row r="325" ht="72" customHeight="1">
      <x:c r="A325" s="30" t="n">
        <x:v>3</x:v>
      </x:c>
      <x:c r="B325" s="30" t="str">
        <x:v>India</x:v>
      </x:c>
      <x:c r="C325" s="30" t="str">
        <x:v>Larsen &amp; Toubro (L&amp;T)</x:v>
      </x:c>
      <x:c r="D325" s="30" t="str">
        <x:v>Marine/Naval</x:v>
      </x:c>
      <x:c r="E325" s="30" t="str">
        <x:v>P75 submarine industrial capability</x:v>
      </x:c>
      <x:c r="F325" s="30" t="n">
        <x:v>1</x:v>
      </x:c>
      <x:c r="G325" s="30" t="str">
        <x:v>Present</x:v>
      </x:c>
      <x:c r="H325" s="30" t="str">
        <x:v>Present</x:v>
      </x:c>
      <x:c r="I325" s="30" t="str">
        <x:v>OK</x:v>
      </x:c>
    </x:row>
    <x:row r="326" ht="72" customHeight="1">
      <x:c r="A326" s="30" t="n">
        <x:v>3</x:v>
      </x:c>
      <x:c r="B326" s="30" t="str">
        <x:v>India</x:v>
      </x:c>
      <x:c r="C326" s="30" t="str">
        <x:v>Larsen &amp; Toubro (L&amp;T)</x:v>
      </x:c>
      <x:c r="D326" s="30" t="str">
        <x:v>Marine/Naval</x:v>
      </x:c>
      <x:c r="E326" s="30" t="str">
        <x:v>Rail-less Helicopter Traversing System (RHTS)</x:v>
      </x:c>
      <x:c r="F326" s="30" t="n">
        <x:v>1</x:v>
      </x:c>
      <x:c r="G326" s="30" t="str">
        <x:v>Present</x:v>
      </x:c>
      <x:c r="H326" s="30" t="str">
        <x:v>Present</x:v>
      </x:c>
      <x:c r="I326" s="30" t="str">
        <x:v>Family/system/component-level entry — review if exact-model-only view is needed</x:v>
      </x:c>
    </x:row>
    <x:row r="327" ht="72" customHeight="1">
      <x:c r="A327" s="30" t="n">
        <x:v>3</x:v>
      </x:c>
      <x:c r="B327" s="30" t="str">
        <x:v>India</x:v>
      </x:c>
      <x:c r="C327" s="30" t="str">
        <x:v>Larsen &amp; Toubro (L&amp;T)</x:v>
      </x:c>
      <x:c r="D327" s="30" t="str">
        <x:v>UAVs/Drones</x:v>
      </x:c>
      <x:c r="E327" s="30" t="str">
        <x:v>L&amp;T Abhyas Aerial Target</x:v>
      </x:c>
      <x:c r="F327" s="30" t="n">
        <x:v>1</x:v>
      </x:c>
      <x:c r="G327" s="30" t="str">
        <x:v>Present</x:v>
      </x:c>
      <x:c r="H327" s="30" t="str">
        <x:v>Present</x:v>
      </x:c>
      <x:c r="I327" s="30" t="str">
        <x:v>OK</x:v>
      </x:c>
    </x:row>
    <x:row r="328" ht="72" customHeight="1">
      <x:c r="A328" s="30" t="n">
        <x:v>3</x:v>
      </x:c>
      <x:c r="B328" s="30" t="str">
        <x:v>India</x:v>
      </x:c>
      <x:c r="C328" s="30" t="str">
        <x:v>Larsen &amp; Toubro (L&amp;T)</x:v>
      </x:c>
      <x:c r="D328" s="30" t="str">
        <x:v>UAVs/Drones</x:v>
      </x:c>
      <x:c r="E328" s="30" t="str">
        <x:v>L&amp;T Tactical UAV</x:v>
      </x:c>
      <x:c r="F328" s="30" t="n">
        <x:v>1</x:v>
      </x:c>
      <x:c r="G328" s="30" t="str">
        <x:v>Present</x:v>
      </x:c>
      <x:c r="H328" s="30" t="str">
        <x:v>Present</x:v>
      </x:c>
      <x:c r="I328" s="30" t="str">
        <x:v>OK</x:v>
      </x:c>
    </x:row>
    <x:row r="329" ht="72" customHeight="1">
      <x:c r="A329" s="30" t="n">
        <x:v>3</x:v>
      </x:c>
      <x:c r="B329" s="30" t="str">
        <x:v>India</x:v>
      </x:c>
      <x:c r="C329" s="30" t="str">
        <x:v>Larsen &amp; Toubro (L&amp;T)</x:v>
      </x:c>
      <x:c r="D329" s="30" t="str">
        <x:v>UAVs/Drones</x:v>
      </x:c>
      <x:c r="E329" s="30" t="str">
        <x:v>L&amp;T TEER Aerial Target</x:v>
      </x:c>
      <x:c r="F329" s="30" t="n">
        <x:v>2</x:v>
      </x:c>
      <x:c r="G329" s="30" t="str">
        <x:v>Present</x:v>
      </x:c>
      <x:c r="H329" s="30" t="str">
        <x:v>Present</x:v>
      </x:c>
      <x:c r="I329" s="30" t="str">
        <x:v>OK</x:v>
      </x:c>
    </x:row>
    <x:row r="330" ht="72" customHeight="1">
      <x:c r="A330" s="30" t="n">
        <x:v>3</x:v>
      </x:c>
      <x:c r="B330" s="30" t="str">
        <x:v>India</x:v>
      </x:c>
      <x:c r="C330" s="30" t="str">
        <x:v>Larsen &amp; Toubro (L&amp;T)</x:v>
      </x:c>
      <x:c r="D330" s="30" t="str">
        <x:v>UAVs/Drones</x:v>
      </x:c>
      <x:c r="E330" s="30" t="str">
        <x:v>L&amp;T TEER production programme</x:v>
      </x:c>
      <x:c r="F330" s="30" t="n">
        <x:v>1</x:v>
      </x:c>
      <x:c r="G330" s="30" t="str">
        <x:v>Present</x:v>
      </x:c>
      <x:c r="H330" s="30" t="str">
        <x:v>Present</x:v>
      </x:c>
      <x:c r="I330" s="30" t="str">
        <x:v>OK</x:v>
      </x:c>
    </x:row>
    <x:row r="331" ht="72" customHeight="1">
      <x:c r="A331" s="30" t="n">
        <x:v>3</x:v>
      </x:c>
      <x:c r="B331" s="30" t="str">
        <x:v>India</x:v>
      </x:c>
      <x:c r="C331" s="30" t="str">
        <x:v>Larsen &amp; Toubro (L&amp;T)</x:v>
      </x:c>
      <x:c r="D331" s="30" t="str">
        <x:v>UAVs/Drones</x:v>
      </x:c>
      <x:c r="E331" s="30" t="str">
        <x:v>L&amp;T Vedh Mk-1 / Chanakya</x:v>
      </x:c>
      <x:c r="F331" s="30" t="n">
        <x:v>1</x:v>
      </x:c>
      <x:c r="G331" s="30" t="str">
        <x:v>Present</x:v>
      </x:c>
      <x:c r="H331" s="30" t="str">
        <x:v>Present</x:v>
      </x:c>
      <x:c r="I331" s="30" t="str">
        <x:v>OK</x:v>
      </x:c>
    </x:row>
    <x:row r="332" ht="72" customHeight="1">
      <x:c r="A332" s="30" t="n">
        <x:v>3</x:v>
      </x:c>
      <x:c r="B332" s="30" t="str">
        <x:v>India</x:v>
      </x:c>
      <x:c r="C332" s="30" t="str">
        <x:v>Larsen &amp; Toubro (L&amp;T)</x:v>
      </x:c>
      <x:c r="D332" s="30" t="str">
        <x:v>Missiles</x:v>
      </x:c>
      <x:c r="E332" s="30" t="str">
        <x:v>Akash / Surface-to-Air Missile Launcher Systems</x:v>
      </x:c>
      <x:c r="F332" s="30" t="n">
        <x:v>1</x:v>
      </x:c>
      <x:c r="G332" s="30" t="str">
        <x:v>Present</x:v>
      </x:c>
      <x:c r="H332" s="30" t="str">
        <x:v>Present</x:v>
      </x:c>
      <x:c r="I332" s="30" t="str">
        <x:v>Family/system/component-level entry — review if exact-model-only view is needed</x:v>
      </x:c>
    </x:row>
    <x:row r="333" ht="72" customHeight="1">
      <x:c r="A333" s="30" t="n">
        <x:v>3</x:v>
      </x:c>
      <x:c r="B333" s="30" t="str">
        <x:v>India</x:v>
      </x:c>
      <x:c r="C333" s="30" t="str">
        <x:v>Larsen &amp; Toubro (L&amp;T)</x:v>
      </x:c>
      <x:c r="D333" s="30" t="str">
        <x:v>Missiles</x:v>
      </x:c>
      <x:c r="E333" s="30" t="str">
        <x:v>BrahMos ground launcher / ground support equipment</x:v>
      </x:c>
      <x:c r="F333" s="30" t="n">
        <x:v>1</x:v>
      </x:c>
      <x:c r="G333" s="30" t="str">
        <x:v>Present</x:v>
      </x:c>
      <x:c r="H333" s="30" t="str">
        <x:v>Present</x:v>
      </x:c>
      <x:c r="I333" s="30" t="str">
        <x:v>OK</x:v>
      </x:c>
    </x:row>
    <x:row r="334" ht="72" customHeight="1">
      <x:c r="A334" s="30" t="n">
        <x:v>3</x:v>
      </x:c>
      <x:c r="B334" s="30" t="str">
        <x:v>India</x:v>
      </x:c>
      <x:c r="C334" s="30" t="str">
        <x:v>Larsen &amp; Toubro (L&amp;T)</x:v>
      </x:c>
      <x:c r="D334" s="30" t="str">
        <x:v>Missiles</x:v>
      </x:c>
      <x:c r="E334" s="30" t="str">
        <x:v>Nag missile carrier</x:v>
      </x:c>
      <x:c r="F334" s="30" t="n">
        <x:v>1</x:v>
      </x:c>
      <x:c r="G334" s="30" t="str">
        <x:v>Present</x:v>
      </x:c>
      <x:c r="H334" s="30" t="str">
        <x:v>Present</x:v>
      </x:c>
      <x:c r="I334" s="30" t="str">
        <x:v>OK</x:v>
      </x:c>
    </x:row>
    <x:row r="335" ht="72" customHeight="1">
      <x:c r="A335" s="30" t="n">
        <x:v>3</x:v>
      </x:c>
      <x:c r="B335" s="30" t="str">
        <x:v>India</x:v>
      </x:c>
      <x:c r="C335" s="30" t="str">
        <x:v>Larsen &amp; Toubro (L&amp;T)</x:v>
      </x:c>
      <x:c r="D335" s="30" t="str">
        <x:v>Missiles</x:v>
      </x:c>
      <x:c r="E335" s="30" t="str">
        <x:v>Trishul launcher</x:v>
      </x:c>
      <x:c r="F335" s="30" t="n">
        <x:v>1</x:v>
      </x:c>
      <x:c r="G335" s="30" t="str">
        <x:v>Present</x:v>
      </x:c>
      <x:c r="H335" s="30" t="str">
        <x:v>Present</x:v>
      </x:c>
      <x:c r="I335" s="30" t="str">
        <x:v>OK</x:v>
      </x:c>
    </x:row>
    <x:row r="336" ht="72" customHeight="1">
      <x:c r="A336" s="30" t="n">
        <x:v>3</x:v>
      </x:c>
      <x:c r="B336" s="30" t="str">
        <x:v>Finland</x:v>
      </x:c>
      <x:c r="C336" s="30" t="str">
        <x:v>Patria</x:v>
      </x:c>
      <x:c r="D336" s="30" t="str">
        <x:v>Artillery</x:v>
      </x:c>
      <x:c r="E336" s="30" t="str">
        <x:v>Patria AMOS</x:v>
      </x:c>
      <x:c r="F336" s="30" t="n">
        <x:v>2</x:v>
      </x:c>
      <x:c r="G336" s="30" t="str">
        <x:v>Present</x:v>
      </x:c>
      <x:c r="H336" s="30" t="str">
        <x:v>Present</x:v>
      </x:c>
      <x:c r="I336" s="30" t="str">
        <x:v>OK</x:v>
      </x:c>
    </x:row>
    <x:row r="337" ht="72" customHeight="1">
      <x:c r="A337" s="30" t="n">
        <x:v>3</x:v>
      </x:c>
      <x:c r="B337" s="30" t="str">
        <x:v>Finland</x:v>
      </x:c>
      <x:c r="C337" s="30" t="str">
        <x:v>Patria</x:v>
      </x:c>
      <x:c r="D337" s="30" t="str">
        <x:v>Artillery</x:v>
      </x:c>
      <x:c r="E337" s="30" t="str">
        <x:v>Patria NEMO 120 mm Mortar System</x:v>
      </x:c>
      <x:c r="F337" s="30" t="n">
        <x:v>3</x:v>
      </x:c>
      <x:c r="G337" s="30" t="str">
        <x:v>Present</x:v>
      </x:c>
      <x:c r="H337" s="30" t="str">
        <x:v>Present</x:v>
      </x:c>
      <x:c r="I337" s="30" t="str">
        <x:v>Family/system/component-level entry — review if exact-model-only view is needed</x:v>
      </x:c>
    </x:row>
    <x:row r="338" ht="72" customHeight="1">
      <x:c r="A338" s="30" t="n">
        <x:v>3</x:v>
      </x:c>
      <x:c r="B338" s="30" t="str">
        <x:v>Finland</x:v>
      </x:c>
      <x:c r="C338" s="30" t="str">
        <x:v>Patria</x:v>
      </x:c>
      <x:c r="D338" s="30" t="str">
        <x:v>Artillery</x:v>
      </x:c>
      <x:c r="E338" s="30" t="str">
        <x:v>Patria NEMO Container</x:v>
      </x:c>
      <x:c r="F338" s="30" t="n">
        <x:v>1</x:v>
      </x:c>
      <x:c r="G338" s="30" t="str">
        <x:v>Present</x:v>
      </x:c>
      <x:c r="H338" s="30" t="str">
        <x:v>Present</x:v>
      </x:c>
      <x:c r="I338" s="30" t="str">
        <x:v>OK</x:v>
      </x:c>
    </x:row>
    <x:row r="339" ht="72" customHeight="1">
      <x:c r="A339" s="30" t="n">
        <x:v>3</x:v>
      </x:c>
      <x:c r="B339" s="30" t="str">
        <x:v>Finland</x:v>
      </x:c>
      <x:c r="C339" s="30" t="str">
        <x:v>Patria</x:v>
      </x:c>
      <x:c r="D339" s="30" t="str">
        <x:v>Artillery</x:v>
      </x:c>
      <x:c r="E339" s="30" t="str">
        <x:v>Patria TREMOS</x:v>
      </x:c>
      <x:c r="F339" s="30" t="n">
        <x:v>2</x:v>
      </x:c>
      <x:c r="G339" s="30" t="str">
        <x:v>Present</x:v>
      </x:c>
      <x:c r="H339" s="30" t="str">
        <x:v>Present</x:v>
      </x:c>
      <x:c r="I339" s="30" t="str">
        <x:v>OK</x:v>
      </x:c>
    </x:row>
    <x:row r="340" ht="72" customHeight="1">
      <x:c r="A340" s="30" t="n">
        <x:v>3</x:v>
      </x:c>
      <x:c r="B340" s="30" t="str">
        <x:v>Finland</x:v>
      </x:c>
      <x:c r="C340" s="30" t="str">
        <x:v>Patria</x:v>
      </x:c>
      <x:c r="D340" s="30" t="str">
        <x:v>Protected Vehicles</x:v>
      </x:c>
      <x:c r="E340" s="30" t="str">
        <x:v>Patria 6×6</x:v>
      </x:c>
      <x:c r="F340" s="30" t="n">
        <x:v>3</x:v>
      </x:c>
      <x:c r="G340" s="30" t="str">
        <x:v>Present</x:v>
      </x:c>
      <x:c r="H340" s="30" t="str">
        <x:v>Present</x:v>
      </x:c>
      <x:c r="I340" s="30" t="str">
        <x:v>OK</x:v>
      </x:c>
    </x:row>
    <x:row r="341" ht="72" customHeight="1">
      <x:c r="A341" s="30" t="n">
        <x:v>3</x:v>
      </x:c>
      <x:c r="B341" s="30" t="str">
        <x:v>Finland</x:v>
      </x:c>
      <x:c r="C341" s="30" t="str">
        <x:v>Patria</x:v>
      </x:c>
      <x:c r="D341" s="30" t="str">
        <x:v>Protected Vehicles</x:v>
      </x:c>
      <x:c r="E341" s="30" t="str">
        <x:v>Patria AMV 8x8</x:v>
      </x:c>
      <x:c r="F341" s="30" t="n">
        <x:v>2</x:v>
      </x:c>
      <x:c r="G341" s="30" t="str">
        <x:v>Present</x:v>
      </x:c>
      <x:c r="H341" s="30" t="str">
        <x:v>Present</x:v>
      </x:c>
      <x:c r="I341" s="30" t="str">
        <x:v>OK</x:v>
      </x:c>
    </x:row>
    <x:row r="342" ht="72" customHeight="1">
      <x:c r="A342" s="30" t="n">
        <x:v>3</x:v>
      </x:c>
      <x:c r="B342" s="30" t="str">
        <x:v>Finland</x:v>
      </x:c>
      <x:c r="C342" s="30" t="str">
        <x:v>Patria</x:v>
      </x:c>
      <x:c r="D342" s="30" t="str">
        <x:v>Protected Vehicles</x:v>
      </x:c>
      <x:c r="E342" s="30" t="str">
        <x:v>Patria AMV XP 8×8</x:v>
      </x:c>
      <x:c r="F342" s="30" t="n">
        <x:v>4</x:v>
      </x:c>
      <x:c r="G342" s="30" t="str">
        <x:v>Present</x:v>
      </x:c>
      <x:c r="H342" s="30" t="str">
        <x:v>Present</x:v>
      </x:c>
      <x:c r="I342" s="30" t="str">
        <x:v>OK</x:v>
      </x:c>
    </x:row>
    <x:row r="343" ht="72" customHeight="1">
      <x:c r="A343" s="30" t="n">
        <x:v>3</x:v>
      </x:c>
      <x:c r="B343" s="30" t="str">
        <x:v>Finland</x:v>
      </x:c>
      <x:c r="C343" s="30" t="str">
        <x:v>Patria</x:v>
      </x:c>
      <x:c r="D343" s="30" t="str">
        <x:v>Protected Vehicles</x:v>
      </x:c>
      <x:c r="E343" s="30" t="str">
        <x:v>Patria TRACKX</x:v>
      </x:c>
      <x:c r="F343" s="30" t="n">
        <x:v>2</x:v>
      </x:c>
      <x:c r="G343" s="30" t="str">
        <x:v>Present</x:v>
      </x:c>
      <x:c r="H343" s="30" t="str">
        <x:v>Present</x:v>
      </x:c>
      <x:c r="I343" s="30" t="str">
        <x:v>OK</x:v>
      </x:c>
    </x:row>
    <x:row r="344" ht="72" customHeight="1">
      <x:c r="A344" s="30" t="n">
        <x:v>3</x:v>
      </x:c>
      <x:c r="B344" s="30" t="str">
        <x:v>Finland</x:v>
      </x:c>
      <x:c r="C344" s="30" t="str">
        <x:v>Patria</x:v>
      </x:c>
      <x:c r="D344" s="30" t="str">
        <x:v>Marine/Naval</x:v>
      </x:c>
      <x:c r="E344" s="30" t="str">
        <x:v>Patria NEMO Navy</x:v>
      </x:c>
      <x:c r="F344" s="30" t="n">
        <x:v>2</x:v>
      </x:c>
      <x:c r="G344" s="30" t="str">
        <x:v>Present</x:v>
      </x:c>
      <x:c r="H344" s="30" t="str">
        <x:v>Present</x:v>
      </x:c>
      <x:c r="I344" s="30" t="str">
        <x:v>OK</x:v>
      </x:c>
    </x:row>
    <x:row r="345" ht="72" customHeight="1">
      <x:c r="A345" s="30" t="n">
        <x:v>3</x:v>
      </x:c>
      <x:c r="B345" s="30" t="str">
        <x:v>Finland</x:v>
      </x:c>
      <x:c r="C345" s="30" t="str">
        <x:v>Patria</x:v>
      </x:c>
      <x:c r="D345" s="30" t="str">
        <x:v>UAVs/Drones</x:v>
      </x:c>
      <x:c r="E345" s="30" t="str">
        <x:v>Patria GEO</x:v>
      </x:c>
      <x:c r="F345" s="30" t="n">
        <x:v>1</x:v>
      </x:c>
      <x:c r="G345" s="30" t="str">
        <x:v>Present</x:v>
      </x:c>
      <x:c r="H345" s="30" t="str">
        <x:v>Present</x:v>
      </x:c>
      <x:c r="I345" s="30" t="str">
        <x:v>OK</x:v>
      </x:c>
    </x:row>
    <x:row r="346" ht="72" customHeight="1">
      <x:c r="A346" s="30" t="n">
        <x:v>3</x:v>
      </x:c>
      <x:c r="B346" s="30" t="str">
        <x:v>Finland</x:v>
      </x:c>
      <x:c r="C346" s="30" t="str">
        <x:v>Patria</x:v>
      </x:c>
      <x:c r="D346" s="30" t="str">
        <x:v>UAVs/Drones</x:v>
      </x:c>
      <x:c r="E346" s="30" t="str">
        <x:v>Patria ONE</x:v>
      </x:c>
      <x:c r="F346" s="30" t="n">
        <x:v>1</x:v>
      </x:c>
      <x:c r="G346" s="30" t="str">
        <x:v>Present</x:v>
      </x:c>
      <x:c r="H346" s="30" t="str">
        <x:v>Present</x:v>
      </x:c>
      <x:c r="I346" s="30" t="str">
        <x:v>OK</x:v>
      </x:c>
    </x:row>
    <x:row r="347" ht="72" customHeight="1">
      <x:c r="A347" s="30" t="n">
        <x:v>3</x:v>
      </x:c>
      <x:c r="B347" s="30" t="str">
        <x:v>Finland</x:v>
      </x:c>
      <x:c r="C347" s="30" t="str">
        <x:v>Patria</x:v>
      </x:c>
      <x:c r="D347" s="30" t="str">
        <x:v>UAVs/Drones</x:v>
      </x:c>
      <x:c r="E347" s="30" t="str">
        <x:v>Patria SKY</x:v>
      </x:c>
      <x:c r="F347" s="30" t="n">
        <x:v>1</x:v>
      </x:c>
      <x:c r="G347" s="30" t="str">
        <x:v>Present</x:v>
      </x:c>
      <x:c r="H347" s="30" t="str">
        <x:v>Present</x:v>
      </x:c>
      <x:c r="I347" s="30" t="str">
        <x:v>OK</x:v>
      </x:c>
    </x:row>
    <x:row r="348" ht="72" customHeight="1">
      <x:c r="A348" s="30" t="n">
        <x:v>3</x:v>
      </x:c>
      <x:c r="B348" s="30" t="str">
        <x:v>UK</x:v>
      </x:c>
      <x:c r="C348" s="30" t="str">
        <x:v>Supacat</x:v>
      </x:c>
      <x:c r="D348" s="30" t="str">
        <x:v>Artillery</x:v>
      </x:c>
      <x:c r="E348" s="30" t="str">
        <x:v>HMT Common Base Platform — 105 Light Gun Carrier</x:v>
      </x:c>
      <x:c r="F348" s="30" t="n">
        <x:v>1</x:v>
      </x:c>
      <x:c r="G348" s="30" t="str">
        <x:v>Present</x:v>
      </x:c>
      <x:c r="H348" s="30" t="str">
        <x:v>Present</x:v>
      </x:c>
      <x:c r="I348" s="30" t="str">
        <x:v>OK</x:v>
      </x:c>
    </x:row>
    <x:row r="349" ht="72" customHeight="1">
      <x:c r="A349" s="30" t="n">
        <x:v>3</x:v>
      </x:c>
      <x:c r="B349" s="30" t="str">
        <x:v>UK</x:v>
      </x:c>
      <x:c r="C349" s="30" t="str">
        <x:v>Supacat</x:v>
      </x:c>
      <x:c r="D349" s="30" t="str">
        <x:v>Protected Vehicles</x:v>
      </x:c>
      <x:c r="E349" s="30" t="str">
        <x:v>HMT Armoured Closed Cab</x:v>
      </x:c>
      <x:c r="F349" s="30" t="n">
        <x:v>5</x:v>
      </x:c>
      <x:c r="G349" s="30" t="str">
        <x:v>Present</x:v>
      </x:c>
      <x:c r="H349" s="30" t="str">
        <x:v>Present</x:v>
      </x:c>
      <x:c r="I349" s="30" t="str">
        <x:v>OK</x:v>
      </x:c>
    </x:row>
    <x:row r="350" ht="72" customHeight="1">
      <x:c r="A350" s="30" t="n">
        <x:v>3</x:v>
      </x:c>
      <x:c r="B350" s="30" t="str">
        <x:v>UK</x:v>
      </x:c>
      <x:c r="C350" s="30" t="str">
        <x:v>Supacat</x:v>
      </x:c>
      <x:c r="D350" s="30" t="str">
        <x:v>Protected Vehicles</x:v>
      </x:c>
      <x:c r="E350" s="30" t="str">
        <x:v>HMT Common Base Platform (CBP)</x:v>
      </x:c>
      <x:c r="F350" s="30" t="n">
        <x:v>2</x:v>
      </x:c>
      <x:c r="G350" s="30" t="str">
        <x:v>Present</x:v>
      </x:c>
      <x:c r="H350" s="30" t="str">
        <x:v>Present</x:v>
      </x:c>
      <x:c r="I350" s="30" t="str">
        <x:v>OK</x:v>
      </x:c>
    </x:row>
    <x:row r="351" ht="72" customHeight="1">
      <x:c r="A351" s="30" t="n">
        <x:v>3</x:v>
      </x:c>
      <x:c r="B351" s="30" t="str">
        <x:v>UK</x:v>
      </x:c>
      <x:c r="C351" s="30" t="str">
        <x:v>Supacat</x:v>
      </x:c>
      <x:c r="D351" s="30" t="str">
        <x:v>Protected Vehicles</x:v>
      </x:c>
      <x:c r="E351" s="30" t="str">
        <x:v>HMT Extenda Mk3</x:v>
      </x:c>
      <x:c r="F351" s="30" t="n">
        <x:v>2</x:v>
      </x:c>
      <x:c r="G351" s="30" t="str">
        <x:v>Present</x:v>
      </x:c>
      <x:c r="H351" s="30" t="str">
        <x:v>Present</x:v>
      </x:c>
      <x:c r="I351" s="30" t="str">
        <x:v>OK</x:v>
      </x:c>
    </x:row>
    <x:row r="352" ht="72" customHeight="1">
      <x:c r="A352" s="30" t="n">
        <x:v>3</x:v>
      </x:c>
      <x:c r="B352" s="30" t="str">
        <x:v>UK</x:v>
      </x:c>
      <x:c r="C352" s="30" t="str">
        <x:v>Supacat</x:v>
      </x:c>
      <x:c r="D352" s="30" t="str">
        <x:v>Protected Vehicles</x:v>
      </x:c>
      <x:c r="E352" s="30" t="str">
        <x:v>HMT LWR</x:v>
      </x:c>
      <x:c r="F352" s="30" t="n">
        <x:v>4</x:v>
      </x:c>
      <x:c r="G352" s="30" t="str">
        <x:v>Present</x:v>
      </x:c>
      <x:c r="H352" s="30" t="str">
        <x:v>Present</x:v>
      </x:c>
      <x:c r="I352" s="30" t="str">
        <x:v>OK</x:v>
      </x:c>
    </x:row>
    <x:row r="353" ht="72" customHeight="1">
      <x:c r="A353" s="30" t="n">
        <x:v>3</x:v>
      </x:c>
      <x:c r="B353" s="30" t="str">
        <x:v>UK</x:v>
      </x:c>
      <x:c r="C353" s="30" t="str">
        <x:v>Supacat</x:v>
      </x:c>
      <x:c r="D353" s="30" t="str">
        <x:v>Protected Vehicles</x:v>
      </x:c>
      <x:c r="E353" s="30" t="str">
        <x:v>HMT Mk3 / Jackal 3</x:v>
      </x:c>
      <x:c r="F353" s="30" t="n">
        <x:v>3</x:v>
      </x:c>
      <x:c r="G353" s="30" t="str">
        <x:v>Present</x:v>
      </x:c>
      <x:c r="H353" s="30" t="str">
        <x:v>Present</x:v>
      </x:c>
      <x:c r="I353" s="30" t="str">
        <x:v>Limited/configuration-dependent public specifications</x:v>
      </x:c>
    </x:row>
    <x:row r="354" ht="72" customHeight="1">
      <x:c r="A354" s="30" t="n">
        <x:v>3</x:v>
      </x:c>
      <x:c r="B354" s="30" t="str">
        <x:v>UK</x:v>
      </x:c>
      <x:c r="C354" s="30" t="str">
        <x:v>Supacat</x:v>
      </x:c>
      <x:c r="D354" s="30" t="str">
        <x:v>Protected Vehicles</x:v>
      </x:c>
      <x:c r="E354" s="30" t="str">
        <x:v>Light Mobility Vehicle (LMV)</x:v>
      </x:c>
      <x:c r="F354" s="30" t="n">
        <x:v>2</x:v>
      </x:c>
      <x:c r="G354" s="30" t="str">
        <x:v>Present</x:v>
      </x:c>
      <x:c r="H354" s="30" t="str">
        <x:v>Present</x:v>
      </x:c>
      <x:c r="I354" s="30" t="str">
        <x:v>OK</x:v>
      </x:c>
    </x:row>
    <x:row r="355" ht="72" customHeight="1">
      <x:c r="A355" s="30" t="n">
        <x:v>3</x:v>
      </x:c>
      <x:c r="B355" s="30" t="str">
        <x:v>UK</x:v>
      </x:c>
      <x:c r="C355" s="30" t="str">
        <x:v>Supacat</x:v>
      </x:c>
      <x:c r="D355" s="30" t="str">
        <x:v>Protected Vehicles</x:v>
      </x:c>
      <x:c r="E355" s="30" t="str">
        <x:v>LRV 400 Mk2</x:v>
      </x:c>
      <x:c r="F355" s="30" t="n">
        <x:v>1</x:v>
      </x:c>
      <x:c r="G355" s="30" t="str">
        <x:v>Present</x:v>
      </x:c>
      <x:c r="H355" s="30" t="str">
        <x:v>Present</x:v>
      </x:c>
      <x:c r="I355" s="30" t="str">
        <x:v>OK</x:v>
      </x:c>
    </x:row>
    <x:row r="356" ht="72" customHeight="1">
      <x:c r="A356" s="30" t="n">
        <x:v>3</x:v>
      </x:c>
      <x:c r="B356" s="30" t="str">
        <x:v>UK</x:v>
      </x:c>
      <x:c r="C356" s="30" t="str">
        <x:v>Supacat</x:v>
      </x:c>
      <x:c r="D356" s="30" t="str">
        <x:v>Protected Vehicles</x:v>
      </x:c>
      <x:c r="E356" s="30" t="str">
        <x:v>Supacat Medium Utility Vehicle (MUV)</x:v>
      </x:c>
      <x:c r="F356" s="30" t="n">
        <x:v>3</x:v>
      </x:c>
      <x:c r="G356" s="30" t="str">
        <x:v>Present</x:v>
      </x:c>
      <x:c r="H356" s="30" t="str">
        <x:v>Present</x:v>
      </x:c>
      <x:c r="I356" s="30" t="str">
        <x:v>OK</x:v>
      </x:c>
    </x:row>
    <x:row r="357" ht="72" customHeight="1">
      <x:c r="A357" s="30" t="n">
        <x:v>3</x:v>
      </x:c>
      <x:c r="B357" s="30" t="str">
        <x:v>UK</x:v>
      </x:c>
      <x:c r="C357" s="30" t="str">
        <x:v>Supacat</x:v>
      </x:c>
      <x:c r="D357" s="30" t="str">
        <x:v>Missiles</x:v>
      </x:c>
      <x:c r="E357" s="30" t="str">
        <x:v>Brimstone HMT Overwatch</x:v>
      </x:c>
      <x:c r="F357" s="30" t="n">
        <x:v>2</x:v>
      </x:c>
      <x:c r="G357" s="30" t="str">
        <x:v>Present</x:v>
      </x:c>
      <x:c r="H357" s="30" t="str">
        <x:v>Present</x:v>
      </x:c>
      <x:c r="I357" s="30" t="str">
        <x:v>OK</x:v>
      </x:c>
    </x:row>
    <x:row r="358" ht="72" customHeight="1">
      <x:c r="A358" s="30" t="n">
        <x:v>4</x:v>
      </x:c>
      <x:c r="B358" s="30" t="str">
        <x:v>Turkey</x:v>
      </x:c>
      <x:c r="C358" s="30" t="str">
        <x:v>Otokar</x:v>
      </x:c>
      <x:c r="D358" s="30" t="str">
        <x:v>Protected Vehicles</x:v>
      </x:c>
      <x:c r="E358" s="30" t="str">
        <x:v>AKREP II 4×4</x:v>
      </x:c>
      <x:c r="F358" s="30" t="n">
        <x:v>5</x:v>
      </x:c>
      <x:c r="G358" s="30" t="str">
        <x:v>Present</x:v>
      </x:c>
      <x:c r="H358" s="30" t="str">
        <x:v>Present</x:v>
      </x:c>
      <x:c r="I358" s="30" t="str">
        <x:v>OK</x:v>
      </x:c>
    </x:row>
    <x:row r="359" ht="72" customHeight="1">
      <x:c r="A359" s="30" t="n">
        <x:v>4</x:v>
      </x:c>
      <x:c r="B359" s="30" t="str">
        <x:v>Turkey</x:v>
      </x:c>
      <x:c r="C359" s="30" t="str">
        <x:v>Otokar</x:v>
      </x:c>
      <x:c r="D359" s="30" t="str">
        <x:v>Protected Vehicles</x:v>
      </x:c>
      <x:c r="E359" s="30" t="str">
        <x:v>ARMA 6×6</x:v>
      </x:c>
      <x:c r="F359" s="30" t="n">
        <x:v>5</x:v>
      </x:c>
      <x:c r="G359" s="30" t="str">
        <x:v>Present</x:v>
      </x:c>
      <x:c r="H359" s="30" t="str">
        <x:v>Present</x:v>
      </x:c>
      <x:c r="I359" s="30" t="str">
        <x:v>OK</x:v>
      </x:c>
    </x:row>
    <x:row r="360" ht="72" customHeight="1">
      <x:c r="A360" s="30" t="n">
        <x:v>4</x:v>
      </x:c>
      <x:c r="B360" s="30" t="str">
        <x:v>Turkey</x:v>
      </x:c>
      <x:c r="C360" s="30" t="str">
        <x:v>Otokar</x:v>
      </x:c>
      <x:c r="D360" s="30" t="str">
        <x:v>Protected Vehicles</x:v>
      </x:c>
      <x:c r="E360" s="30" t="str">
        <x:v>ARMA 8×8</x:v>
      </x:c>
      <x:c r="F360" s="30" t="n">
        <x:v>4</x:v>
      </x:c>
      <x:c r="G360" s="30" t="str">
        <x:v>Present</x:v>
      </x:c>
      <x:c r="H360" s="30" t="str">
        <x:v>Present</x:v>
      </x:c>
      <x:c r="I360" s="30" t="str">
        <x:v>OK</x:v>
      </x:c>
    </x:row>
    <x:row r="361" ht="72" customHeight="1">
      <x:c r="A361" s="30" t="n">
        <x:v>4</x:v>
      </x:c>
      <x:c r="B361" s="30" t="str">
        <x:v>Turkey</x:v>
      </x:c>
      <x:c r="C361" s="30" t="str">
        <x:v>Otokar</x:v>
      </x:c>
      <x:c r="D361" s="30" t="str">
        <x:v>Protected Vehicles</x:v>
      </x:c>
      <x:c r="E361" s="30" t="str">
        <x:v>ARMA II 8×8</x:v>
      </x:c>
      <x:c r="F361" s="30" t="n">
        <x:v>3</x:v>
      </x:c>
      <x:c r="G361" s="30" t="str">
        <x:v>Present</x:v>
      </x:c>
      <x:c r="H361" s="30" t="str">
        <x:v>Present</x:v>
      </x:c>
      <x:c r="I361" s="30" t="str">
        <x:v>OK</x:v>
      </x:c>
    </x:row>
    <x:row r="362" ht="72" customHeight="1">
      <x:c r="A362" s="30" t="n">
        <x:v>4</x:v>
      </x:c>
      <x:c r="B362" s="30" t="str">
        <x:v>Turkey</x:v>
      </x:c>
      <x:c r="C362" s="30" t="str">
        <x:v>Otokar</x:v>
      </x:c>
      <x:c r="D362" s="30" t="str">
        <x:v>Protected Vehicles</x:v>
      </x:c>
      <x:c r="E362" s="30" t="str">
        <x:v>COBRA II 4×4</x:v>
      </x:c>
      <x:c r="F362" s="30" t="n">
        <x:v>5</x:v>
      </x:c>
      <x:c r="G362" s="30" t="str">
        <x:v>Present</x:v>
      </x:c>
      <x:c r="H362" s="30" t="str">
        <x:v>Present</x:v>
      </x:c>
      <x:c r="I362" s="30" t="str">
        <x:v>OK</x:v>
      </x:c>
    </x:row>
    <x:row r="363" ht="72" customHeight="1">
      <x:c r="A363" s="30" t="n">
        <x:v>4</x:v>
      </x:c>
      <x:c r="B363" s="30" t="str">
        <x:v>Turkey</x:v>
      </x:c>
      <x:c r="C363" s="30" t="str">
        <x:v>Otokar</x:v>
      </x:c>
      <x:c r="D363" s="30" t="str">
        <x:v>Protected Vehicles</x:v>
      </x:c>
      <x:c r="E363" s="30" t="str">
        <x:v>COBRA II MRAP</x:v>
      </x:c>
      <x:c r="F363" s="30" t="n">
        <x:v>4</x:v>
      </x:c>
      <x:c r="G363" s="30" t="str">
        <x:v>Present</x:v>
      </x:c>
      <x:c r="H363" s="30" t="str">
        <x:v>Present</x:v>
      </x:c>
      <x:c r="I363" s="30" t="str">
        <x:v>OK</x:v>
      </x:c>
    </x:row>
    <x:row r="364" ht="72" customHeight="1">
      <x:c r="A364" s="30" t="n">
        <x:v>4</x:v>
      </x:c>
      <x:c r="B364" s="30" t="str">
        <x:v>Turkey</x:v>
      </x:c>
      <x:c r="C364" s="30" t="str">
        <x:v>Otokar</x:v>
      </x:c>
      <x:c r="D364" s="30" t="str">
        <x:v>Protected Vehicles</x:v>
      </x:c>
      <x:c r="E364" s="30" t="str">
        <x:v>ISV 4x4</x:v>
      </x:c>
      <x:c r="F364" s="30" t="n">
        <x:v>2</x:v>
      </x:c>
      <x:c r="G364" s="30" t="str">
        <x:v>Present</x:v>
      </x:c>
      <x:c r="H364" s="30" t="str">
        <x:v>Present</x:v>
      </x:c>
      <x:c r="I364" s="30" t="str">
        <x:v>OK</x:v>
      </x:c>
    </x:row>
    <x:row r="365" ht="72" customHeight="1">
      <x:c r="A365" s="30" t="n">
        <x:v>4</x:v>
      </x:c>
      <x:c r="B365" s="30" t="str">
        <x:v>Turkey</x:v>
      </x:c>
      <x:c r="C365" s="30" t="str">
        <x:v>Otokar</x:v>
      </x:c>
      <x:c r="D365" s="30" t="str">
        <x:v>Protected Vehicles</x:v>
      </x:c>
      <x:c r="E365" s="30" t="str">
        <x:v>KAYA II MRAP</x:v>
      </x:c>
      <x:c r="F365" s="30" t="n">
        <x:v>3</x:v>
      </x:c>
      <x:c r="G365" s="30" t="str">
        <x:v>Present</x:v>
      </x:c>
      <x:c r="H365" s="30" t="str">
        <x:v>Present</x:v>
      </x:c>
      <x:c r="I365" s="30" t="str">
        <x:v>OK</x:v>
      </x:c>
    </x:row>
    <x:row r="366" ht="72" customHeight="1">
      <x:c r="A366" s="30" t="n">
        <x:v>4</x:v>
      </x:c>
      <x:c r="B366" s="30" t="str">
        <x:v>Turkey</x:v>
      </x:c>
      <x:c r="C366" s="30" t="str">
        <x:v>Otokar</x:v>
      </x:c>
      <x:c r="D366" s="30" t="str">
        <x:v>Protected Vehicles</x:v>
      </x:c>
      <x:c r="E366" s="30" t="str">
        <x:v>TULPAR</x:v>
      </x:c>
      <x:c r="F366" s="30" t="n">
        <x:v>4</x:v>
      </x:c>
      <x:c r="G366" s="30" t="str">
        <x:v>Present</x:v>
      </x:c>
      <x:c r="H366" s="30" t="str">
        <x:v>Present</x:v>
      </x:c>
      <x:c r="I366" s="30" t="str">
        <x:v>OK</x:v>
      </x:c>
    </x:row>
    <x:row r="367" ht="72" customHeight="1">
      <x:c r="A367" s="30" t="n">
        <x:v>4</x:v>
      </x:c>
      <x:c r="B367" s="30" t="str">
        <x:v>Turkey</x:v>
      </x:c>
      <x:c r="C367" s="30" t="str">
        <x:v>Otokar</x:v>
      </x:c>
      <x:c r="D367" s="30" t="str">
        <x:v>Protected Vehicles</x:v>
      </x:c>
      <x:c r="E367" s="30" t="str">
        <x:v>TULPAR S</x:v>
      </x:c>
      <x:c r="F367" s="30" t="n">
        <x:v>4</x:v>
      </x:c>
      <x:c r="G367" s="30" t="str">
        <x:v>Present</x:v>
      </x:c>
      <x:c r="H367" s="30" t="str">
        <x:v>Present</x:v>
      </x:c>
      <x:c r="I367" s="30" t="str">
        <x:v>OK</x:v>
      </x:c>
    </x:row>
    <x:row r="368" ht="72" customHeight="1">
      <x:c r="A368" s="30" t="n">
        <x:v>4</x:v>
      </x:c>
      <x:c r="B368" s="30" t="str">
        <x:v>Turkey</x:v>
      </x:c>
      <x:c r="C368" s="30" t="str">
        <x:v>Otokar</x:v>
      </x:c>
      <x:c r="D368" s="30" t="str">
        <x:v>Protected Vehicles</x:v>
      </x:c>
      <x:c r="E368" s="30" t="str">
        <x:v>URAL / URAL II 4×4</x:v>
      </x:c>
      <x:c r="F368" s="30" t="n">
        <x:v>5</x:v>
      </x:c>
      <x:c r="G368" s="30" t="str">
        <x:v>Present</x:v>
      </x:c>
      <x:c r="H368" s="30" t="str">
        <x:v>Present</x:v>
      </x:c>
      <x:c r="I368" s="30" t="str">
        <x:v>OK</x:v>
      </x:c>
    </x:row>
    <x:row r="369" ht="72" customHeight="1">
      <x:c r="A369" s="30" t="n">
        <x:v>4</x:v>
      </x:c>
      <x:c r="B369" s="30" t="str">
        <x:v>South Africa</x:v>
      </x:c>
      <x:c r="C369" s="30" t="str">
        <x:v>Paramount Group</x:v>
      </x:c>
      <x:c r="D369" s="30" t="str">
        <x:v>Protected Vehicles</x:v>
      </x:c>
      <x:c r="E369" s="30" t="str">
        <x:v>Maatla</x:v>
      </x:c>
      <x:c r="F369" s="30" t="n">
        <x:v>3</x:v>
      </x:c>
      <x:c r="G369" s="30" t="str">
        <x:v>Present</x:v>
      </x:c>
      <x:c r="H369" s="30" t="str">
        <x:v>Present</x:v>
      </x:c>
      <x:c r="I369" s="30" t="str">
        <x:v>OK</x:v>
      </x:c>
    </x:row>
    <x:row r="370" ht="72" customHeight="1">
      <x:c r="A370" s="30" t="n">
        <x:v>4</x:v>
      </x:c>
      <x:c r="B370" s="30" t="str">
        <x:v>South Africa</x:v>
      </x:c>
      <x:c r="C370" s="30" t="str">
        <x:v>Paramount Group</x:v>
      </x:c>
      <x:c r="D370" s="30" t="str">
        <x:v>Protected Vehicles</x:v>
      </x:c>
      <x:c r="E370" s="30" t="str">
        <x:v>Marauder</x:v>
      </x:c>
      <x:c r="F370" s="30" t="n">
        <x:v>4</x:v>
      </x:c>
      <x:c r="G370" s="30" t="str">
        <x:v>Present</x:v>
      </x:c>
      <x:c r="H370" s="30" t="str">
        <x:v>Present</x:v>
      </x:c>
      <x:c r="I370" s="30" t="str">
        <x:v>OK</x:v>
      </x:c>
    </x:row>
    <x:row r="371" ht="72" customHeight="1">
      <x:c r="A371" s="30" t="n">
        <x:v>4</x:v>
      </x:c>
      <x:c r="B371" s="30" t="str">
        <x:v>South Africa</x:v>
      </x:c>
      <x:c r="C371" s="30" t="str">
        <x:v>Paramount Group</x:v>
      </x:c>
      <x:c r="D371" s="30" t="str">
        <x:v>Protected Vehicles</x:v>
      </x:c>
      <x:c r="E371" s="30" t="str">
        <x:v>Matador</x:v>
      </x:c>
      <x:c r="F371" s="30" t="n">
        <x:v>3</x:v>
      </x:c>
      <x:c r="G371" s="30" t="str">
        <x:v>Present</x:v>
      </x:c>
      <x:c r="H371" s="30" t="str">
        <x:v>Present</x:v>
      </x:c>
      <x:c r="I371" s="30" t="str">
        <x:v>OK</x:v>
      </x:c>
    </x:row>
    <x:row r="372" ht="72" customHeight="1">
      <x:c r="A372" s="30" t="n">
        <x:v>4</x:v>
      </x:c>
      <x:c r="B372" s="30" t="str">
        <x:v>South Africa</x:v>
      </x:c>
      <x:c r="C372" s="30" t="str">
        <x:v>Paramount Group</x:v>
      </x:c>
      <x:c r="D372" s="30" t="str">
        <x:v>Protected Vehicles</x:v>
      </x:c>
      <x:c r="E372" s="30" t="str">
        <x:v>Maverick</x:v>
      </x:c>
      <x:c r="F372" s="30" t="n">
        <x:v>1</x:v>
      </x:c>
      <x:c r="G372" s="30" t="str">
        <x:v>Present</x:v>
      </x:c>
      <x:c r="H372" s="30" t="str">
        <x:v>Present</x:v>
      </x:c>
      <x:c r="I372" s="30" t="str">
        <x:v>OK</x:v>
      </x:c>
    </x:row>
    <x:row r="373" ht="72" customHeight="1">
      <x:c r="A373" s="30" t="n">
        <x:v>4</x:v>
      </x:c>
      <x:c r="B373" s="30" t="str">
        <x:v>South Africa</x:v>
      </x:c>
      <x:c r="C373" s="30" t="str">
        <x:v>Paramount Group</x:v>
      </x:c>
      <x:c r="D373" s="30" t="str">
        <x:v>Protected Vehicles</x:v>
      </x:c>
      <x:c r="E373" s="30" t="str">
        <x:v>Mbombe 4</x:v>
      </x:c>
      <x:c r="F373" s="30" t="n">
        <x:v>5</x:v>
      </x:c>
      <x:c r="G373" s="30" t="str">
        <x:v>Present</x:v>
      </x:c>
      <x:c r="H373" s="30" t="str">
        <x:v>Present</x:v>
      </x:c>
      <x:c r="I373" s="30" t="str">
        <x:v>OK</x:v>
      </x:c>
    </x:row>
    <x:row r="374" ht="72" customHeight="1">
      <x:c r="A374" s="30" t="n">
        <x:v>4</x:v>
      </x:c>
      <x:c r="B374" s="30" t="str">
        <x:v>South Africa</x:v>
      </x:c>
      <x:c r="C374" s="30" t="str">
        <x:v>Paramount Group</x:v>
      </x:c>
      <x:c r="D374" s="30" t="str">
        <x:v>Protected Vehicles</x:v>
      </x:c>
      <x:c r="E374" s="30" t="str">
        <x:v>Mbombe 6</x:v>
      </x:c>
      <x:c r="F374" s="30" t="n">
        <x:v>3</x:v>
      </x:c>
      <x:c r="G374" s="30" t="str">
        <x:v>Present</x:v>
      </x:c>
      <x:c r="H374" s="30" t="str">
        <x:v>Present</x:v>
      </x:c>
      <x:c r="I374" s="30" t="str">
        <x:v>OK</x:v>
      </x:c>
    </x:row>
    <x:row r="375" ht="72" customHeight="1">
      <x:c r="A375" s="30" t="n">
        <x:v>4</x:v>
      </x:c>
      <x:c r="B375" s="30" t="str">
        <x:v>South Africa</x:v>
      </x:c>
      <x:c r="C375" s="30" t="str">
        <x:v>Paramount Group</x:v>
      </x:c>
      <x:c r="D375" s="30" t="str">
        <x:v>Protected Vehicles</x:v>
      </x:c>
      <x:c r="E375" s="30" t="str">
        <x:v>Mbombe 8</x:v>
      </x:c>
      <x:c r="F375" s="30" t="n">
        <x:v>4</x:v>
      </x:c>
      <x:c r="G375" s="30" t="str">
        <x:v>Present</x:v>
      </x:c>
      <x:c r="H375" s="30" t="str">
        <x:v>Present</x:v>
      </x:c>
      <x:c r="I375" s="30" t="str">
        <x:v>OK</x:v>
      </x:c>
    </x:row>
    <x:row r="376" ht="72" customHeight="1">
      <x:c r="A376" s="30" t="n">
        <x:v>4</x:v>
      </x:c>
      <x:c r="B376" s="30" t="str">
        <x:v>South Africa</x:v>
      </x:c>
      <x:c r="C376" s="30" t="str">
        <x:v>Paramount Group</x:v>
      </x:c>
      <x:c r="D376" s="30" t="str">
        <x:v>Marine/Naval</x:v>
      </x:c>
      <x:c r="E376" s="30" t="str">
        <x:v>11 m Guardian</x:v>
      </x:c>
      <x:c r="F376" s="30" t="n">
        <x:v>1</x:v>
      </x:c>
      <x:c r="G376" s="30" t="str">
        <x:v>Present</x:v>
      </x:c>
      <x:c r="H376" s="30" t="str">
        <x:v>Present</x:v>
      </x:c>
      <x:c r="I376" s="30" t="str">
        <x:v>OK</x:v>
      </x:c>
    </x:row>
    <x:row r="377" ht="72" customHeight="1">
      <x:c r="A377" s="30" t="n">
        <x:v>4</x:v>
      </x:c>
      <x:c r="B377" s="30" t="str">
        <x:v>South Africa</x:v>
      </x:c>
      <x:c r="C377" s="30" t="str">
        <x:v>Paramount Group</x:v>
      </x:c>
      <x:c r="D377" s="30" t="str">
        <x:v>Marine/Naval</x:v>
      </x:c>
      <x:c r="E377" s="30" t="str">
        <x:v>14 m Guardian</x:v>
      </x:c>
      <x:c r="F377" s="30" t="n">
        <x:v>1</x:v>
      </x:c>
      <x:c r="G377" s="30" t="str">
        <x:v>Present</x:v>
      </x:c>
      <x:c r="H377" s="30" t="str">
        <x:v>Present</x:v>
      </x:c>
      <x:c r="I377" s="30" t="str">
        <x:v>OK</x:v>
      </x:c>
    </x:row>
    <x:row r="378" ht="72" customHeight="1">
      <x:c r="A378" s="30" t="n">
        <x:v>4</x:v>
      </x:c>
      <x:c r="B378" s="30" t="str">
        <x:v>South Africa</x:v>
      </x:c>
      <x:c r="C378" s="30" t="str">
        <x:v>Paramount Group</x:v>
      </x:c>
      <x:c r="D378" s="30" t="str">
        <x:v>Marine/Naval</x:v>
      </x:c>
      <x:c r="E378" s="30" t="str">
        <x:v>17 m Sentinel</x:v>
      </x:c>
      <x:c r="F378" s="30" t="n">
        <x:v>1</x:v>
      </x:c>
      <x:c r="G378" s="30" t="str">
        <x:v>Present</x:v>
      </x:c>
      <x:c r="H378" s="30" t="str">
        <x:v>Present</x:v>
      </x:c>
      <x:c r="I378" s="30" t="str">
        <x:v>OK</x:v>
      </x:c>
    </x:row>
    <x:row r="379" ht="72" customHeight="1">
      <x:c r="A379" s="30" t="n">
        <x:v>4</x:v>
      </x:c>
      <x:c r="B379" s="30" t="str">
        <x:v>South Africa</x:v>
      </x:c>
      <x:c r="C379" s="30" t="str">
        <x:v>Paramount Group</x:v>
      </x:c>
      <x:c r="D379" s="30" t="str">
        <x:v>Marine/Naval</x:v>
      </x:c>
      <x:c r="E379" s="30" t="str">
        <x:v>22 m Sentinel</x:v>
      </x:c>
      <x:c r="F379" s="30" t="n">
        <x:v>1</x:v>
      </x:c>
      <x:c r="G379" s="30" t="str">
        <x:v>Present</x:v>
      </x:c>
      <x:c r="H379" s="30" t="str">
        <x:v>Present</x:v>
      </x:c>
      <x:c r="I379" s="30" t="str">
        <x:v>OK</x:v>
      </x:c>
    </x:row>
    <x:row r="380" ht="72" customHeight="1">
      <x:c r="A380" s="30" t="n">
        <x:v>4</x:v>
      </x:c>
      <x:c r="B380" s="30" t="str">
        <x:v>South Africa</x:v>
      </x:c>
      <x:c r="C380" s="30" t="str">
        <x:v>Paramount Group</x:v>
      </x:c>
      <x:c r="D380" s="30" t="str">
        <x:v>Marine/Naval</x:v>
      </x:c>
      <x:c r="E380" s="30" t="str">
        <x:v>24 m Sentinel</x:v>
      </x:c>
      <x:c r="F380" s="30" t="n">
        <x:v>1</x:v>
      </x:c>
      <x:c r="G380" s="30" t="str">
        <x:v>Present</x:v>
      </x:c>
      <x:c r="H380" s="30" t="str">
        <x:v>Present</x:v>
      </x:c>
      <x:c r="I380" s="30" t="str">
        <x:v>OK</x:v>
      </x:c>
    </x:row>
    <x:row r="381" ht="72" customHeight="1">
      <x:c r="A381" s="30" t="n">
        <x:v>4</x:v>
      </x:c>
      <x:c r="B381" s="30" t="str">
        <x:v>South Africa</x:v>
      </x:c>
      <x:c r="C381" s="30" t="str">
        <x:v>Paramount Group</x:v>
      </x:c>
      <x:c r="D381" s="30" t="str">
        <x:v>Marine/Naval</x:v>
      </x:c>
      <x:c r="E381" s="30" t="str">
        <x:v>35 m Sentinel</x:v>
      </x:c>
      <x:c r="F381" s="30" t="n">
        <x:v>2</x:v>
      </x:c>
      <x:c r="G381" s="30" t="str">
        <x:v>Present</x:v>
      </x:c>
      <x:c r="H381" s="30" t="str">
        <x:v>Present</x:v>
      </x:c>
      <x:c r="I381" s="30" t="str">
        <x:v>OK</x:v>
      </x:c>
    </x:row>
    <x:row r="382" ht="72" customHeight="1">
      <x:c r="A382" s="30" t="n">
        <x:v>4</x:v>
      </x:c>
      <x:c r="B382" s="30" t="str">
        <x:v>South Africa</x:v>
      </x:c>
      <x:c r="C382" s="30" t="str">
        <x:v>Paramount Group</x:v>
      </x:c>
      <x:c r="D382" s="30" t="str">
        <x:v>Marine/Naval</x:v>
      </x:c>
      <x:c r="E382" s="30" t="str">
        <x:v>42 m Frontier</x:v>
      </x:c>
      <x:c r="F382" s="30" t="n">
        <x:v>1</x:v>
      </x:c>
      <x:c r="G382" s="30" t="str">
        <x:v>Present</x:v>
      </x:c>
      <x:c r="H382" s="30" t="str">
        <x:v>Present</x:v>
      </x:c>
      <x:c r="I382" s="30" t="str">
        <x:v>OK</x:v>
      </x:c>
    </x:row>
    <x:row r="383" ht="72" customHeight="1">
      <x:c r="A383" s="30" t="n">
        <x:v>4</x:v>
      </x:c>
      <x:c r="B383" s="30" t="str">
        <x:v>South Africa</x:v>
      </x:c>
      <x:c r="C383" s="30" t="str">
        <x:v>Paramount Group</x:v>
      </x:c>
      <x:c r="D383" s="30" t="str">
        <x:v>Marine/Naval</x:v>
      </x:c>
      <x:c r="E383" s="30" t="str">
        <x:v>42 m Trimaran</x:v>
      </x:c>
      <x:c r="F383" s="30" t="n">
        <x:v>1</x:v>
      </x:c>
      <x:c r="G383" s="30" t="str">
        <x:v>Present</x:v>
      </x:c>
      <x:c r="H383" s="30" t="str">
        <x:v>Present</x:v>
      </x:c>
      <x:c r="I383" s="30" t="str">
        <x:v>OK</x:v>
      </x:c>
    </x:row>
    <x:row r="384" ht="72" customHeight="1">
      <x:c r="A384" s="30" t="n">
        <x:v>4</x:v>
      </x:c>
      <x:c r="B384" s="30" t="str">
        <x:v>South Africa</x:v>
      </x:c>
      <x:c r="C384" s="30" t="str">
        <x:v>Paramount Group</x:v>
      </x:c>
      <x:c r="D384" s="30" t="str">
        <x:v>Marine/Naval</x:v>
      </x:c>
      <x:c r="E384" s="30" t="str">
        <x:v>58 m Frontier</x:v>
      </x:c>
      <x:c r="F384" s="30" t="n">
        <x:v>1</x:v>
      </x:c>
      <x:c r="G384" s="30" t="str">
        <x:v>Present</x:v>
      </x:c>
      <x:c r="H384" s="30" t="str">
        <x:v>Present</x:v>
      </x:c>
      <x:c r="I384" s="30" t="str">
        <x:v>OK</x:v>
      </x:c>
    </x:row>
    <x:row r="385" ht="72" customHeight="1">
      <x:c r="A385" s="30" t="n">
        <x:v>4</x:v>
      </x:c>
      <x:c r="B385" s="30" t="str">
        <x:v>South Africa</x:v>
      </x:c>
      <x:c r="C385" s="30" t="str">
        <x:v>Paramount Group</x:v>
      </x:c>
      <x:c r="D385" s="30" t="str">
        <x:v>Marine/Naval</x:v>
      </x:c>
      <x:c r="E385" s="30" t="str">
        <x:v>70 m Frontier</x:v>
      </x:c>
      <x:c r="F385" s="30" t="n">
        <x:v>1</x:v>
      </x:c>
      <x:c r="G385" s="30" t="str">
        <x:v>Present</x:v>
      </x:c>
      <x:c r="H385" s="30" t="str">
        <x:v>Present</x:v>
      </x:c>
      <x:c r="I385" s="30" t="str">
        <x:v>OK</x:v>
      </x:c>
    </x:row>
    <x:row r="386" ht="72" customHeight="1">
      <x:c r="A386" s="30" t="n">
        <x:v>4</x:v>
      </x:c>
      <x:c r="B386" s="30" t="str">
        <x:v>South Africa</x:v>
      </x:c>
      <x:c r="C386" s="30" t="str">
        <x:v>Paramount Group</x:v>
      </x:c>
      <x:c r="D386" s="30" t="str">
        <x:v>Marine/Naval</x:v>
      </x:c>
      <x:c r="E386" s="30" t="str">
        <x:v>8.5 m Guardian</x:v>
      </x:c>
      <x:c r="F386" s="30" t="n">
        <x:v>2</x:v>
      </x:c>
      <x:c r="G386" s="30" t="str">
        <x:v>Present</x:v>
      </x:c>
      <x:c r="H386" s="30" t="str">
        <x:v>Present</x:v>
      </x:c>
      <x:c r="I386" s="30" t="str">
        <x:v>OK</x:v>
      </x:c>
    </x:row>
    <x:row r="387" ht="72" customHeight="1">
      <x:c r="A387" s="30" t="n">
        <x:v>4</x:v>
      </x:c>
      <x:c r="B387" s="30" t="str">
        <x:v>South Africa</x:v>
      </x:c>
      <x:c r="C387" s="30" t="str">
        <x:v>Paramount Group</x:v>
      </x:c>
      <x:c r="D387" s="30" t="str">
        <x:v>UAVs/Drones</x:v>
      </x:c>
      <x:c r="E387" s="30" t="str">
        <x:v>N-Raven Loitering Munition</x:v>
      </x:c>
      <x:c r="F387" s="30" t="n">
        <x:v>2</x:v>
      </x:c>
      <x:c r="G387" s="30" t="str">
        <x:v>Present</x:v>
      </x:c>
      <x:c r="H387" s="30" t="str">
        <x:v>Present</x:v>
      </x:c>
      <x:c r="I387" s="30" t="str">
        <x:v>OK</x:v>
      </x:c>
    </x:row>
    <x:row r="388" ht="72" customHeight="1">
      <x:c r="A388" s="30" t="n">
        <x:v>4</x:v>
      </x:c>
      <x:c r="B388" s="30" t="str">
        <x:v>Canada</x:v>
      </x:c>
      <x:c r="C388" s="30" t="str">
        <x:v>Roshel</x:v>
      </x:c>
      <x:c r="D388" s="30" t="str">
        <x:v>Protected Vehicles</x:v>
      </x:c>
      <x:c r="E388" s="30" t="str">
        <x:v>Captain APC</x:v>
      </x:c>
      <x:c r="F388" s="30" t="n">
        <x:v>1</x:v>
      </x:c>
      <x:c r="G388" s="30" t="str">
        <x:v>Present</x:v>
      </x:c>
      <x:c r="H388" s="30" t="str">
        <x:v>Present</x:v>
      </x:c>
      <x:c r="I388" s="30" t="str">
        <x:v>OK</x:v>
      </x:c>
    </x:row>
    <x:row r="389" ht="72" customHeight="1">
      <x:c r="A389" s="30" t="n">
        <x:v>4</x:v>
      </x:c>
      <x:c r="B389" s="30" t="str">
        <x:v>Canada</x:v>
      </x:c>
      <x:c r="C389" s="30" t="str">
        <x:v>Roshel</x:v>
      </x:c>
      <x:c r="D389" s="30" t="str">
        <x:v>Protected Vehicles</x:v>
      </x:c>
      <x:c r="E389" s="30" t="str">
        <x:v>Senator APC</x:v>
      </x:c>
      <x:c r="F389" s="30" t="n">
        <x:v>3</x:v>
      </x:c>
      <x:c r="G389" s="30" t="str">
        <x:v>Present</x:v>
      </x:c>
      <x:c r="H389" s="30" t="str">
        <x:v>Present</x:v>
      </x:c>
      <x:c r="I389" s="30" t="str">
        <x:v>OK</x:v>
      </x:c>
    </x:row>
    <x:row r="390" ht="72" customHeight="1">
      <x:c r="A390" s="30" t="n">
        <x:v>4</x:v>
      </x:c>
      <x:c r="B390" s="30" t="str">
        <x:v>Canada</x:v>
      </x:c>
      <x:c r="C390" s="30" t="str">
        <x:v>Roshel</x:v>
      </x:c>
      <x:c r="D390" s="30" t="str">
        <x:v>Protected Vehicles</x:v>
      </x:c>
      <x:c r="E390" s="30" t="str">
        <x:v>Senator Counter-UAS</x:v>
      </x:c>
      <x:c r="F390" s="30" t="n">
        <x:v>1</x:v>
      </x:c>
      <x:c r="G390" s="30" t="str">
        <x:v>Present</x:v>
      </x:c>
      <x:c r="H390" s="30" t="str">
        <x:v>Present</x:v>
      </x:c>
      <x:c r="I390" s="30" t="str">
        <x:v>OK</x:v>
      </x:c>
    </x:row>
    <x:row r="391" ht="72" customHeight="1">
      <x:c r="A391" s="30" t="n">
        <x:v>4</x:v>
      </x:c>
      <x:c r="B391" s="30" t="str">
        <x:v>Canada</x:v>
      </x:c>
      <x:c r="C391" s="30" t="str">
        <x:v>Roshel</x:v>
      </x:c>
      <x:c r="D391" s="30" t="str">
        <x:v>Protected Vehicles</x:v>
      </x:c>
      <x:c r="E391" s="30" t="str">
        <x:v>Senator Emergency Response Vehicle (ERV)</x:v>
      </x:c>
      <x:c r="F391" s="30" t="n">
        <x:v>1</x:v>
      </x:c>
      <x:c r="G391" s="30" t="str">
        <x:v>Present</x:v>
      </x:c>
      <x:c r="H391" s="30" t="str">
        <x:v>Present</x:v>
      </x:c>
      <x:c r="I391" s="30" t="str">
        <x:v>OK</x:v>
      </x:c>
    </x:row>
    <x:row r="392" ht="72" customHeight="1">
      <x:c r="A392" s="30" t="n">
        <x:v>4</x:v>
      </x:c>
      <x:c r="B392" s="30" t="str">
        <x:v>Canada</x:v>
      </x:c>
      <x:c r="C392" s="30" t="str">
        <x:v>Roshel</x:v>
      </x:c>
      <x:c r="D392" s="30" t="str">
        <x:v>Protected Vehicles</x:v>
      </x:c>
      <x:c r="E392" s="30" t="str">
        <x:v>Senator Medevac</x:v>
      </x:c>
      <x:c r="F392" s="30" t="n">
        <x:v>1</x:v>
      </x:c>
      <x:c r="G392" s="30" t="str">
        <x:v>Present</x:v>
      </x:c>
      <x:c r="H392" s="30" t="str">
        <x:v>Present</x:v>
      </x:c>
      <x:c r="I392" s="30" t="str">
        <x:v>OK</x:v>
      </x:c>
    </x:row>
    <x:row r="393" ht="72" customHeight="1">
      <x:c r="A393" s="30" t="n">
        <x:v>4</x:v>
      </x:c>
      <x:c r="B393" s="30" t="str">
        <x:v>Canada</x:v>
      </x:c>
      <x:c r="C393" s="30" t="str">
        <x:v>Roshel</x:v>
      </x:c>
      <x:c r="D393" s="30" t="str">
        <x:v>Protected Vehicles</x:v>
      </x:c>
      <x:c r="E393" s="30" t="str">
        <x:v>Senator MRAP</x:v>
      </x:c>
      <x:c r="F393" s="30" t="n">
        <x:v>5</x:v>
      </x:c>
      <x:c r="G393" s="30" t="str">
        <x:v>Present</x:v>
      </x:c>
      <x:c r="H393" s="30" t="str">
        <x:v>Present</x:v>
      </x:c>
      <x:c r="I393" s="30" t="str">
        <x:v>Limited/configuration-dependent public specifications</x:v>
      </x:c>
    </x:row>
    <x:row r="394" ht="72" customHeight="1">
      <x:c r="A394" s="30" t="n">
        <x:v>4</x:v>
      </x:c>
      <x:c r="B394" s="30" t="str">
        <x:v>Canada</x:v>
      </x:c>
      <x:c r="C394" s="30" t="str">
        <x:v>Roshel</x:v>
      </x:c>
      <x:c r="D394" s="30" t="str">
        <x:v>Protected Vehicles</x:v>
      </x:c>
      <x:c r="E394" s="30" t="str">
        <x:v>Senator Pickup</x:v>
      </x:c>
      <x:c r="F394" s="30" t="n">
        <x:v>1</x:v>
      </x:c>
      <x:c r="G394" s="30" t="str">
        <x:v>Present</x:v>
      </x:c>
      <x:c r="H394" s="30" t="str">
        <x:v>Present</x:v>
      </x:c>
      <x:c r="I394" s="30" t="str">
        <x:v>OK</x:v>
      </x:c>
    </x:row>
    <x:row r="395" ht="72" customHeight="1">
      <x:c r="A395" s="30" t="n">
        <x:v>4</x:v>
      </x:c>
      <x:c r="B395" s="30" t="str">
        <x:v>Canada</x:v>
      </x:c>
      <x:c r="C395" s="30" t="str">
        <x:v>Roshel</x:v>
      </x:c>
      <x:c r="D395" s="30" t="str">
        <x:v>Protected Vehicles</x:v>
      </x:c>
      <x:c r="E395" s="30" t="str">
        <x:v>Senator RAM MRAP</x:v>
      </x:c>
      <x:c r="F395" s="30" t="n">
        <x:v>1</x:v>
      </x:c>
      <x:c r="G395" s="30" t="str">
        <x:v>Present</x:v>
      </x:c>
      <x:c r="H395" s="30" t="str">
        <x:v>Present</x:v>
      </x:c>
      <x:c r="I395" s="30" t="str">
        <x:v>OK</x:v>
      </x:c>
    </x:row>
    <x:row r="396" ht="72" customHeight="1">
      <x:c r="A396" s="30" t="n">
        <x:v>4</x:v>
      </x:c>
      <x:c r="B396" s="30" t="str">
        <x:v>Italy</x:v>
      </x:c>
      <x:c r="C396" s="30" t="str">
        <x:v>IDV (Iveco Defence)</x:v>
      </x:c>
      <x:c r="D396" s="30" t="str">
        <x:v>Protected Vehicles</x:v>
      </x:c>
      <x:c r="E396" s="30" t="str">
        <x:v>Ariete C2</x:v>
      </x:c>
      <x:c r="F396" s="30" t="n">
        <x:v>2</x:v>
      </x:c>
      <x:c r="G396" s="30" t="str">
        <x:v>Present</x:v>
      </x:c>
      <x:c r="H396" s="30" t="str">
        <x:v>Present</x:v>
      </x:c>
      <x:c r="I396" s="30" t="str">
        <x:v>OK</x:v>
      </x:c>
    </x:row>
    <x:row r="397" ht="72" customHeight="1">
      <x:c r="A397" s="30" t="n">
        <x:v>4</x:v>
      </x:c>
      <x:c r="B397" s="30" t="str">
        <x:v>Italy</x:v>
      </x:c>
      <x:c r="C397" s="30" t="str">
        <x:v>IDV (Iveco Defence)</x:v>
      </x:c>
      <x:c r="D397" s="30" t="str">
        <x:v>Protected Vehicles</x:v>
      </x:c>
      <x:c r="E397" s="30" t="str">
        <x:v>Centauro II</x:v>
      </x:c>
      <x:c r="F397" s="30" t="n">
        <x:v>1</x:v>
      </x:c>
      <x:c r="G397" s="30" t="str">
        <x:v>Present</x:v>
      </x:c>
      <x:c r="H397" s="30" t="str">
        <x:v>Present</x:v>
      </x:c>
      <x:c r="I397" s="30" t="str">
        <x:v>OK</x:v>
      </x:c>
    </x:row>
    <x:row r="398" ht="72" customHeight="1">
      <x:c r="A398" s="30" t="n">
        <x:v>4</x:v>
      </x:c>
      <x:c r="B398" s="30" t="str">
        <x:v>Italy</x:v>
      </x:c>
      <x:c r="C398" s="30" t="str">
        <x:v>IDV (Iveco Defence)</x:v>
      </x:c>
      <x:c r="D398" s="30" t="str">
        <x:v>Protected Vehicles</x:v>
      </x:c>
      <x:c r="E398" s="30" t="str">
        <x:v>Guarani 6×6</x:v>
      </x:c>
      <x:c r="F398" s="30" t="n">
        <x:v>3</x:v>
      </x:c>
      <x:c r="G398" s="30" t="str">
        <x:v>Present</x:v>
      </x:c>
      <x:c r="H398" s="30" t="str">
        <x:v>Present</x:v>
      </x:c>
      <x:c r="I398" s="30" t="str">
        <x:v>OK</x:v>
      </x:c>
    </x:row>
    <x:row r="399" ht="72" customHeight="1">
      <x:c r="A399" s="30" t="n">
        <x:v>4</x:v>
      </x:c>
      <x:c r="B399" s="30" t="str">
        <x:v>Italy</x:v>
      </x:c>
      <x:c r="C399" s="30" t="str">
        <x:v>IDV (Iveco Defence)</x:v>
      </x:c>
      <x:c r="D399" s="30" t="str">
        <x:v>Protected Vehicles</x:v>
      </x:c>
      <x:c r="E399" s="30" t="str">
        <x:v>LMV2</x:v>
      </x:c>
      <x:c r="F399" s="30" t="n">
        <x:v>1</x:v>
      </x:c>
      <x:c r="G399" s="30" t="str">
        <x:v>Present</x:v>
      </x:c>
      <x:c r="H399" s="30" t="str">
        <x:v>Present</x:v>
      </x:c>
      <x:c r="I399" s="30" t="str">
        <x:v>OK</x:v>
      </x:c>
    </x:row>
    <x:row r="400" ht="72" customHeight="1">
      <x:c r="A400" s="30" t="n">
        <x:v>4</x:v>
      </x:c>
      <x:c r="B400" s="30" t="str">
        <x:v>Italy</x:v>
      </x:c>
      <x:c r="C400" s="30" t="str">
        <x:v>IDV (Iveco Defence)</x:v>
      </x:c>
      <x:c r="D400" s="30" t="str">
        <x:v>Protected Vehicles</x:v>
      </x:c>
      <x:c r="E400" s="30" t="str">
        <x:v>MTV Medium Tactical Vehicle</x:v>
      </x:c>
      <x:c r="F400" s="30" t="n">
        <x:v>2</x:v>
      </x:c>
      <x:c r="G400" s="30" t="str">
        <x:v>Present</x:v>
      </x:c>
      <x:c r="H400" s="30" t="str">
        <x:v>Present</x:v>
      </x:c>
      <x:c r="I400" s="30" t="str">
        <x:v>OK</x:v>
      </x:c>
    </x:row>
    <x:row r="401" ht="72" customHeight="1">
      <x:c r="A401" s="30" t="n">
        <x:v>4</x:v>
      </x:c>
      <x:c r="B401" s="30" t="str">
        <x:v>Italy</x:v>
      </x:c>
      <x:c r="C401" s="30" t="str">
        <x:v>IDV (Iveco Defence)</x:v>
      </x:c>
      <x:c r="D401" s="30" t="str">
        <x:v>Protected Vehicles</x:v>
      </x:c>
      <x:c r="E401" s="30" t="str">
        <x:v>MUV 4×4</x:v>
      </x:c>
      <x:c r="F401" s="30" t="n">
        <x:v>3</x:v>
      </x:c>
      <x:c r="G401" s="30" t="str">
        <x:v>Present</x:v>
      </x:c>
      <x:c r="H401" s="30" t="str">
        <x:v>Present</x:v>
      </x:c>
      <x:c r="I401" s="30" t="str">
        <x:v>OK</x:v>
      </x:c>
    </x:row>
    <x:row r="402" ht="72" customHeight="1">
      <x:c r="A402" s="30" t="n">
        <x:v>4</x:v>
      </x:c>
      <x:c r="B402" s="30" t="str">
        <x:v>Italy</x:v>
      </x:c>
      <x:c r="C402" s="30" t="str">
        <x:v>IDV (Iveco Defence)</x:v>
      </x:c>
      <x:c r="D402" s="30" t="str">
        <x:v>Protected Vehicles</x:v>
      </x:c>
      <x:c r="E402" s="30" t="str">
        <x:v>SuperAV Amphibious / VBA</x:v>
      </x:c>
      <x:c r="F402" s="30" t="n">
        <x:v>2</x:v>
      </x:c>
      <x:c r="G402" s="30" t="str">
        <x:v>Present</x:v>
      </x:c>
      <x:c r="H402" s="30" t="str">
        <x:v>Present</x:v>
      </x:c>
      <x:c r="I402" s="30" t="str">
        <x:v>OK</x:v>
      </x:c>
    </x:row>
    <x:row r="403" ht="72" customHeight="1">
      <x:c r="A403" s="30" t="n">
        <x:v>4</x:v>
      </x:c>
      <x:c r="B403" s="30" t="str">
        <x:v>Italy</x:v>
      </x:c>
      <x:c r="C403" s="30" t="str">
        <x:v>IDV (Iveco Defence)</x:v>
      </x:c>
      <x:c r="D403" s="30" t="str">
        <x:v>Protected Vehicles</x:v>
      </x:c>
      <x:c r="E403" s="30" t="str">
        <x:v>SuperAV Land</x:v>
      </x:c>
      <x:c r="F403" s="30" t="n">
        <x:v>1</x:v>
      </x:c>
      <x:c r="G403" s="30" t="str">
        <x:v>Present</x:v>
      </x:c>
      <x:c r="H403" s="30" t="str">
        <x:v>Present</x:v>
      </x:c>
      <x:c r="I403" s="30" t="str">
        <x:v>OK</x:v>
      </x:c>
    </x:row>
    <x:row r="404" ht="72" customHeight="1">
      <x:c r="A404" s="30" t="n">
        <x:v>4</x:v>
      </x:c>
      <x:c r="B404" s="30" t="str">
        <x:v>Italy</x:v>
      </x:c>
      <x:c r="C404" s="30" t="str">
        <x:v>IDV (Iveco Defence)</x:v>
      </x:c>
      <x:c r="D404" s="30" t="str">
        <x:v>Protected Vehicles</x:v>
      </x:c>
      <x:c r="E404" s="30" t="str">
        <x:v>VBM Freccia AIFV / ATGM</x:v>
      </x:c>
      <x:c r="F404" s="30" t="n">
        <x:v>1</x:v>
      </x:c>
      <x:c r="G404" s="30" t="str">
        <x:v>Present</x:v>
      </x:c>
      <x:c r="H404" s="30" t="str">
        <x:v>Present</x:v>
      </x:c>
      <x:c r="I404" s="30" t="str">
        <x:v>OK</x:v>
      </x:c>
    </x:row>
    <x:row r="405" ht="72" customHeight="1">
      <x:c r="A405" s="30" t="n">
        <x:v>4</x:v>
      </x:c>
      <x:c r="B405" s="30" t="str">
        <x:v>India</x:v>
      </x:c>
      <x:c r="C405" s="30" t="str">
        <x:v>PLR Systems (IWI+Adani)</x:v>
      </x:c>
      <x:c r="D405" s="30" t="str">
        <x:v>Small Arms</x:v>
      </x:c>
      <x:c r="E405" s="30" t="str">
        <x:v>GALIL ACE 31</x:v>
      </x:c>
      <x:c r="F405" s="30" t="n">
        <x:v>1</x:v>
      </x:c>
      <x:c r="G405" s="30" t="str">
        <x:v>Present</x:v>
      </x:c>
      <x:c r="H405" s="30" t="str">
        <x:v>Present</x:v>
      </x:c>
      <x:c r="I405" s="30" t="str">
        <x:v>OK</x:v>
      </x:c>
    </x:row>
    <x:row r="406" ht="72" customHeight="1">
      <x:c r="A406" s="30" t="n">
        <x:v>4</x:v>
      </x:c>
      <x:c r="B406" s="30" t="str">
        <x:v>India</x:v>
      </x:c>
      <x:c r="C406" s="30" t="str">
        <x:v>PLR Systems (IWI+Adani)</x:v>
      </x:c>
      <x:c r="D406" s="30" t="str">
        <x:v>Small Arms</x:v>
      </x:c>
      <x:c r="E406" s="30" t="str">
        <x:v>GALIL ACE 32</x:v>
      </x:c>
      <x:c r="F406" s="30" t="n">
        <x:v>1</x:v>
      </x:c>
      <x:c r="G406" s="30" t="str">
        <x:v>Present</x:v>
      </x:c>
      <x:c r="H406" s="30" t="str">
        <x:v>Present</x:v>
      </x:c>
      <x:c r="I406" s="30" t="str">
        <x:v>OK</x:v>
      </x:c>
    </x:row>
    <x:row r="407" ht="72" customHeight="1">
      <x:c r="A407" s="30" t="n">
        <x:v>4</x:v>
      </x:c>
      <x:c r="B407" s="30" t="str">
        <x:v>India</x:v>
      </x:c>
      <x:c r="C407" s="30" t="str">
        <x:v>PLR Systems (IWI+Adani)</x:v>
      </x:c>
      <x:c r="D407" s="30" t="str">
        <x:v>Small Arms</x:v>
      </x:c>
      <x:c r="E407" s="30" t="str">
        <x:v>GALIL Sniper S.A.</x:v>
      </x:c>
      <x:c r="F407" s="30" t="n">
        <x:v>5</x:v>
      </x:c>
      <x:c r="G407" s="30" t="str">
        <x:v>Present</x:v>
      </x:c>
      <x:c r="H407" s="30" t="str">
        <x:v>Present</x:v>
      </x:c>
      <x:c r="I407" s="30" t="str">
        <x:v>OK</x:v>
      </x:c>
    </x:row>
    <x:row r="408" ht="72" customHeight="1">
      <x:c r="A408" s="30" t="n">
        <x:v>4</x:v>
      </x:c>
      <x:c r="B408" s="30" t="str">
        <x:v>India</x:v>
      </x:c>
      <x:c r="C408" s="30" t="str">
        <x:v>PLR Systems (IWI+Adani)</x:v>
      </x:c>
      <x:c r="D408" s="30" t="str">
        <x:v>Small Arms</x:v>
      </x:c>
      <x:c r="E408" s="30" t="str">
        <x:v>IWI CQB Carbine / PLR Jeet programme</x:v>
      </x:c>
      <x:c r="F408" s="30" t="n">
        <x:v>3</x:v>
      </x:c>
      <x:c r="G408" s="30" t="str">
        <x:v>Present</x:v>
      </x:c>
      <x:c r="H408" s="30" t="str">
        <x:v>Present</x:v>
      </x:c>
      <x:c r="I408" s="30" t="str">
        <x:v>Limited/configuration-dependent public specifications</x:v>
      </x:c>
    </x:row>
    <x:row r="409" ht="72" customHeight="1">
      <x:c r="A409" s="30" t="n">
        <x:v>4</x:v>
      </x:c>
      <x:c r="B409" s="30" t="str">
        <x:v>India</x:v>
      </x:c>
      <x:c r="C409" s="30" t="str">
        <x:v>PLR Systems (IWI+Adani)</x:v>
      </x:c>
      <x:c r="D409" s="30" t="str">
        <x:v>Small Arms</x:v>
      </x:c>
      <x:c r="E409" s="30" t="str">
        <x:v>MASADA 9 mm Pistol</x:v>
      </x:c>
      <x:c r="F409" s="30" t="n">
        <x:v>2</x:v>
      </x:c>
      <x:c r="G409" s="30" t="str">
        <x:v>Present</x:v>
      </x:c>
      <x:c r="H409" s="30" t="str">
        <x:v>Present</x:v>
      </x:c>
      <x:c r="I409" s="30" t="str">
        <x:v>OK</x:v>
      </x:c>
    </x:row>
    <x:row r="410" ht="72" customHeight="1">
      <x:c r="A410" s="30" t="n">
        <x:v>4</x:v>
      </x:c>
      <x:c r="B410" s="30" t="str">
        <x:v>India</x:v>
      </x:c>
      <x:c r="C410" s="30" t="str">
        <x:v>PLR Systems (IWI+Adani)</x:v>
      </x:c>
      <x:c r="D410" s="30" t="str">
        <x:v>Small Arms</x:v>
      </x:c>
      <x:c r="E410" s="30" t="str">
        <x:v>NEGEV 5.56 LMG</x:v>
      </x:c>
      <x:c r="F410" s="30" t="n">
        <x:v>2</x:v>
      </x:c>
      <x:c r="G410" s="30" t="str">
        <x:v>Present</x:v>
      </x:c>
      <x:c r="H410" s="30" t="str">
        <x:v>Present</x:v>
      </x:c>
      <x:c r="I410" s="30" t="str">
        <x:v>OK</x:v>
      </x:c>
    </x:row>
    <x:row r="411" ht="72" customHeight="1">
      <x:c r="A411" s="30" t="n">
        <x:v>4</x:v>
      </x:c>
      <x:c r="B411" s="30" t="str">
        <x:v>India</x:v>
      </x:c>
      <x:c r="C411" s="30" t="str">
        <x:v>PLR Systems (IWI+Adani)</x:v>
      </x:c>
      <x:c r="D411" s="30" t="str">
        <x:v>Small Arms</x:v>
      </x:c>
      <x:c r="E411" s="30" t="str">
        <x:v>NEGEV NG-7 / Prahar LMG</x:v>
      </x:c>
      <x:c r="F411" s="30" t="n">
        <x:v>6</x:v>
      </x:c>
      <x:c r="G411" s="30" t="str">
        <x:v>Present</x:v>
      </x:c>
      <x:c r="H411" s="30" t="str">
        <x:v>Present</x:v>
      </x:c>
      <x:c r="I411" s="30" t="str">
        <x:v>OK</x:v>
      </x:c>
    </x:row>
    <x:row r="412" ht="72" customHeight="1">
      <x:c r="A412" s="30" t="n">
        <x:v>4</x:v>
      </x:c>
      <x:c r="B412" s="30" t="str">
        <x:v>India</x:v>
      </x:c>
      <x:c r="C412" s="30" t="str">
        <x:v>PLR Systems (IWI+Adani)</x:v>
      </x:c>
      <x:c r="D412" s="30" t="str">
        <x:v>Small Arms</x:v>
      </x:c>
      <x:c r="E412" s="30" t="str">
        <x:v>TAVOR 7</x:v>
      </x:c>
      <x:c r="F412" s="30" t="n">
        <x:v>2</x:v>
      </x:c>
      <x:c r="G412" s="30" t="str">
        <x:v>Present</x:v>
      </x:c>
      <x:c r="H412" s="30" t="str">
        <x:v>Present</x:v>
      </x:c>
      <x:c r="I412" s="30" t="str">
        <x:v>OK</x:v>
      </x:c>
    </x:row>
    <x:row r="413" ht="72" customHeight="1">
      <x:c r="A413" s="30" t="n">
        <x:v>4</x:v>
      </x:c>
      <x:c r="B413" s="30" t="str">
        <x:v>India</x:v>
      </x:c>
      <x:c r="C413" s="30" t="str">
        <x:v>PLR Systems (IWI+Adani)</x:v>
      </x:c>
      <x:c r="D413" s="30" t="str">
        <x:v>Small Arms</x:v>
      </x:c>
      <x:c r="E413" s="30" t="str">
        <x:v>TAVOR TAR-21 / TAVOR TAR Flattop</x:v>
      </x:c>
      <x:c r="F413" s="30" t="n">
        <x:v>6</x:v>
      </x:c>
      <x:c r="G413" s="30" t="str">
        <x:v>Present</x:v>
      </x:c>
      <x:c r="H413" s="30" t="str">
        <x:v>Present</x:v>
      </x:c>
      <x:c r="I413" s="30" t="str">
        <x:v>OK</x:v>
      </x:c>
    </x:row>
    <x:row r="414" ht="72" customHeight="1">
      <x:c r="A414" s="30" t="n">
        <x:v>4</x:v>
      </x:c>
      <x:c r="B414" s="30" t="str">
        <x:v>India</x:v>
      </x:c>
      <x:c r="C414" s="30" t="str">
        <x:v>PLR Systems (IWI+Adani)</x:v>
      </x:c>
      <x:c r="D414" s="30" t="str">
        <x:v>Small Arms</x:v>
      </x:c>
      <x:c r="E414" s="30" t="str">
        <x:v>UZI PRO SMG</x:v>
      </x:c>
      <x:c r="F414" s="30" t="n">
        <x:v>5</x:v>
      </x:c>
      <x:c r="G414" s="30" t="str">
        <x:v>Present</x:v>
      </x:c>
      <x:c r="H414" s="30" t="str">
        <x:v>Present</x:v>
      </x:c>
      <x:c r="I414" s="30" t="str">
        <x:v>OK</x:v>
      </x:c>
    </x:row>
    <x:row r="415" ht="72" customHeight="1">
      <x:c r="A415" s="30" t="n">
        <x:v>4</x:v>
      </x:c>
      <x:c r="B415" s="30" t="str">
        <x:v>India</x:v>
      </x:c>
      <x:c r="C415" s="30" t="str">
        <x:v>PLR Systems (IWI+Adani)</x:v>
      </x:c>
      <x:c r="D415" s="30" t="str">
        <x:v>Small Arms</x:v>
      </x:c>
      <x:c r="E415" s="30" t="str">
        <x:v>X95 Flattop 419</x:v>
      </x:c>
      <x:c r="F415" s="30" t="n">
        <x:v>5</x:v>
      </x:c>
      <x:c r="G415" s="30" t="str">
        <x:v>Present</x:v>
      </x:c>
      <x:c r="H415" s="30" t="str">
        <x:v>Present</x:v>
      </x:c>
      <x:c r="I415" s="30" t="str">
        <x:v>OK</x:v>
      </x:c>
    </x:row>
    <x:row r="416" ht="72" customHeight="1">
      <x:c r="A416" s="30" t="n">
        <x:v>5</x:v>
      </x:c>
      <x:c r="B416" s="30" t="str">
        <x:v>Russia</x:v>
      </x:c>
      <x:c r="C416" s="30" t="str">
        <x:v>Kalashnikov Concern</x:v>
      </x:c>
      <x:c r="D416" s="30" t="str">
        <x:v>Small Arms</x:v>
      </x:c>
      <x:c r="E416" s="30" t="str">
        <x:v>AK-12</x:v>
      </x:c>
      <x:c r="F416" s="30" t="n">
        <x:v>6</x:v>
      </x:c>
      <x:c r="G416" s="30" t="str">
        <x:v>Present</x:v>
      </x:c>
      <x:c r="H416" s="30" t="str">
        <x:v>Present</x:v>
      </x:c>
      <x:c r="I416" s="30" t="str">
        <x:v>OK</x:v>
      </x:c>
    </x:row>
    <x:row r="417" ht="72" customHeight="1">
      <x:c r="A417" s="30" t="n">
        <x:v>5</x:v>
      </x:c>
      <x:c r="B417" s="30" t="str">
        <x:v>Russia</x:v>
      </x:c>
      <x:c r="C417" s="30" t="str">
        <x:v>Kalashnikov Concern</x:v>
      </x:c>
      <x:c r="D417" s="30" t="str">
        <x:v>Small Arms</x:v>
      </x:c>
      <x:c r="E417" s="30" t="str">
        <x:v>AK-15</x:v>
      </x:c>
      <x:c r="F417" s="30" t="n">
        <x:v>5</x:v>
      </x:c>
      <x:c r="G417" s="30" t="str">
        <x:v>Present</x:v>
      </x:c>
      <x:c r="H417" s="30" t="str">
        <x:v>Present</x:v>
      </x:c>
      <x:c r="I417" s="30" t="str">
        <x:v>OK</x:v>
      </x:c>
    </x:row>
    <x:row r="418" ht="72" customHeight="1">
      <x:c r="A418" s="30" t="n">
        <x:v>5</x:v>
      </x:c>
      <x:c r="B418" s="30" t="str">
        <x:v>Russia</x:v>
      </x:c>
      <x:c r="C418" s="30" t="str">
        <x:v>Kalashnikov Concern</x:v>
      </x:c>
      <x:c r="D418" s="30" t="str">
        <x:v>Small Arms</x:v>
      </x:c>
      <x:c r="E418" s="30" t="str">
        <x:v>AK-19</x:v>
      </x:c>
      <x:c r="F418" s="30" t="n">
        <x:v>3</x:v>
      </x:c>
      <x:c r="G418" s="30" t="str">
        <x:v>Present</x:v>
      </x:c>
      <x:c r="H418" s="30" t="str">
        <x:v>Present</x:v>
      </x:c>
      <x:c r="I418" s="30" t="str">
        <x:v>OK</x:v>
      </x:c>
    </x:row>
    <x:row r="419" ht="72" customHeight="1">
      <x:c r="A419" s="30" t="n">
        <x:v>5</x:v>
      </x:c>
      <x:c r="B419" s="30" t="str">
        <x:v>Russia</x:v>
      </x:c>
      <x:c r="C419" s="30" t="str">
        <x:v>Kalashnikov Concern</x:v>
      </x:c>
      <x:c r="D419" s="30" t="str">
        <x:v>Small Arms</x:v>
      </x:c>
      <x:c r="E419" s="30" t="str">
        <x:v>AK-203</x:v>
      </x:c>
      <x:c r="F419" s="30" t="n">
        <x:v>2</x:v>
      </x:c>
      <x:c r="G419" s="30" t="str">
        <x:v>Present</x:v>
      </x:c>
      <x:c r="H419" s="30" t="str">
        <x:v>Present</x:v>
      </x:c>
      <x:c r="I419" s="30" t="str">
        <x:v>OK</x:v>
      </x:c>
    </x:row>
    <x:row r="420" ht="72" customHeight="1">
      <x:c r="A420" s="30" t="n">
        <x:v>5</x:v>
      </x:c>
      <x:c r="B420" s="30" t="str">
        <x:v>Russia</x:v>
      </x:c>
      <x:c r="C420" s="30" t="str">
        <x:v>Kalashnikov Concern</x:v>
      </x:c>
      <x:c r="D420" s="30" t="str">
        <x:v>Small Arms</x:v>
      </x:c>
      <x:c r="E420" s="30" t="str">
        <x:v>AK-308</x:v>
      </x:c>
      <x:c r="F420" s="30" t="n">
        <x:v>4</x:v>
      </x:c>
      <x:c r="G420" s="30" t="str">
        <x:v>Present</x:v>
      </x:c>
      <x:c r="H420" s="30" t="str">
        <x:v>Present</x:v>
      </x:c>
      <x:c r="I420" s="30" t="str">
        <x:v>OK</x:v>
      </x:c>
    </x:row>
    <x:row r="421" ht="72" customHeight="1">
      <x:c r="A421" s="30" t="n">
        <x:v>5</x:v>
      </x:c>
      <x:c r="B421" s="30" t="str">
        <x:v>Russia</x:v>
      </x:c>
      <x:c r="C421" s="30" t="str">
        <x:v>Kalashnikov Concern</x:v>
      </x:c>
      <x:c r="D421" s="30" t="str">
        <x:v>Small Arms</x:v>
      </x:c>
      <x:c r="E421" s="30" t="str">
        <x:v>KORD 12.7 mm</x:v>
      </x:c>
      <x:c r="F421" s="30" t="n">
        <x:v>3</x:v>
      </x:c>
      <x:c r="G421" s="30" t="str">
        <x:v>Present</x:v>
      </x:c>
      <x:c r="H421" s="30" t="str">
        <x:v>Present</x:v>
      </x:c>
      <x:c r="I421" s="30" t="str">
        <x:v>OK</x:v>
      </x:c>
    </x:row>
    <x:row r="422" ht="72" customHeight="1">
      <x:c r="A422" s="30" t="n">
        <x:v>5</x:v>
      </x:c>
      <x:c r="B422" s="30" t="str">
        <x:v>Russia</x:v>
      </x:c>
      <x:c r="C422" s="30" t="str">
        <x:v>Kalashnikov Concern</x:v>
      </x:c>
      <x:c r="D422" s="30" t="str">
        <x:v>Small Arms</x:v>
      </x:c>
      <x:c r="E422" s="30" t="str">
        <x:v>Lebedev PL-15 / PLK Family</x:v>
      </x:c>
      <x:c r="F422" s="30" t="n">
        <x:v>2</x:v>
      </x:c>
      <x:c r="G422" s="30" t="str">
        <x:v>Present</x:v>
      </x:c>
      <x:c r="H422" s="30" t="str">
        <x:v>Present</x:v>
      </x:c>
      <x:c r="I422" s="30" t="str">
        <x:v>Family/system/component-level entry — review if exact-model-only view is needed</x:v>
      </x:c>
    </x:row>
    <x:row r="423" ht="72" customHeight="1">
      <x:c r="A423" s="30" t="n">
        <x:v>5</x:v>
      </x:c>
      <x:c r="B423" s="30" t="str">
        <x:v>Russia</x:v>
      </x:c>
      <x:c r="C423" s="30" t="str">
        <x:v>Kalashnikov Concern</x:v>
      </x:c>
      <x:c r="D423" s="30" t="str">
        <x:v>Small Arms</x:v>
      </x:c>
      <x:c r="E423" s="30" t="str">
        <x:v>PLK Pistol</x:v>
      </x:c>
      <x:c r="F423" s="30" t="n">
        <x:v>2</x:v>
      </x:c>
      <x:c r="G423" s="30" t="str">
        <x:v>Present</x:v>
      </x:c>
      <x:c r="H423" s="30" t="str">
        <x:v>Present</x:v>
      </x:c>
      <x:c r="I423" s="30" t="str">
        <x:v>OK</x:v>
      </x:c>
    </x:row>
    <x:row r="424" ht="72" customHeight="1">
      <x:c r="A424" s="30" t="n">
        <x:v>5</x:v>
      </x:c>
      <x:c r="B424" s="30" t="str">
        <x:v>Russia</x:v>
      </x:c>
      <x:c r="C424" s="30" t="str">
        <x:v>Kalashnikov Concern</x:v>
      </x:c>
      <x:c r="D424" s="30" t="str">
        <x:v>Small Arms</x:v>
      </x:c>
      <x:c r="E424" s="30" t="str">
        <x:v>PPK-20</x:v>
      </x:c>
      <x:c r="F424" s="30" t="n">
        <x:v>1</x:v>
      </x:c>
      <x:c r="G424" s="30" t="str">
        <x:v>Present</x:v>
      </x:c>
      <x:c r="H424" s="30" t="str">
        <x:v>Present</x:v>
      </x:c>
      <x:c r="I424" s="30" t="str">
        <x:v>OK</x:v>
      </x:c>
    </x:row>
    <x:row r="425" ht="72" customHeight="1">
      <x:c r="A425" s="30" t="n">
        <x:v>5</x:v>
      </x:c>
      <x:c r="B425" s="30" t="str">
        <x:v>Russia</x:v>
      </x:c>
      <x:c r="C425" s="30" t="str">
        <x:v>Kalashnikov Concern</x:v>
      </x:c>
      <x:c r="D425" s="30" t="str">
        <x:v>Small Arms</x:v>
      </x:c>
      <x:c r="E425" s="30" t="str">
        <x:v>RPK-16</x:v>
      </x:c>
      <x:c r="F425" s="30" t="n">
        <x:v>2</x:v>
      </x:c>
      <x:c r="G425" s="30" t="str">
        <x:v>Present</x:v>
      </x:c>
      <x:c r="H425" s="30" t="str">
        <x:v>Present</x:v>
      </x:c>
      <x:c r="I425" s="30" t="str">
        <x:v>OK</x:v>
      </x:c>
    </x:row>
    <x:row r="426" ht="72" customHeight="1">
      <x:c r="A426" s="30" t="n">
        <x:v>5</x:v>
      </x:c>
      <x:c r="B426" s="30" t="str">
        <x:v>Russia</x:v>
      </x:c>
      <x:c r="C426" s="30" t="str">
        <x:v>Kalashnikov Concern</x:v>
      </x:c>
      <x:c r="D426" s="30" t="str">
        <x:v>Small Arms</x:v>
      </x:c>
      <x:c r="E426" s="30" t="str">
        <x:v>RPL-20</x:v>
      </x:c>
      <x:c r="F426" s="30" t="n">
        <x:v>3</x:v>
      </x:c>
      <x:c r="G426" s="30" t="str">
        <x:v>Present</x:v>
      </x:c>
      <x:c r="H426" s="30" t="str">
        <x:v>Present</x:v>
      </x:c>
      <x:c r="I426" s="30" t="str">
        <x:v>OK</x:v>
      </x:c>
    </x:row>
    <x:row r="427" ht="72" customHeight="1">
      <x:c r="A427" s="30" t="n">
        <x:v>5</x:v>
      </x:c>
      <x:c r="B427" s="30" t="str">
        <x:v>Russia</x:v>
      </x:c>
      <x:c r="C427" s="30" t="str">
        <x:v>Kalashnikov Concern</x:v>
      </x:c>
      <x:c r="D427" s="30" t="str">
        <x:v>Small Arms</x:v>
      </x:c>
      <x:c r="E427" s="30" t="str">
        <x:v>SVCh Chukavin Sniper Rifle</x:v>
      </x:c>
      <x:c r="F427" s="30" t="n">
        <x:v>1</x:v>
      </x:c>
      <x:c r="G427" s="30" t="str">
        <x:v>Present</x:v>
      </x:c>
      <x:c r="H427" s="30" t="str">
        <x:v>Present</x:v>
      </x:c>
      <x:c r="I427" s="30" t="str">
        <x:v>OK</x:v>
      </x:c>
    </x:row>
    <x:row r="428" ht="72" customHeight="1">
      <x:c r="A428" s="30" t="n">
        <x:v>5</x:v>
      </x:c>
      <x:c r="B428" s="30" t="str">
        <x:v>Russia</x:v>
      </x:c>
      <x:c r="C428" s="30" t="str">
        <x:v>Kalashnikov Concern</x:v>
      </x:c>
      <x:c r="D428" s="30" t="str">
        <x:v>UAVs/Drones</x:v>
      </x:c>
      <x:c r="E428" s="30" t="str">
        <x:v>KUB-2-E Loitering Munition</x:v>
      </x:c>
      <x:c r="F428" s="30" t="n">
        <x:v>1</x:v>
      </x:c>
      <x:c r="G428" s="30" t="str">
        <x:v>Present</x:v>
      </x:c>
      <x:c r="H428" s="30" t="str">
        <x:v>Present</x:v>
      </x:c>
      <x:c r="I428" s="30" t="str">
        <x:v>OK</x:v>
      </x:c>
    </x:row>
    <x:row r="429" ht="72" customHeight="1">
      <x:c r="A429" s="30" t="n">
        <x:v>5</x:v>
      </x:c>
      <x:c r="B429" s="30" t="str">
        <x:v>Russia</x:v>
      </x:c>
      <x:c r="C429" s="30" t="str">
        <x:v>Kalashnikov Concern</x:v>
      </x:c>
      <x:c r="D429" s="30" t="str">
        <x:v>UAVs/Drones</x:v>
      </x:c>
      <x:c r="E429" s="30" t="str">
        <x:v>KUB-E Loitering Munition</x:v>
      </x:c>
      <x:c r="F429" s="30" t="n">
        <x:v>4</x:v>
      </x:c>
      <x:c r="G429" s="30" t="str">
        <x:v>Present</x:v>
      </x:c>
      <x:c r="H429" s="30" t="str">
        <x:v>Present</x:v>
      </x:c>
      <x:c r="I429" s="30" t="str">
        <x:v>OK</x:v>
      </x:c>
    </x:row>
    <x:row r="430" ht="72" customHeight="1">
      <x:c r="A430" s="30" t="n">
        <x:v>5</x:v>
      </x:c>
      <x:c r="B430" s="30" t="str">
        <x:v>Russia</x:v>
      </x:c>
      <x:c r="C430" s="30" t="str">
        <x:v>Kalashnikov Concern</x:v>
      </x:c>
      <x:c r="D430" s="30" t="str">
        <x:v>UAVs/Drones</x:v>
      </x:c>
      <x:c r="E430" s="30" t="str">
        <x:v>Lancet-E Loitering-Munition System</x:v>
      </x:c>
      <x:c r="F430" s="30" t="n">
        <x:v>4</x:v>
      </x:c>
      <x:c r="G430" s="30" t="str">
        <x:v>Present</x:v>
      </x:c>
      <x:c r="H430" s="30" t="str">
        <x:v>Present</x:v>
      </x:c>
      <x:c r="I430" s="30" t="str">
        <x:v>Family/system/component-level entry — review if exact-model-only view is needed</x:v>
      </x:c>
    </x:row>
    <x:row r="431" ht="72" customHeight="1">
      <x:c r="A431" s="30" t="n">
        <x:v>5</x:v>
      </x:c>
      <x:c r="B431" s="30" t="str">
        <x:v>Russia</x:v>
      </x:c>
      <x:c r="C431" s="30" t="str">
        <x:v>Kalashnikov Concern</x:v>
      </x:c>
      <x:c r="D431" s="30" t="str">
        <x:v>Missiles</x:v>
      </x:c>
      <x:c r="E431" s="30" t="str">
        <x:v>9K121 Vikhr-1 Air-Launched ATGM</x:v>
      </x:c>
      <x:c r="F431" s="30" t="n">
        <x:v>5</x:v>
      </x:c>
      <x:c r="G431" s="30" t="str">
        <x:v>Present</x:v>
      </x:c>
      <x:c r="H431" s="30" t="str">
        <x:v>Present</x:v>
      </x:c>
      <x:c r="I431" s="30" t="str">
        <x:v>OK</x:v>
      </x:c>
    </x:row>
    <x:row r="432" ht="72" customHeight="1">
      <x:c r="A432" s="30" t="n">
        <x:v>5</x:v>
      </x:c>
      <x:c r="B432" s="30" t="str">
        <x:v>India</x:v>
      </x:c>
      <x:c r="C432" s="30" t="str">
        <x:v>Munitions India Ltd (MIL)</x:v>
      </x:c>
      <x:c r="D432" s="30" t="str">
        <x:v>Ammunition</x:v>
      </x:c>
      <x:c r="E432" s="30" t="str">
        <x:v>105 mm IFG HE</x:v>
      </x:c>
      <x:c r="F432" s="30" t="n">
        <x:v>1</x:v>
      </x:c>
      <x:c r="G432" s="30" t="str">
        <x:v>Present</x:v>
      </x:c>
      <x:c r="H432" s="30" t="str">
        <x:v>Present</x:v>
      </x:c>
      <x:c r="I432" s="30" t="str">
        <x:v>OK</x:v>
      </x:c>
    </x:row>
    <x:row r="433" ht="72" customHeight="1">
      <x:c r="A433" s="30" t="n">
        <x:v>5</x:v>
      </x:c>
      <x:c r="B433" s="30" t="str">
        <x:v>India</x:v>
      </x:c>
      <x:c r="C433" s="30" t="str">
        <x:v>Munitions India Ltd (MIL)</x:v>
      </x:c>
      <x:c r="D433" s="30" t="str">
        <x:v>Ammunition</x:v>
      </x:c>
      <x:c r="E433" s="30" t="str">
        <x:v>105 mm IFG Illuminating</x:v>
      </x:c>
      <x:c r="F433" s="30" t="n">
        <x:v>1</x:v>
      </x:c>
      <x:c r="G433" s="30" t="str">
        <x:v>Present</x:v>
      </x:c>
      <x:c r="H433" s="30" t="str">
        <x:v>Present</x:v>
      </x:c>
      <x:c r="I433" s="30" t="str">
        <x:v>OK</x:v>
      </x:c>
    </x:row>
    <x:row r="434" ht="72" customHeight="1">
      <x:c r="A434" s="30" t="n">
        <x:v>5</x:v>
      </x:c>
      <x:c r="B434" s="30" t="str">
        <x:v>India</x:v>
      </x:c>
      <x:c r="C434" s="30" t="str">
        <x:v>Munitions India Ltd (MIL)</x:v>
      </x:c>
      <x:c r="D434" s="30" t="str">
        <x:v>Ammunition</x:v>
      </x:c>
      <x:c r="E434" s="30" t="str">
        <x:v>120 mm FSAPDS-T</x:v>
      </x:c>
      <x:c r="F434" s="30" t="n">
        <x:v>1</x:v>
      </x:c>
      <x:c r="G434" s="30" t="str">
        <x:v>Present</x:v>
      </x:c>
      <x:c r="H434" s="30" t="str">
        <x:v>Present</x:v>
      </x:c>
      <x:c r="I434" s="30" t="str">
        <x:v>OK</x:v>
      </x:c>
    </x:row>
    <x:row r="435" ht="72" customHeight="1">
      <x:c r="A435" s="30" t="n">
        <x:v>5</x:v>
      </x:c>
      <x:c r="B435" s="30" t="str">
        <x:v>India</x:v>
      </x:c>
      <x:c r="C435" s="30" t="str">
        <x:v>Munitions India Ltd (MIL)</x:v>
      </x:c>
      <x:c r="D435" s="30" t="str">
        <x:v>Ammunition</x:v>
      </x:c>
      <x:c r="E435" s="30" t="str">
        <x:v>120 mm Mortar Bomb Family</x:v>
      </x:c>
      <x:c r="F435" s="30" t="n">
        <x:v>2</x:v>
      </x:c>
      <x:c r="G435" s="30" t="str">
        <x:v>Present</x:v>
      </x:c>
      <x:c r="H435" s="30" t="str">
        <x:v>Present</x:v>
      </x:c>
      <x:c r="I435" s="30" t="str">
        <x:v>Family/system/component-level entry — review if exact-model-only view is needed</x:v>
      </x:c>
    </x:row>
    <x:row r="436" ht="72" customHeight="1">
      <x:c r="A436" s="30" t="n">
        <x:v>5</x:v>
      </x:c>
      <x:c r="B436" s="30" t="str">
        <x:v>India</x:v>
      </x:c>
      <x:c r="C436" s="30" t="str">
        <x:v>Munitions India Ltd (MIL)</x:v>
      </x:c>
      <x:c r="D436" s="30" t="str">
        <x:v>Ammunition</x:v>
      </x:c>
      <x:c r="E436" s="30" t="str">
        <x:v>125 mm FSAPDS-T</x:v>
      </x:c>
      <x:c r="F436" s="30" t="n">
        <x:v>3</x:v>
      </x:c>
      <x:c r="G436" s="30" t="str">
        <x:v>Present</x:v>
      </x:c>
      <x:c r="H436" s="30" t="str">
        <x:v>Present</x:v>
      </x:c>
      <x:c r="I436" s="30" t="str">
        <x:v>OK</x:v>
      </x:c>
    </x:row>
    <x:row r="437" ht="72" customHeight="1">
      <x:c r="A437" s="30" t="n">
        <x:v>5</x:v>
      </x:c>
      <x:c r="B437" s="30" t="str">
        <x:v>India</x:v>
      </x:c>
      <x:c r="C437" s="30" t="str">
        <x:v>Munitions India Ltd (MIL)</x:v>
      </x:c>
      <x:c r="D437" s="30" t="str">
        <x:v>Ammunition</x:v>
      </x:c>
      <x:c r="E437" s="30" t="str">
        <x:v>125 mm HE Tank Ammunition</x:v>
      </x:c>
      <x:c r="F437" s="30" t="n">
        <x:v>3</x:v>
      </x:c>
      <x:c r="G437" s="30" t="str">
        <x:v>Present</x:v>
      </x:c>
      <x:c r="H437" s="30" t="str">
        <x:v>Present</x:v>
      </x:c>
      <x:c r="I437" s="30" t="str">
        <x:v>OK</x:v>
      </x:c>
    </x:row>
    <x:row r="438" ht="72" customHeight="1">
      <x:c r="A438" s="30" t="n">
        <x:v>5</x:v>
      </x:c>
      <x:c r="B438" s="30" t="str">
        <x:v>India</x:v>
      </x:c>
      <x:c r="C438" s="30" t="str">
        <x:v>Munitions India Ltd (MIL)</x:v>
      </x:c>
      <x:c r="D438" s="30" t="str">
        <x:v>Ammunition</x:v>
      </x:c>
      <x:c r="E438" s="30" t="str">
        <x:v>125 mm HEAT-T</x:v>
      </x:c>
      <x:c r="F438" s="30" t="n">
        <x:v>1</x:v>
      </x:c>
      <x:c r="G438" s="30" t="str">
        <x:v>Present</x:v>
      </x:c>
      <x:c r="H438" s="30" t="str">
        <x:v>Present</x:v>
      </x:c>
      <x:c r="I438" s="30" t="str">
        <x:v>OK</x:v>
      </x:c>
    </x:row>
    <x:row r="439" ht="72" customHeight="1">
      <x:c r="A439" s="30" t="n">
        <x:v>5</x:v>
      </x:c>
      <x:c r="B439" s="30" t="str">
        <x:v>India</x:v>
      </x:c>
      <x:c r="C439" s="30" t="str">
        <x:v>Munitions India Ltd (MIL)</x:v>
      </x:c>
      <x:c r="D439" s="30" t="str">
        <x:v>Ammunition</x:v>
      </x:c>
      <x:c r="E439" s="30" t="str">
        <x:v>130 mm HE</x:v>
      </x:c>
      <x:c r="F439" s="30" t="n">
        <x:v>2</x:v>
      </x:c>
      <x:c r="G439" s="30" t="str">
        <x:v>Present</x:v>
      </x:c>
      <x:c r="H439" s="30" t="str">
        <x:v>Present</x:v>
      </x:c>
      <x:c r="I439" s="30" t="str">
        <x:v>OK</x:v>
      </x:c>
    </x:row>
    <x:row r="440" ht="72" customHeight="1">
      <x:c r="A440" s="30" t="n">
        <x:v>5</x:v>
      </x:c>
      <x:c r="B440" s="30" t="str">
        <x:v>India</x:v>
      </x:c>
      <x:c r="C440" s="30" t="str">
        <x:v>Munitions India Ltd (MIL)</x:v>
      </x:c>
      <x:c r="D440" s="30" t="str">
        <x:v>Ammunition</x:v>
      </x:c>
      <x:c r="E440" s="30" t="str">
        <x:v>155 mm Bi-Modular Charge System M91 / M92</x:v>
      </x:c>
      <x:c r="F440" s="30" t="n">
        <x:v>1</x:v>
      </x:c>
      <x:c r="G440" s="30" t="str">
        <x:v>Present</x:v>
      </x:c>
      <x:c r="H440" s="30" t="str">
        <x:v>Present</x:v>
      </x:c>
      <x:c r="I440" s="30" t="str">
        <x:v>Family/system/component-level entry — review if exact-model-only view is needed</x:v>
      </x:c>
    </x:row>
    <x:row r="441" ht="72" customHeight="1">
      <x:c r="A441" s="30" t="n">
        <x:v>5</x:v>
      </x:c>
      <x:c r="B441" s="30" t="str">
        <x:v>India</x:v>
      </x:c>
      <x:c r="C441" s="30" t="str">
        <x:v>Munitions India Ltd (MIL)</x:v>
      </x:c>
      <x:c r="D441" s="30" t="str">
        <x:v>Ammunition</x:v>
      </x:c>
      <x:c r="E441" s="30" t="str">
        <x:v>155 mm HE ERFB-BB</x:v>
      </x:c>
      <x:c r="F441" s="30" t="n">
        <x:v>4</x:v>
      </x:c>
      <x:c r="G441" s="30" t="str">
        <x:v>Present</x:v>
      </x:c>
      <x:c r="H441" s="30" t="str">
        <x:v>Present</x:v>
      </x:c>
      <x:c r="I441" s="30" t="str">
        <x:v>OK</x:v>
      </x:c>
    </x:row>
    <x:row r="442" ht="72" customHeight="1">
      <x:c r="A442" s="30" t="n">
        <x:v>5</x:v>
      </x:c>
      <x:c r="B442" s="30" t="str">
        <x:v>India</x:v>
      </x:c>
      <x:c r="C442" s="30" t="str">
        <x:v>Munitions India Ltd (MIL)</x:v>
      </x:c>
      <x:c r="D442" s="30" t="str">
        <x:v>Ammunition</x:v>
      </x:c>
      <x:c r="E442" s="30" t="str">
        <x:v>155 mm HE ERFB-BT</x:v>
      </x:c>
      <x:c r="F442" s="30" t="n">
        <x:v>3</x:v>
      </x:c>
      <x:c r="G442" s="30" t="str">
        <x:v>Present</x:v>
      </x:c>
      <x:c r="H442" s="30" t="str">
        <x:v>Present</x:v>
      </x:c>
      <x:c r="I442" s="30" t="str">
        <x:v>OK</x:v>
      </x:c>
    </x:row>
    <x:row r="443" ht="72" customHeight="1">
      <x:c r="A443" s="30" t="n">
        <x:v>5</x:v>
      </x:c>
      <x:c r="B443" s="30" t="str">
        <x:v>India</x:v>
      </x:c>
      <x:c r="C443" s="30" t="str">
        <x:v>Munitions India Ltd (MIL)</x:v>
      </x:c>
      <x:c r="D443" s="30" t="str">
        <x:v>Ammunition</x:v>
      </x:c>
      <x:c r="E443" s="30" t="str">
        <x:v>155 mm HE M107</x:v>
      </x:c>
      <x:c r="F443" s="30" t="n">
        <x:v>3</x:v>
      </x:c>
      <x:c r="G443" s="30" t="str">
        <x:v>Present</x:v>
      </x:c>
      <x:c r="H443" s="30" t="str">
        <x:v>Present</x:v>
      </x:c>
      <x:c r="I443" s="30" t="str">
        <x:v>OK</x:v>
      </x:c>
    </x:row>
    <x:row r="444" ht="72" customHeight="1">
      <x:c r="A444" s="30" t="n">
        <x:v>5</x:v>
      </x:c>
      <x:c r="B444" s="30" t="str">
        <x:v>India</x:v>
      </x:c>
      <x:c r="C444" s="30" t="str">
        <x:v>Munitions India Ltd (MIL)</x:v>
      </x:c>
      <x:c r="D444" s="30" t="str">
        <x:v>Ammunition</x:v>
      </x:c>
      <x:c r="E444" s="30" t="str">
        <x:v>155 mm HE M77B</x:v>
      </x:c>
      <x:c r="F444" s="30" t="n">
        <x:v>2</x:v>
      </x:c>
      <x:c r="G444" s="30" t="str">
        <x:v>Present</x:v>
      </x:c>
      <x:c r="H444" s="30" t="str">
        <x:v>Present</x:v>
      </x:c>
      <x:c r="I444" s="30" t="str">
        <x:v>OK</x:v>
      </x:c>
    </x:row>
    <x:row r="445" ht="72" customHeight="1">
      <x:c r="A445" s="30" t="n">
        <x:v>5</x:v>
      </x:c>
      <x:c r="B445" s="30" t="str">
        <x:v>India</x:v>
      </x:c>
      <x:c r="C445" s="30" t="str">
        <x:v>Munitions India Ltd (MIL)</x:v>
      </x:c>
      <x:c r="D445" s="30" t="str">
        <x:v>Ammunition</x:v>
      </x:c>
      <x:c r="E445" s="30" t="str">
        <x:v>155 mm Illuminating ERFB</x:v>
      </x:c>
      <x:c r="F445" s="30" t="n">
        <x:v>3</x:v>
      </x:c>
      <x:c r="G445" s="30" t="str">
        <x:v>Present</x:v>
      </x:c>
      <x:c r="H445" s="30" t="str">
        <x:v>Present</x:v>
      </x:c>
      <x:c r="I445" s="30" t="str">
        <x:v>OK</x:v>
      </x:c>
    </x:row>
    <x:row r="446" ht="72" customHeight="1">
      <x:c r="A446" s="30" t="n">
        <x:v>5</x:v>
      </x:c>
      <x:c r="B446" s="30" t="str">
        <x:v>India</x:v>
      </x:c>
      <x:c r="C446" s="30" t="str">
        <x:v>Munitions India Ltd (MIL)</x:v>
      </x:c>
      <x:c r="D446" s="30" t="str">
        <x:v>Ammunition</x:v>
      </x:c>
      <x:c r="E446" s="30" t="str">
        <x:v>155 mm Screening Smoke ERFB</x:v>
      </x:c>
      <x:c r="F446" s="30" t="n">
        <x:v>3</x:v>
      </x:c>
      <x:c r="G446" s="30" t="str">
        <x:v>Present</x:v>
      </x:c>
      <x:c r="H446" s="30" t="str">
        <x:v>Present</x:v>
      </x:c>
      <x:c r="I446" s="30" t="str">
        <x:v>OK</x:v>
      </x:c>
    </x:row>
    <x:row r="447" ht="72" customHeight="1">
      <x:c r="A447" s="30" t="n">
        <x:v>5</x:v>
      </x:c>
      <x:c r="B447" s="30" t="str">
        <x:v>India</x:v>
      </x:c>
      <x:c r="C447" s="30" t="str">
        <x:v>Munitions India Ltd (MIL)</x:v>
      </x:c>
      <x:c r="D447" s="30" t="str">
        <x:v>Ammunition</x:v>
      </x:c>
      <x:c r="E447" s="30" t="str">
        <x:v>5.56×45 mm</x:v>
      </x:c>
      <x:c r="F447" s="30" t="n">
        <x:v>2</x:v>
      </x:c>
      <x:c r="G447" s="30" t="str">
        <x:v>Present</x:v>
      </x:c>
      <x:c r="H447" s="30" t="str">
        <x:v>Present</x:v>
      </x:c>
      <x:c r="I447" s="30" t="str">
        <x:v>OK</x:v>
      </x:c>
    </x:row>
    <x:row r="448" ht="72" customHeight="1">
      <x:c r="A448" s="30" t="n">
        <x:v>5</x:v>
      </x:c>
      <x:c r="B448" s="30" t="str">
        <x:v>India</x:v>
      </x:c>
      <x:c r="C448" s="30" t="str">
        <x:v>Munitions India Ltd (MIL)</x:v>
      </x:c>
      <x:c r="D448" s="30" t="str">
        <x:v>Ammunition</x:v>
      </x:c>
      <x:c r="E448" s="30" t="str">
        <x:v>500 kg General Purpose Bomb</x:v>
      </x:c>
      <x:c r="F448" s="30" t="n">
        <x:v>1</x:v>
      </x:c>
      <x:c r="G448" s="30" t="str">
        <x:v>Present</x:v>
      </x:c>
      <x:c r="H448" s="30" t="str">
        <x:v>Present</x:v>
      </x:c>
      <x:c r="I448" s="30" t="str">
        <x:v>OK</x:v>
      </x:c>
    </x:row>
    <x:row r="449" ht="72" customHeight="1">
      <x:c r="A449" s="30" t="n">
        <x:v>5</x:v>
      </x:c>
      <x:c r="B449" s="30" t="str">
        <x:v>India</x:v>
      </x:c>
      <x:c r="C449" s="30" t="str">
        <x:v>Munitions India Ltd (MIL)</x:v>
      </x:c>
      <x:c r="D449" s="30" t="str">
        <x:v>Ammunition</x:v>
      </x:c>
      <x:c r="E449" s="30" t="str">
        <x:v>68 mm Air-to-Ground Rocket Family</x:v>
      </x:c>
      <x:c r="F449" s="30" t="n">
        <x:v>1</x:v>
      </x:c>
      <x:c r="G449" s="30" t="str">
        <x:v>Present</x:v>
      </x:c>
      <x:c r="H449" s="30" t="str">
        <x:v>Present</x:v>
      </x:c>
      <x:c r="I449" s="30" t="str">
        <x:v>Family/system/component-level entry — review if exact-model-only view is needed</x:v>
      </x:c>
    </x:row>
    <x:row r="450" ht="72" customHeight="1">
      <x:c r="A450" s="30" t="n">
        <x:v>5</x:v>
      </x:c>
      <x:c r="B450" s="30" t="str">
        <x:v>India</x:v>
      </x:c>
      <x:c r="C450" s="30" t="str">
        <x:v>Munitions India Ltd (MIL)</x:v>
      </x:c>
      <x:c r="D450" s="30" t="str">
        <x:v>Ammunition</x:v>
      </x:c>
      <x:c r="E450" s="30" t="str">
        <x:v>7.62×39 mm</x:v>
      </x:c>
      <x:c r="F450" s="30" t="n">
        <x:v>2</x:v>
      </x:c>
      <x:c r="G450" s="30" t="str">
        <x:v>Present</x:v>
      </x:c>
      <x:c r="H450" s="30" t="str">
        <x:v>Present</x:v>
      </x:c>
      <x:c r="I450" s="30" t="str">
        <x:v>OK</x:v>
      </x:c>
    </x:row>
    <x:row r="451" ht="72" customHeight="1">
      <x:c r="A451" s="30" t="n">
        <x:v>5</x:v>
      </x:c>
      <x:c r="B451" s="30" t="str">
        <x:v>India</x:v>
      </x:c>
      <x:c r="C451" s="30" t="str">
        <x:v>Munitions India Ltd (MIL)</x:v>
      </x:c>
      <x:c r="D451" s="30" t="str">
        <x:v>Ammunition</x:v>
      </x:c>
      <x:c r="E451" s="30" t="str">
        <x:v>7.62×51 mm</x:v>
      </x:c>
      <x:c r="F451" s="30" t="n">
        <x:v>1</x:v>
      </x:c>
      <x:c r="G451" s="30" t="str">
        <x:v>Present</x:v>
      </x:c>
      <x:c r="H451" s="30" t="str">
        <x:v>Present</x:v>
      </x:c>
      <x:c r="I451" s="30" t="str">
        <x:v>OK</x:v>
      </x:c>
    </x:row>
    <x:row r="452" ht="72" customHeight="1">
      <x:c r="A452" s="30" t="n">
        <x:v>5</x:v>
      </x:c>
      <x:c r="B452" s="30" t="str">
        <x:v>India</x:v>
      </x:c>
      <x:c r="C452" s="30" t="str">
        <x:v>Munitions India Ltd (MIL)</x:v>
      </x:c>
      <x:c r="D452" s="30" t="str">
        <x:v>Ammunition</x:v>
      </x:c>
      <x:c r="E452" s="30" t="str">
        <x:v>7.62×54R PKT</x:v>
      </x:c>
      <x:c r="F452" s="30" t="n">
        <x:v>1</x:v>
      </x:c>
      <x:c r="G452" s="30" t="str">
        <x:v>Present</x:v>
      </x:c>
      <x:c r="H452" s="30" t="str">
        <x:v>Present</x:v>
      </x:c>
      <x:c r="I452" s="30" t="str">
        <x:v>OK</x:v>
      </x:c>
    </x:row>
    <x:row r="453" ht="72" customHeight="1">
      <x:c r="A453" s="30" t="n">
        <x:v>5</x:v>
      </x:c>
      <x:c r="B453" s="30" t="str">
        <x:v>India</x:v>
      </x:c>
      <x:c r="C453" s="30" t="str">
        <x:v>Munitions India Ltd (MIL)</x:v>
      </x:c>
      <x:c r="D453" s="30" t="str">
        <x:v>Ammunition</x:v>
      </x:c>
      <x:c r="E453" s="30" t="str">
        <x:v>76/62 SRGM Ammunition</x:v>
      </x:c>
      <x:c r="F453" s="30" t="n">
        <x:v>1</x:v>
      </x:c>
      <x:c r="G453" s="30" t="str">
        <x:v>Present</x:v>
      </x:c>
      <x:c r="H453" s="30" t="str">
        <x:v>Present</x:v>
      </x:c>
      <x:c r="I453" s="30" t="str">
        <x:v>OK</x:v>
      </x:c>
    </x:row>
    <x:row r="454" ht="72" customHeight="1">
      <x:c r="A454" s="30" t="n">
        <x:v>5</x:v>
      </x:c>
      <x:c r="B454" s="30" t="str">
        <x:v>India</x:v>
      </x:c>
      <x:c r="C454" s="30" t="str">
        <x:v>Munitions India Ltd (MIL)</x:v>
      </x:c>
      <x:c r="D454" s="30" t="str">
        <x:v>Ammunition</x:v>
      </x:c>
      <x:c r="E454" s="30" t="str">
        <x:v>81 mm Mortar Bomb Family</x:v>
      </x:c>
      <x:c r="F454" s="30" t="n">
        <x:v>2</x:v>
      </x:c>
      <x:c r="G454" s="30" t="str">
        <x:v>Present</x:v>
      </x:c>
      <x:c r="H454" s="30" t="str">
        <x:v>Present</x:v>
      </x:c>
      <x:c r="I454" s="30" t="str">
        <x:v>Family/system/component-level entry — review if exact-model-only view is needed</x:v>
      </x:c>
    </x:row>
    <x:row r="455" ht="72" customHeight="1">
      <x:c r="A455" s="30" t="n">
        <x:v>5</x:v>
      </x:c>
      <x:c r="B455" s="30" t="str">
        <x:v>India</x:v>
      </x:c>
      <x:c r="C455" s="30" t="str">
        <x:v>Munitions India Ltd (MIL)</x:v>
      </x:c>
      <x:c r="D455" s="30" t="str">
        <x:v>Ammunition</x:v>
      </x:c>
      <x:c r="E455" s="30" t="str">
        <x:v>84 mm Carl-Gustaf Ammunition Family</x:v>
      </x:c>
      <x:c r="F455" s="30" t="n">
        <x:v>2</x:v>
      </x:c>
      <x:c r="G455" s="30" t="str">
        <x:v>Present</x:v>
      </x:c>
      <x:c r="H455" s="30" t="str">
        <x:v>Present</x:v>
      </x:c>
      <x:c r="I455" s="30" t="str">
        <x:v>Family/system/component-level entry — review if exact-model-only view is needed</x:v>
      </x:c>
    </x:row>
    <x:row r="456" ht="72" customHeight="1">
      <x:c r="A456" s="30" t="n">
        <x:v>5</x:v>
      </x:c>
      <x:c r="B456" s="30" t="str">
        <x:v>India</x:v>
      </x:c>
      <x:c r="C456" s="30" t="str">
        <x:v>Munitions India Ltd (MIL)</x:v>
      </x:c>
      <x:c r="D456" s="30" t="str">
        <x:v>Ammunition</x:v>
      </x:c>
      <x:c r="E456" s="30" t="str">
        <x:v>9×19 mm</x:v>
      </x:c>
      <x:c r="F456" s="30" t="n">
        <x:v>2</x:v>
      </x:c>
      <x:c r="G456" s="30" t="str">
        <x:v>Present</x:v>
      </x:c>
      <x:c r="H456" s="30" t="str">
        <x:v>Present</x:v>
      </x:c>
      <x:c r="I456" s="30" t="str">
        <x:v>OK</x:v>
      </x:c>
    </x:row>
    <x:row r="457" ht="72" customHeight="1">
      <x:c r="A457" s="30" t="n">
        <x:v>5</x:v>
      </x:c>
      <x:c r="B457" s="30" t="str">
        <x:v>India</x:v>
      </x:c>
      <x:c r="C457" s="30" t="str">
        <x:v>Munitions India Ltd (MIL)</x:v>
      </x:c>
      <x:c r="D457" s="30" t="str">
        <x:v>Ammunition</x:v>
      </x:c>
      <x:c r="E457" s="30" t="str">
        <x:v>Air Bombs / PGB-500 Stores</x:v>
      </x:c>
      <x:c r="F457" s="30" t="n">
        <x:v>2</x:v>
      </x:c>
      <x:c r="G457" s="30" t="str">
        <x:v>Present</x:v>
      </x:c>
      <x:c r="H457" s="30" t="str">
        <x:v>Present</x:v>
      </x:c>
      <x:c r="I457" s="30" t="str">
        <x:v>OK</x:v>
      </x:c>
    </x:row>
    <x:row r="458" ht="72" customHeight="1">
      <x:c r="A458" s="30" t="n">
        <x:v>5</x:v>
      </x:c>
      <x:c r="B458" s="30" t="str">
        <x:v>India</x:v>
      </x:c>
      <x:c r="C458" s="30" t="str">
        <x:v>Munitions India Ltd (MIL)</x:v>
      </x:c>
      <x:c r="D458" s="30" t="str">
        <x:v>Ammunition</x:v>
      </x:c>
      <x:c r="E458" s="30" t="str">
        <x:v>MIL-17 30 mm Grenade</x:v>
      </x:c>
      <x:c r="F458" s="30" t="n">
        <x:v>2</x:v>
      </x:c>
      <x:c r="G458" s="30" t="str">
        <x:v>Present</x:v>
      </x:c>
      <x:c r="H458" s="30" t="str">
        <x:v>Present</x:v>
      </x:c>
      <x:c r="I458" s="30" t="str">
        <x:v>OK</x:v>
      </x:c>
    </x:row>
    <x:row r="459" ht="72" customHeight="1">
      <x:c r="A459" s="30" t="n">
        <x:v>5</x:v>
      </x:c>
      <x:c r="B459" s="30" t="str">
        <x:v>India</x:v>
      </x:c>
      <x:c r="C459" s="30" t="str">
        <x:v>Munitions India Ltd (MIL)</x:v>
      </x:c>
      <x:c r="D459" s="30" t="str">
        <x:v>Ammunition</x:v>
      </x:c>
      <x:c r="E459" s="30" t="str">
        <x:v>MIL-25 40 mm Grenade</x:v>
      </x:c>
      <x:c r="F459" s="30" t="n">
        <x:v>1</x:v>
      </x:c>
      <x:c r="G459" s="30" t="str">
        <x:v>Present</x:v>
      </x:c>
      <x:c r="H459" s="30" t="str">
        <x:v>Present</x:v>
      </x:c>
      <x:c r="I459" s="30" t="str">
        <x:v>OK</x:v>
      </x:c>
    </x:row>
    <x:row r="460" ht="72" customHeight="1">
      <x:c r="A460" s="30" t="n">
        <x:v>5</x:v>
      </x:c>
      <x:c r="B460" s="30" t="str">
        <x:v>India</x:v>
      </x:c>
      <x:c r="C460" s="30" t="str">
        <x:v>Munitions India Ltd (MIL)</x:v>
      </x:c>
      <x:c r="D460" s="30" t="str">
        <x:v>Ammunition</x:v>
      </x:c>
      <x:c r="E460" s="30" t="str">
        <x:v>Mines Family</x:v>
      </x:c>
      <x:c r="F460" s="30" t="n">
        <x:v>2</x:v>
      </x:c>
      <x:c r="G460" s="30" t="str">
        <x:v>Present</x:v>
      </x:c>
      <x:c r="H460" s="30" t="str">
        <x:v>Present</x:v>
      </x:c>
      <x:c r="I460" s="30" t="str">
        <x:v>Family/system/component-level entry — review if exact-model-only view is needed</x:v>
      </x:c>
    </x:row>
    <x:row r="461" ht="72" customHeight="1">
      <x:c r="A461" s="30" t="n">
        <x:v>5</x:v>
      </x:c>
      <x:c r="B461" s="30" t="str">
        <x:v>India</x:v>
      </x:c>
      <x:c r="C461" s="30" t="str">
        <x:v>Munitions India Ltd (MIL)</x:v>
      </x:c>
      <x:c r="D461" s="30" t="str">
        <x:v>Ammunition</x:v>
      </x:c>
      <x:c r="E461" s="30" t="str">
        <x:v>Multi-Mode Hand Grenade</x:v>
      </x:c>
      <x:c r="F461" s="30" t="n">
        <x:v>1</x:v>
      </x:c>
      <x:c r="G461" s="30" t="str">
        <x:v>Present</x:v>
      </x:c>
      <x:c r="H461" s="30" t="str">
        <x:v>Present</x:v>
      </x:c>
      <x:c r="I461" s="30" t="str">
        <x:v>OK</x:v>
      </x:c>
    </x:row>
    <x:row r="462" ht="72" customHeight="1">
      <x:c r="A462" s="30" t="n">
        <x:v>5</x:v>
      </x:c>
      <x:c r="B462" s="30" t="str">
        <x:v>India</x:v>
      </x:c>
      <x:c r="C462" s="30" t="str">
        <x:v>Munitions India Ltd (MIL)</x:v>
      </x:c>
      <x:c r="D462" s="30" t="str">
        <x:v>Ammunition</x:v>
      </x:c>
      <x:c r="E462" s="30" t="str">
        <x:v>Pinaka Enhanced</x:v>
      </x:c>
      <x:c r="F462" s="30" t="n">
        <x:v>1</x:v>
      </x:c>
      <x:c r="G462" s="30" t="str">
        <x:v>Present</x:v>
      </x:c>
      <x:c r="H462" s="30" t="str">
        <x:v>Present</x:v>
      </x:c>
      <x:c r="I462" s="30" t="str">
        <x:v>OK</x:v>
      </x:c>
    </x:row>
    <x:row r="463" ht="72" customHeight="1">
      <x:c r="A463" s="30" t="n">
        <x:v>5</x:v>
      </x:c>
      <x:c r="B463" s="30" t="str">
        <x:v>India</x:v>
      </x:c>
      <x:c r="C463" s="30" t="str">
        <x:v>Munitions India Ltd (MIL)</x:v>
      </x:c>
      <x:c r="D463" s="30" t="str">
        <x:v>Ammunition</x:v>
      </x:c>
      <x:c r="E463" s="30" t="str">
        <x:v>Pinaka Guided</x:v>
      </x:c>
      <x:c r="F463" s="30" t="n">
        <x:v>1</x:v>
      </x:c>
      <x:c r="G463" s="30" t="str">
        <x:v>Present</x:v>
      </x:c>
      <x:c r="H463" s="30" t="str">
        <x:v>Present</x:v>
      </x:c>
      <x:c r="I463" s="30" t="str">
        <x:v>OK</x:v>
      </x:c>
    </x:row>
    <x:row r="464" ht="72" customHeight="1">
      <x:c r="A464" s="30" t="n">
        <x:v>5</x:v>
      </x:c>
      <x:c r="B464" s="30" t="str">
        <x:v>India</x:v>
      </x:c>
      <x:c r="C464" s="30" t="str">
        <x:v>Munitions India Ltd (MIL)</x:v>
      </x:c>
      <x:c r="D464" s="30" t="str">
        <x:v>Ammunition</x:v>
      </x:c>
      <x:c r="E464" s="30" t="str">
        <x:v>Pinaka Mk-I Rocket</x:v>
      </x:c>
      <x:c r="F464" s="30" t="n">
        <x:v>2</x:v>
      </x:c>
      <x:c r="G464" s="30" t="str">
        <x:v>Present</x:v>
      </x:c>
      <x:c r="H464" s="30" t="str">
        <x:v>Present</x:v>
      </x:c>
      <x:c r="I464" s="30" t="str">
        <x:v>OK</x:v>
      </x:c>
    </x:row>
    <x:row r="465" ht="72" customHeight="1">
      <x:c r="A465" s="30" t="n">
        <x:v>5</x:v>
      </x:c>
      <x:c r="B465" s="30" t="str">
        <x:v>India</x:v>
      </x:c>
      <x:c r="C465" s="30" t="str">
        <x:v>Bharat Dynamics Ltd (BDL)</x:v>
      </x:c>
      <x:c r="D465" s="30" t="str">
        <x:v>Ammunition</x:v>
      </x:c>
      <x:c r="E465" s="30" t="str">
        <x:v>Multi-Influence Ground Mine (MIGM)</x:v>
      </x:c>
      <x:c r="F465" s="30" t="n">
        <x:v>2</x:v>
      </x:c>
      <x:c r="G465" s="30" t="str">
        <x:v>Present</x:v>
      </x:c>
      <x:c r="H465" s="30" t="str">
        <x:v>Present</x:v>
      </x:c>
      <x:c r="I465" s="30" t="str">
        <x:v>OK</x:v>
      </x:c>
    </x:row>
    <x:row r="466" ht="72" customHeight="1">
      <x:c r="A466" s="30" t="n">
        <x:v>5</x:v>
      </x:c>
      <x:c r="B466" s="30" t="str">
        <x:v>India</x:v>
      </x:c>
      <x:c r="C466" s="30" t="str">
        <x:v>Bharat Dynamics Ltd (BDL)</x:v>
      </x:c>
      <x:c r="D466" s="30" t="str">
        <x:v>Marine/Naval</x:v>
      </x:c>
      <x:c r="E466" s="30" t="str">
        <x:v>C-303 / C-303S Anti-Torpedo Decoy Launching System</x:v>
      </x:c>
      <x:c r="F466" s="30" t="n">
        <x:v>2</x:v>
      </x:c>
      <x:c r="G466" s="30" t="str">
        <x:v>Present</x:v>
      </x:c>
      <x:c r="H466" s="30" t="str">
        <x:v>Present</x:v>
      </x:c>
      <x:c r="I466" s="30" t="str">
        <x:v>Family/system/component-level entry — review if exact-model-only view is needed</x:v>
      </x:c>
    </x:row>
    <x:row r="467" ht="72" customHeight="1">
      <x:c r="A467" s="30" t="n">
        <x:v>5</x:v>
      </x:c>
      <x:c r="B467" s="30" t="str">
        <x:v>India</x:v>
      </x:c>
      <x:c r="C467" s="30" t="str">
        <x:v>Bharat Dynamics Ltd (BDL)</x:v>
      </x:c>
      <x:c r="D467" s="30" t="str">
        <x:v>Marine/Naval</x:v>
      </x:c>
      <x:c r="E467" s="30" t="str">
        <x:v>TAL / Advanced Light Weight Torpedo</x:v>
      </x:c>
      <x:c r="F467" s="30" t="n">
        <x:v>4</x:v>
      </x:c>
      <x:c r="G467" s="30" t="str">
        <x:v>Present</x:v>
      </x:c>
      <x:c r="H467" s="30" t="str">
        <x:v>Present</x:v>
      </x:c>
      <x:c r="I467" s="30" t="str">
        <x:v>OK</x:v>
      </x:c>
    </x:row>
    <x:row r="468" ht="72" customHeight="1">
      <x:c r="A468" s="30" t="n">
        <x:v>5</x:v>
      </x:c>
      <x:c r="B468" s="30" t="str">
        <x:v>India</x:v>
      </x:c>
      <x:c r="C468" s="30" t="str">
        <x:v>Bharat Dynamics Ltd (BDL)</x:v>
      </x:c>
      <x:c r="D468" s="30" t="str">
        <x:v>Marine/Naval</x:v>
      </x:c>
      <x:c r="E468" s="30" t="str">
        <x:v>Varunastra Heavy Weight Torpedo</x:v>
      </x:c>
      <x:c r="F468" s="30" t="n">
        <x:v>1</x:v>
      </x:c>
      <x:c r="G468" s="30" t="str">
        <x:v>Present</x:v>
      </x:c>
      <x:c r="H468" s="30" t="str">
        <x:v>Present</x:v>
      </x:c>
      <x:c r="I468" s="30" t="str">
        <x:v>OK</x:v>
      </x:c>
    </x:row>
    <x:row r="469" ht="72" customHeight="1">
      <x:c r="A469" s="30" t="n">
        <x:v>5</x:v>
      </x:c>
      <x:c r="B469" s="30" t="str">
        <x:v>India</x:v>
      </x:c>
      <x:c r="C469" s="30" t="str">
        <x:v>Bharat Dynamics Ltd (BDL)</x:v>
      </x:c>
      <x:c r="D469" s="30" t="str">
        <x:v>Missiles</x:v>
      </x:c>
      <x:c r="E469" s="30" t="str">
        <x:v>Akash Weapon System</x:v>
      </x:c>
      <x:c r="F469" s="30" t="n">
        <x:v>2</x:v>
      </x:c>
      <x:c r="G469" s="30" t="str">
        <x:v>Present</x:v>
      </x:c>
      <x:c r="H469" s="30" t="str">
        <x:v>Present</x:v>
      </x:c>
      <x:c r="I469" s="30" t="str">
        <x:v>Family/system/component-level entry — review if exact-model-only view is needed</x:v>
      </x:c>
    </x:row>
    <x:row r="470" ht="72" customHeight="1">
      <x:c r="A470" s="30" t="n">
        <x:v>5</x:v>
      </x:c>
      <x:c r="B470" s="30" t="str">
        <x:v>India</x:v>
      </x:c>
      <x:c r="C470" s="30" t="str">
        <x:v>Bharat Dynamics Ltd (BDL)</x:v>
      </x:c>
      <x:c r="D470" s="30" t="str">
        <x:v>Missiles</x:v>
      </x:c>
      <x:c r="E470" s="30" t="str">
        <x:v>Amogha-III ATGM</x:v>
      </x:c>
      <x:c r="F470" s="30" t="n">
        <x:v>3</x:v>
      </x:c>
      <x:c r="G470" s="30" t="str">
        <x:v>Present</x:v>
      </x:c>
      <x:c r="H470" s="30" t="str">
        <x:v>Present</x:v>
      </x:c>
      <x:c r="I470" s="30" t="str">
        <x:v>OK</x:v>
      </x:c>
    </x:row>
    <x:row r="471" ht="72" customHeight="1">
      <x:c r="A471" s="30" t="n">
        <x:v>5</x:v>
      </x:c>
      <x:c r="B471" s="30" t="str">
        <x:v>India</x:v>
      </x:c>
      <x:c r="C471" s="30" t="str">
        <x:v>Bharat Dynamics Ltd (BDL)</x:v>
      </x:c>
      <x:c r="D471" s="30" t="str">
        <x:v>Missiles</x:v>
      </x:c>
      <x:c r="E471" s="30" t="str">
        <x:v>Astra Mk-I Weapon System</x:v>
      </x:c>
      <x:c r="F471" s="30" t="n">
        <x:v>2</x:v>
      </x:c>
      <x:c r="G471" s="30" t="str">
        <x:v>Present</x:v>
      </x:c>
      <x:c r="H471" s="30" t="str">
        <x:v>Present</x:v>
      </x:c>
      <x:c r="I471" s="30" t="str">
        <x:v>Family/system/component-level entry — review if exact-model-only view is needed</x:v>
      </x:c>
    </x:row>
    <x:row r="472" ht="72" customHeight="1">
      <x:c r="A472" s="30" t="n">
        <x:v>5</x:v>
      </x:c>
      <x:c r="B472" s="30" t="str">
        <x:v>India</x:v>
      </x:c>
      <x:c r="C472" s="30" t="str">
        <x:v>Bharat Dynamics Ltd (BDL)</x:v>
      </x:c>
      <x:c r="D472" s="30" t="str">
        <x:v>Missiles</x:v>
      </x:c>
      <x:c r="E472" s="30" t="str">
        <x:v>Helina / Dhruvastra</x:v>
      </x:c>
      <x:c r="F472" s="30" t="n">
        <x:v>5</x:v>
      </x:c>
      <x:c r="G472" s="30" t="str">
        <x:v>Present</x:v>
      </x:c>
      <x:c r="H472" s="30" t="str">
        <x:v>Present</x:v>
      </x:c>
      <x:c r="I472" s="30" t="str">
        <x:v>OK</x:v>
      </x:c>
    </x:row>
    <x:row r="473" ht="72" customHeight="1">
      <x:c r="A473" s="30" t="n">
        <x:v>5</x:v>
      </x:c>
      <x:c r="B473" s="30" t="str">
        <x:v>India</x:v>
      </x:c>
      <x:c r="C473" s="30" t="str">
        <x:v>Bharat Dynamics Ltd (BDL)</x:v>
      </x:c>
      <x:c r="D473" s="30" t="str">
        <x:v>Missiles</x:v>
      </x:c>
      <x:c r="E473" s="30" t="str">
        <x:v>INVAR (3UBK20) ATGM</x:v>
      </x:c>
      <x:c r="F473" s="30" t="n">
        <x:v>3</x:v>
      </x:c>
      <x:c r="G473" s="30" t="str">
        <x:v>Present</x:v>
      </x:c>
      <x:c r="H473" s="30" t="str">
        <x:v>Present</x:v>
      </x:c>
      <x:c r="I473" s="30" t="str">
        <x:v>OK</x:v>
      </x:c>
    </x:row>
    <x:row r="474" ht="72" customHeight="1">
      <x:c r="A474" s="30" t="n">
        <x:v>5</x:v>
      </x:c>
      <x:c r="B474" s="30" t="str">
        <x:v>India</x:v>
      </x:c>
      <x:c r="C474" s="30" t="str">
        <x:v>Bharat Dynamics Ltd (BDL)</x:v>
      </x:c>
      <x:c r="D474" s="30" t="str">
        <x:v>Missiles</x:v>
      </x:c>
      <x:c r="E474" s="30" t="str">
        <x:v>Konkurs-M ATGM</x:v>
      </x:c>
      <x:c r="F474" s="30" t="n">
        <x:v>3</x:v>
      </x:c>
      <x:c r="G474" s="30" t="str">
        <x:v>Present</x:v>
      </x:c>
      <x:c r="H474" s="30" t="str">
        <x:v>Present</x:v>
      </x:c>
      <x:c r="I474" s="30" t="str">
        <x:v>OK</x:v>
      </x:c>
    </x:row>
    <x:row r="475" ht="72" customHeight="1">
      <x:c r="A475" s="30" t="n">
        <x:v>5</x:v>
      </x:c>
      <x:c r="B475" s="30" t="str">
        <x:v>India</x:v>
      </x:c>
      <x:c r="C475" s="30" t="str">
        <x:v>Bharat Dynamics Ltd (BDL)</x:v>
      </x:c>
      <x:c r="D475" s="30" t="str">
        <x:v>Missiles</x:v>
      </x:c>
      <x:c r="E475" s="30" t="str">
        <x:v>Man Portable ATGM (MPATGM)</x:v>
      </x:c>
      <x:c r="F475" s="30" t="n">
        <x:v>4</x:v>
      </x:c>
      <x:c r="G475" s="30" t="str">
        <x:v>Present</x:v>
      </x:c>
      <x:c r="H475" s="30" t="str">
        <x:v>Present</x:v>
      </x:c>
      <x:c r="I475" s="30" t="str">
        <x:v>OK</x:v>
      </x:c>
    </x:row>
    <x:row r="476" ht="72" customHeight="1">
      <x:c r="A476" s="30" t="n">
        <x:v>5</x:v>
      </x:c>
      <x:c r="B476" s="30" t="str">
        <x:v>India</x:v>
      </x:c>
      <x:c r="C476" s="30" t="str">
        <x:v>Bharat Dynamics Ltd (BDL)</x:v>
      </x:c>
      <x:c r="D476" s="30" t="str">
        <x:v>Missiles</x:v>
      </x:c>
      <x:c r="E476" s="30" t="str">
        <x:v>Milan-2T ATGM</x:v>
      </x:c>
      <x:c r="F476" s="30" t="n">
        <x:v>3</x:v>
      </x:c>
      <x:c r="G476" s="30" t="str">
        <x:v>Present</x:v>
      </x:c>
      <x:c r="H476" s="30" t="str">
        <x:v>Present</x:v>
      </x:c>
      <x:c r="I476" s="30" t="str">
        <x:v>OK</x:v>
      </x:c>
    </x:row>
    <x:row r="477" ht="72" customHeight="1">
      <x:c r="A477" s="30" t="n">
        <x:v>5</x:v>
      </x:c>
      <x:c r="B477" s="30" t="str">
        <x:v>India</x:v>
      </x:c>
      <x:c r="C477" s="30" t="str">
        <x:v>Bharat Dynamics Ltd (BDL)</x:v>
      </x:c>
      <x:c r="D477" s="30" t="str">
        <x:v>Missiles</x:v>
      </x:c>
      <x:c r="E477" s="30" t="str">
        <x:v>MRSAM</x:v>
      </x:c>
      <x:c r="F477" s="30" t="n">
        <x:v>3</x:v>
      </x:c>
      <x:c r="G477" s="30" t="str">
        <x:v>Present</x:v>
      </x:c>
      <x:c r="H477" s="30" t="str">
        <x:v>Present</x:v>
      </x:c>
      <x:c r="I477" s="30" t="str">
        <x:v>OK</x:v>
      </x:c>
    </x:row>
    <x:row r="478" ht="72" customHeight="1">
      <x:c r="A478" s="30" t="n">
        <x:v>5</x:v>
      </x:c>
      <x:c r="B478" s="30" t="str">
        <x:v>India</x:v>
      </x:c>
      <x:c r="C478" s="30" t="str">
        <x:v>Bharat Dynamics Ltd (BDL)</x:v>
      </x:c>
      <x:c r="D478" s="30" t="str">
        <x:v>Missiles</x:v>
      </x:c>
      <x:c r="E478" s="30" t="str">
        <x:v>NAG ATGM</x:v>
      </x:c>
      <x:c r="F478" s="30" t="n">
        <x:v>4</x:v>
      </x:c>
      <x:c r="G478" s="30" t="str">
        <x:v>Present</x:v>
      </x:c>
      <x:c r="H478" s="30" t="str">
        <x:v>Present</x:v>
      </x:c>
      <x:c r="I478" s="30" t="str">
        <x:v>OK</x:v>
      </x:c>
    </x:row>
    <x:row r="479" ht="72" customHeight="1">
      <x:c r="A479" s="30" t="n">
        <x:v>5</x:v>
      </x:c>
      <x:c r="B479" s="30" t="str">
        <x:v>India</x:v>
      </x:c>
      <x:c r="C479" s="30" t="str">
        <x:v>Bharat Dynamics Ltd (BDL)</x:v>
      </x:c>
      <x:c r="D479" s="30" t="str">
        <x:v>Missiles</x:v>
      </x:c>
      <x:c r="E479" s="30" t="str">
        <x:v>QRSAM</x:v>
      </x:c>
      <x:c r="F479" s="30" t="n">
        <x:v>3</x:v>
      </x:c>
      <x:c r="G479" s="30" t="str">
        <x:v>Present</x:v>
      </x:c>
      <x:c r="H479" s="30" t="str">
        <x:v>Present</x:v>
      </x:c>
      <x:c r="I479" s="30" t="str">
        <x:v>OK</x:v>
      </x:c>
    </x:row>
    <x:row r="480" ht="72" customHeight="1">
      <x:c r="A480" s="30" t="n">
        <x:v>5</x:v>
      </x:c>
      <x:c r="B480" s="30" t="str">
        <x:v>India</x:v>
      </x:c>
      <x:c r="C480" s="30" t="str">
        <x:v>Bharat Dynamics Ltd (BDL)</x:v>
      </x:c>
      <x:c r="D480" s="30" t="str">
        <x:v>Missiles</x:v>
      </x:c>
      <x:c r="E480" s="30" t="str">
        <x:v>Smart Anti-Airfield Weapon (SAAW)</x:v>
      </x:c>
      <x:c r="F480" s="30" t="n">
        <x:v>2</x:v>
      </x:c>
      <x:c r="G480" s="30" t="str">
        <x:v>Present</x:v>
      </x:c>
      <x:c r="H480" s="30" t="str">
        <x:v>Present</x:v>
      </x:c>
      <x:c r="I480" s="30" t="str">
        <x:v>OK</x:v>
      </x:c>
    </x:row>
    <x:row r="481" ht="72" customHeight="1">
      <x:c r="A481" s="30" t="n">
        <x:v>5</x:v>
      </x:c>
      <x:c r="B481" s="30" t="str">
        <x:v>India</x:v>
      </x:c>
      <x:c r="C481" s="30" t="str">
        <x:v>Bharat Dynamics Ltd (BDL)</x:v>
      </x:c>
      <x:c r="D481" s="30" t="str">
        <x:v>Missiles</x:v>
      </x:c>
      <x:c r="E481" s="30" t="str">
        <x:v>VL-SRSAM</x:v>
      </x:c>
      <x:c r="F481" s="30" t="n">
        <x:v>1</x:v>
      </x:c>
      <x:c r="G481" s="30" t="str">
        <x:v>Present</x:v>
      </x:c>
      <x:c r="H481" s="30" t="str">
        <x:v>Present</x:v>
      </x:c>
      <x:c r="I481" s="30" t="str">
        <x:v>OK</x:v>
      </x:c>
    </x:row>
    <x:row r="482" ht="72" customHeight="1">
      <x:c r="A482" s="30" t="n">
        <x:v>5</x:v>
      </x:c>
      <x:c r="B482" s="30" t="str">
        <x:v>Poland</x:v>
      </x:c>
      <x:c r="C482" s="30" t="str">
        <x:v>Huta Stalowa Wola (HSW)</x:v>
      </x:c>
      <x:c r="D482" s="30" t="str">
        <x:v>Artillery</x:v>
      </x:c>
      <x:c r="E482" s="30" t="str">
        <x:v>KRAB 155 mm Self-Propelled Howitzer</x:v>
      </x:c>
      <x:c r="F482" s="30" t="n">
        <x:v>5</x:v>
      </x:c>
      <x:c r="G482" s="30" t="str">
        <x:v>Present</x:v>
      </x:c>
      <x:c r="H482" s="30" t="str">
        <x:v>Present</x:v>
      </x:c>
      <x:c r="I482" s="30" t="str">
        <x:v>OK</x:v>
      </x:c>
    </x:row>
    <x:row r="483" ht="72" customHeight="1">
      <x:c r="A483" s="30" t="n">
        <x:v>5</x:v>
      </x:c>
      <x:c r="B483" s="30" t="str">
        <x:v>Poland</x:v>
      </x:c>
      <x:c r="C483" s="30" t="str">
        <x:v>Huta Stalowa Wola (HSW)</x:v>
      </x:c>
      <x:c r="D483" s="30" t="str">
        <x:v>Artillery</x:v>
      </x:c>
      <x:c r="E483" s="30" t="str">
        <x:v>KRYL 155 mm Truck-Mounted Howitzer</x:v>
      </x:c>
      <x:c r="F483" s="30" t="n">
        <x:v>1</x:v>
      </x:c>
      <x:c r="G483" s="30" t="str">
        <x:v>Present</x:v>
      </x:c>
      <x:c r="H483" s="30" t="str">
        <x:v>Present</x:v>
      </x:c>
      <x:c r="I483" s="30" t="str">
        <x:v>OK</x:v>
      </x:c>
    </x:row>
    <x:row r="484" ht="72" customHeight="1">
      <x:c r="A484" s="30" t="n">
        <x:v>5</x:v>
      </x:c>
      <x:c r="B484" s="30" t="str">
        <x:v>Poland</x:v>
      </x:c>
      <x:c r="C484" s="30" t="str">
        <x:v>Huta Stalowa Wola (HSW)</x:v>
      </x:c>
      <x:c r="D484" s="30" t="str">
        <x:v>Artillery</x:v>
      </x:c>
      <x:c r="E484" s="30" t="str">
        <x:v>RAK M120K 120 mm Self-Propelled Mortar</x:v>
      </x:c>
      <x:c r="F484" s="30" t="n">
        <x:v>3</x:v>
      </x:c>
      <x:c r="G484" s="30" t="str">
        <x:v>Present</x:v>
      </x:c>
      <x:c r="H484" s="30" t="str">
        <x:v>Present</x:v>
      </x:c>
      <x:c r="I484" s="30" t="str">
        <x:v>OK</x:v>
      </x:c>
    </x:row>
    <x:row r="485" ht="72" customHeight="1">
      <x:c r="A485" s="30" t="n">
        <x:v>5</x:v>
      </x:c>
      <x:c r="B485" s="30" t="str">
        <x:v>Poland</x:v>
      </x:c>
      <x:c r="C485" s="30" t="str">
        <x:v>Huta Stalowa Wola (HSW)</x:v>
      </x:c>
      <x:c r="D485" s="30" t="str">
        <x:v>Protected Vehicles</x:v>
      </x:c>
      <x:c r="E485" s="30" t="str">
        <x:v>BAOBAB-K Mine-Laying Vehicle</x:v>
      </x:c>
      <x:c r="F485" s="30" t="n">
        <x:v>1</x:v>
      </x:c>
      <x:c r="G485" s="30" t="str">
        <x:v>Present</x:v>
      </x:c>
      <x:c r="H485" s="30" t="str">
        <x:v>Present</x:v>
      </x:c>
      <x:c r="I485" s="30" t="str">
        <x:v>OK</x:v>
      </x:c>
    </x:row>
    <x:row r="486" ht="72" customHeight="1">
      <x:c r="A486" s="30" t="n">
        <x:v>5</x:v>
      </x:c>
      <x:c r="B486" s="30" t="str">
        <x:v>Poland</x:v>
      </x:c>
      <x:c r="C486" s="30" t="str">
        <x:v>Huta Stalowa Wola (HSW)</x:v>
      </x:c>
      <x:c r="D486" s="30" t="str">
        <x:v>Protected Vehicles</x:v>
      </x:c>
      <x:c r="E486" s="30" t="str">
        <x:v>Borsuk Amphibious IFV</x:v>
      </x:c>
      <x:c r="F486" s="30" t="n">
        <x:v>5</x:v>
      </x:c>
      <x:c r="G486" s="30" t="str">
        <x:v>Present</x:v>
      </x:c>
      <x:c r="H486" s="30" t="str">
        <x:v>Present</x:v>
      </x:c>
      <x:c r="I486" s="30" t="str">
        <x:v>OK</x:v>
      </x:c>
    </x:row>
    <x:row r="487" ht="72" customHeight="1">
      <x:c r="A487" s="30" t="n">
        <x:v>5</x:v>
      </x:c>
      <x:c r="B487" s="30" t="str">
        <x:v>US</x:v>
      </x:c>
      <x:c r="C487" s="30" t="str">
        <x:v>Oshkosh Defense</x:v>
      </x:c>
      <x:c r="D487" s="30" t="str">
        <x:v>Protected Vehicles</x:v>
      </x:c>
      <x:c r="E487" s="30" t="str">
        <x:v>FMTV A2 Family</x:v>
      </x:c>
      <x:c r="F487" s="30" t="n">
        <x:v>4</x:v>
      </x:c>
      <x:c r="G487" s="30" t="str">
        <x:v>Present</x:v>
      </x:c>
      <x:c r="H487" s="30" t="str">
        <x:v>Present</x:v>
      </x:c>
      <x:c r="I487" s="30" t="str">
        <x:v>Family/system/component-level entry — review if exact-model-only view is needed</x:v>
      </x:c>
    </x:row>
    <x:row r="488" ht="72" customHeight="1">
      <x:c r="A488" s="30" t="n">
        <x:v>5</x:v>
      </x:c>
      <x:c r="B488" s="30" t="str">
        <x:v>US</x:v>
      </x:c>
      <x:c r="C488" s="30" t="str">
        <x:v>Oshkosh Defense</x:v>
      </x:c>
      <x:c r="D488" s="30" t="str">
        <x:v>Protected Vehicles</x:v>
      </x:c>
      <x:c r="E488" s="30" t="str">
        <x:v>HEMTT A4</x:v>
      </x:c>
      <x:c r="F488" s="30" t="n">
        <x:v>4</x:v>
      </x:c>
      <x:c r="G488" s="30" t="str">
        <x:v>Present</x:v>
      </x:c>
      <x:c r="H488" s="30" t="str">
        <x:v>Present</x:v>
      </x:c>
      <x:c r="I488" s="30" t="str">
        <x:v>OK</x:v>
      </x:c>
    </x:row>
    <x:row r="489" ht="72" customHeight="1">
      <x:c r="A489" s="30" t="n">
        <x:v>5</x:v>
      </x:c>
      <x:c r="B489" s="30" t="str">
        <x:v>US</x:v>
      </x:c>
      <x:c r="C489" s="30" t="str">
        <x:v>Oshkosh Defense</x:v>
      </x:c>
      <x:c r="D489" s="30" t="str">
        <x:v>Protected Vehicles</x:v>
      </x:c>
      <x:c r="E489" s="30" t="str">
        <x:v>HET A1 / M1070</x:v>
      </x:c>
      <x:c r="F489" s="30" t="n">
        <x:v>2</x:v>
      </x:c>
      <x:c r="G489" s="30" t="str">
        <x:v>Present</x:v>
      </x:c>
      <x:c r="H489" s="30" t="str">
        <x:v>Present</x:v>
      </x:c>
      <x:c r="I489" s="30" t="str">
        <x:v>OK</x:v>
      </x:c>
    </x:row>
    <x:row r="490" ht="72" customHeight="1">
      <x:c r="A490" s="30" t="n">
        <x:v>5</x:v>
      </x:c>
      <x:c r="B490" s="30" t="str">
        <x:v>US</x:v>
      </x:c>
      <x:c r="C490" s="30" t="str">
        <x:v>Oshkosh Defense</x:v>
      </x:c>
      <x:c r="D490" s="30" t="str">
        <x:v>Protected Vehicles</x:v>
      </x:c>
      <x:c r="E490" s="30" t="str">
        <x:v>JLTV</x:v>
      </x:c>
      <x:c r="F490" s="30" t="n">
        <x:v>4</x:v>
      </x:c>
      <x:c r="G490" s="30" t="str">
        <x:v>Present</x:v>
      </x:c>
      <x:c r="H490" s="30" t="str">
        <x:v>Present</x:v>
      </x:c>
      <x:c r="I490" s="30" t="str">
        <x:v>OK</x:v>
      </x:c>
    </x:row>
    <x:row r="491" ht="72" customHeight="1">
      <x:c r="A491" s="30" t="n">
        <x:v>5</x:v>
      </x:c>
      <x:c r="B491" s="30" t="str">
        <x:v>US</x:v>
      </x:c>
      <x:c r="C491" s="30" t="str">
        <x:v>Oshkosh Defense</x:v>
      </x:c>
      <x:c r="D491" s="30" t="str">
        <x:v>Protected Vehicles</x:v>
      </x:c>
      <x:c r="E491" s="30" t="str">
        <x:v>LVSR</x:v>
      </x:c>
      <x:c r="F491" s="30" t="n">
        <x:v>2</x:v>
      </x:c>
      <x:c r="G491" s="30" t="str">
        <x:v>Present</x:v>
      </x:c>
      <x:c r="H491" s="30" t="str">
        <x:v>Present</x:v>
      </x:c>
      <x:c r="I491" s="30" t="str">
        <x:v>OK</x:v>
      </x:c>
    </x:row>
    <x:row r="492" ht="72" customHeight="1">
      <x:c r="A492" s="30" t="n">
        <x:v>5</x:v>
      </x:c>
      <x:c r="B492" s="30" t="str">
        <x:v>US</x:v>
      </x:c>
      <x:c r="C492" s="30" t="str">
        <x:v>Oshkosh Defense</x:v>
      </x:c>
      <x:c r="D492" s="30" t="str">
        <x:v>Protected Vehicles</x:v>
      </x:c>
      <x:c r="E492" s="30" t="str">
        <x:v>M-ATV Standard</x:v>
      </x:c>
      <x:c r="F492" s="30" t="n">
        <x:v>4</x:v>
      </x:c>
      <x:c r="G492" s="30" t="str">
        <x:v>Present</x:v>
      </x:c>
      <x:c r="H492" s="30" t="str">
        <x:v>Present</x:v>
      </x:c>
      <x:c r="I492" s="30" t="str">
        <x:v>OK</x:v>
      </x:c>
    </x:row>
    <x:row r="493" ht="72" customHeight="1">
      <x:c r="A493" s="30" t="n">
        <x:v>5</x:v>
      </x:c>
      <x:c r="B493" s="30" t="str">
        <x:v>US</x:v>
      </x:c>
      <x:c r="C493" s="30" t="str">
        <x:v>Oshkosh Defense</x:v>
      </x:c>
      <x:c r="D493" s="30" t="str">
        <x:v>Protected Vehicles</x:v>
      </x:c>
      <x:c r="E493" s="30" t="str">
        <x:v>PLS A1</x:v>
      </x:c>
      <x:c r="F493" s="30" t="n">
        <x:v>1</x:v>
      </x:c>
      <x:c r="G493" s="30" t="str">
        <x:v>Present</x:v>
      </x:c>
      <x:c r="H493" s="30" t="str">
        <x:v>Present</x:v>
      </x:c>
      <x:c r="I493" s="30" t="str">
        <x:v>OK</x:v>
      </x:c>
    </x:row>
    <x:row r="494" ht="72" customHeight="1">
      <x:c r="A494" s="30" t="n">
        <x:v>5</x:v>
      </x:c>
      <x:c r="B494" s="30" t="str">
        <x:v>US</x:v>
      </x:c>
      <x:c r="C494" s="30" t="str">
        <x:v>Oshkosh Defense</x:v>
      </x:c>
      <x:c r="D494" s="30" t="str">
        <x:v>Protected Vehicles</x:v>
      </x:c>
      <x:c r="E494" s="30" t="str">
        <x:v>Stryker Medium Caliber Weapon System (MCWS)</x:v>
      </x:c>
      <x:c r="F494" s="30" t="n">
        <x:v>1</x:v>
      </x:c>
      <x:c r="G494" s="30" t="str">
        <x:v>Present</x:v>
      </x:c>
      <x:c r="H494" s="30" t="str">
        <x:v>Present</x:v>
      </x:c>
      <x:c r="I494" s="30" t="str">
        <x:v>Family/system/component-level entry — review if exact-model-only view is needed</x:v>
      </x:c>
    </x:row>
    <x:row r="495" ht="72" customHeight="1">
      <x:c r="A495" s="30" t="n">
        <x:v>6</x:v>
      </x:c>
      <x:c r="B495" s="30" t="str">
        <x:v>South Korea</x:v>
      </x:c>
      <x:c r="C495" s="30" t="str">
        <x:v>Poongsan</x:v>
      </x:c>
      <x:c r="D495" s="30" t="str">
        <x:v>Ammunition</x:v>
      </x:c>
      <x:c r="E495" s="30" t="str">
        <x:v>105 mm APFSDS-T K274</x:v>
      </x:c>
      <x:c r="F495" s="30" t="n">
        <x:v>4</x:v>
      </x:c>
      <x:c r="G495" s="30" t="str">
        <x:v>Present</x:v>
      </x:c>
      <x:c r="H495" s="30" t="str">
        <x:v>Present</x:v>
      </x:c>
      <x:c r="I495" s="30" t="str">
        <x:v>OK</x:v>
      </x:c>
    </x:row>
    <x:row r="496" ht="72" customHeight="1">
      <x:c r="A496" s="30" t="n">
        <x:v>6</x:v>
      </x:c>
      <x:c r="B496" s="30" t="str">
        <x:v>South Korea</x:v>
      </x:c>
      <x:c r="C496" s="30" t="str">
        <x:v>Poongsan</x:v>
      </x:c>
      <x:c r="D496" s="30" t="str">
        <x:v>Ammunition</x:v>
      </x:c>
      <x:c r="E496" s="30" t="str">
        <x:v>105 mm Blank M395</x:v>
      </x:c>
      <x:c r="F496" s="30" t="n">
        <x:v>4</x:v>
      </x:c>
      <x:c r="G496" s="30" t="str">
        <x:v>Present</x:v>
      </x:c>
      <x:c r="H496" s="30" t="str">
        <x:v>Present</x:v>
      </x:c>
      <x:c r="I496" s="30" t="str">
        <x:v>OK</x:v>
      </x:c>
    </x:row>
    <x:row r="497" ht="72" customHeight="1">
      <x:c r="A497" s="30" t="n">
        <x:v>6</x:v>
      </x:c>
      <x:c r="B497" s="30" t="str">
        <x:v>South Korea</x:v>
      </x:c>
      <x:c r="C497" s="30" t="str">
        <x:v>Poongsan</x:v>
      </x:c>
      <x:c r="D497" s="30" t="str">
        <x:v>Ammunition</x:v>
      </x:c>
      <x:c r="E497" s="30" t="str">
        <x:v>105 mm HE M1</x:v>
      </x:c>
      <x:c r="F497" s="30" t="n">
        <x:v>4</x:v>
      </x:c>
      <x:c r="G497" s="30" t="str">
        <x:v>Present</x:v>
      </x:c>
      <x:c r="H497" s="30" t="str">
        <x:v>Present</x:v>
      </x:c>
      <x:c r="I497" s="30" t="str">
        <x:v>OK</x:v>
      </x:c>
    </x:row>
    <x:row r="498" ht="72" customHeight="1">
      <x:c r="A498" s="30" t="n">
        <x:v>6</x:v>
      </x:c>
      <x:c r="B498" s="30" t="str">
        <x:v>South Korea</x:v>
      </x:c>
      <x:c r="C498" s="30" t="str">
        <x:v>Poongsan</x:v>
      </x:c>
      <x:c r="D498" s="30" t="str">
        <x:v>Ammunition</x:v>
      </x:c>
      <x:c r="E498" s="30" t="str">
        <x:v>105 mm HEAT-T M456A1 / TP-T M490</x:v>
      </x:c>
      <x:c r="F498" s="30" t="n">
        <x:v>4</x:v>
      </x:c>
      <x:c r="G498" s="30" t="str">
        <x:v>Present</x:v>
      </x:c>
      <x:c r="H498" s="30" t="str">
        <x:v>Present</x:v>
      </x:c>
      <x:c r="I498" s="30" t="str">
        <x:v>OK</x:v>
      </x:c>
    </x:row>
    <x:row r="499" ht="72" customHeight="1">
      <x:c r="A499" s="30" t="n">
        <x:v>6</x:v>
      </x:c>
      <x:c r="B499" s="30" t="str">
        <x:v>South Korea</x:v>
      </x:c>
      <x:c r="C499" s="30" t="str">
        <x:v>Poongsan</x:v>
      </x:c>
      <x:c r="D499" s="30" t="str">
        <x:v>Ammunition</x:v>
      </x:c>
      <x:c r="E499" s="30" t="str">
        <x:v>105 mm Howitzer Ammunition</x:v>
      </x:c>
      <x:c r="F499" s="30" t="n">
        <x:v>5</x:v>
      </x:c>
      <x:c r="G499" s="30" t="str">
        <x:v>Present</x:v>
      </x:c>
      <x:c r="H499" s="30" t="str">
        <x:v>Present</x:v>
      </x:c>
      <x:c r="I499" s="30" t="str">
        <x:v>OK</x:v>
      </x:c>
    </x:row>
    <x:row r="500" ht="72" customHeight="1">
      <x:c r="A500" s="30" t="n">
        <x:v>6</x:v>
      </x:c>
      <x:c r="B500" s="30" t="str">
        <x:v>South Korea</x:v>
      </x:c>
      <x:c r="C500" s="30" t="str">
        <x:v>Poongsan</x:v>
      </x:c>
      <x:c r="D500" s="30" t="str">
        <x:v>Ammunition</x:v>
      </x:c>
      <x:c r="E500" s="30" t="str">
        <x:v>105 mm Tank Ammunition</x:v>
      </x:c>
      <x:c r="F500" s="30" t="n">
        <x:v>5</x:v>
      </x:c>
      <x:c r="G500" s="30" t="str">
        <x:v>Present</x:v>
      </x:c>
      <x:c r="H500" s="30" t="str">
        <x:v>Present</x:v>
      </x:c>
      <x:c r="I500" s="30" t="str">
        <x:v>OK</x:v>
      </x:c>
    </x:row>
    <x:row r="501" ht="72" customHeight="1">
      <x:c r="A501" s="30" t="n">
        <x:v>6</x:v>
      </x:c>
      <x:c r="B501" s="30" t="str">
        <x:v>South Korea</x:v>
      </x:c>
      <x:c r="C501" s="30" t="str">
        <x:v>Poongsan</x:v>
      </x:c>
      <x:c r="D501" s="30" t="str">
        <x:v>Ammunition</x:v>
      </x:c>
      <x:c r="E501" s="30" t="str">
        <x:v>12.7×99 mm</x:v>
      </x:c>
      <x:c r="F501" s="30" t="n">
        <x:v>6</x:v>
      </x:c>
      <x:c r="G501" s="30" t="str">
        <x:v>Present</x:v>
      </x:c>
      <x:c r="H501" s="30" t="str">
        <x:v>Present</x:v>
      </x:c>
      <x:c r="I501" s="30" t="str">
        <x:v>OK</x:v>
      </x:c>
    </x:row>
    <x:row r="502" ht="72" customHeight="1">
      <x:c r="A502" s="30" t="n">
        <x:v>6</x:v>
      </x:c>
      <x:c r="B502" s="30" t="str">
        <x:v>South Korea</x:v>
      </x:c>
      <x:c r="C502" s="30" t="str">
        <x:v>Poongsan</x:v>
      </x:c>
      <x:c r="D502" s="30" t="str">
        <x:v>Ammunition</x:v>
      </x:c>
      <x:c r="E502" s="30" t="str">
        <x:v>120 mm APFSDS-T K276</x:v>
      </x:c>
      <x:c r="F502" s="30" t="n">
        <x:v>4</x:v>
      </x:c>
      <x:c r="G502" s="30" t="str">
        <x:v>Present</x:v>
      </x:c>
      <x:c r="H502" s="30" t="str">
        <x:v>Present</x:v>
      </x:c>
      <x:c r="I502" s="30" t="str">
        <x:v>OK</x:v>
      </x:c>
    </x:row>
    <x:row r="503" ht="72" customHeight="1">
      <x:c r="A503" s="30" t="n">
        <x:v>6</x:v>
      </x:c>
      <x:c r="B503" s="30" t="str">
        <x:v>South Korea</x:v>
      </x:c>
      <x:c r="C503" s="30" t="str">
        <x:v>Poongsan</x:v>
      </x:c>
      <x:c r="D503" s="30" t="str">
        <x:v>Ammunition</x:v>
      </x:c>
      <x:c r="E503" s="30" t="str">
        <x:v>120 mm APFSDS-T K279</x:v>
      </x:c>
      <x:c r="F503" s="30" t="n">
        <x:v>4</x:v>
      </x:c>
      <x:c r="G503" s="30" t="str">
        <x:v>Present</x:v>
      </x:c>
      <x:c r="H503" s="30" t="str">
        <x:v>Present</x:v>
      </x:c>
      <x:c r="I503" s="30" t="str">
        <x:v>OK</x:v>
      </x:c>
    </x:row>
    <x:row r="504" ht="72" customHeight="1">
      <x:c r="A504" s="30" t="n">
        <x:v>6</x:v>
      </x:c>
      <x:c r="B504" s="30" t="str">
        <x:v>South Korea</x:v>
      </x:c>
      <x:c r="C504" s="30" t="str">
        <x:v>Poongsan</x:v>
      </x:c>
      <x:c r="D504" s="30" t="str">
        <x:v>Ammunition</x:v>
      </x:c>
      <x:c r="E504" s="30" t="str">
        <x:v>120 mm HEAT-MP-T K277 / TP-T K282</x:v>
      </x:c>
      <x:c r="F504" s="30" t="n">
        <x:v>4</x:v>
      </x:c>
      <x:c r="G504" s="30" t="str">
        <x:v>Present</x:v>
      </x:c>
      <x:c r="H504" s="30" t="str">
        <x:v>Present</x:v>
      </x:c>
      <x:c r="I504" s="30" t="str">
        <x:v>OK</x:v>
      </x:c>
    </x:row>
    <x:row r="505" ht="72" customHeight="1">
      <x:c r="A505" s="30" t="n">
        <x:v>6</x:v>
      </x:c>
      <x:c r="B505" s="30" t="str">
        <x:v>South Korea</x:v>
      </x:c>
      <x:c r="C505" s="30" t="str">
        <x:v>Poongsan</x:v>
      </x:c>
      <x:c r="D505" s="30" t="str">
        <x:v>Ammunition</x:v>
      </x:c>
      <x:c r="E505" s="30" t="str">
        <x:v>120 mm HEAT-MP-T K280</x:v>
      </x:c>
      <x:c r="F505" s="30" t="n">
        <x:v>4</x:v>
      </x:c>
      <x:c r="G505" s="30" t="str">
        <x:v>Present</x:v>
      </x:c>
      <x:c r="H505" s="30" t="str">
        <x:v>Present</x:v>
      </x:c>
      <x:c r="I505" s="30" t="str">
        <x:v>OK</x:v>
      </x:c>
    </x:row>
    <x:row r="506" ht="72" customHeight="1">
      <x:c r="A506" s="30" t="n">
        <x:v>6</x:v>
      </x:c>
      <x:c r="B506" s="30" t="str">
        <x:v>South Korea</x:v>
      </x:c>
      <x:c r="C506" s="30" t="str">
        <x:v>Poongsan</x:v>
      </x:c>
      <x:c r="D506" s="30" t="str">
        <x:v>Ammunition</x:v>
      </x:c>
      <x:c r="E506" s="30" t="str">
        <x:v>127 mm/54 cal K300/K301</x:v>
      </x:c>
      <x:c r="F506" s="30" t="n">
        <x:v>4</x:v>
      </x:c>
      <x:c r="G506" s="30" t="str">
        <x:v>Present</x:v>
      </x:c>
      <x:c r="H506" s="30" t="str">
        <x:v>Present</x:v>
      </x:c>
      <x:c r="I506" s="30" t="str">
        <x:v>OK</x:v>
      </x:c>
    </x:row>
    <x:row r="507" ht="72" customHeight="1">
      <x:c r="A507" s="30" t="n">
        <x:v>6</x:v>
      </x:c>
      <x:c r="B507" s="30" t="str">
        <x:v>South Korea</x:v>
      </x:c>
      <x:c r="C507" s="30" t="str">
        <x:v>Poongsan</x:v>
      </x:c>
      <x:c r="D507" s="30" t="str">
        <x:v>Ammunition</x:v>
      </x:c>
      <x:c r="E507" s="30" t="str">
        <x:v>155 mm Base-Bleed HE K307</x:v>
      </x:c>
      <x:c r="F507" s="30" t="n">
        <x:v>4</x:v>
      </x:c>
      <x:c r="G507" s="30" t="str">
        <x:v>Present</x:v>
      </x:c>
      <x:c r="H507" s="30" t="str">
        <x:v>Present</x:v>
      </x:c>
      <x:c r="I507" s="30" t="str">
        <x:v>OK</x:v>
      </x:c>
    </x:row>
    <x:row r="508" ht="72" customHeight="1">
      <x:c r="A508" s="30" t="n">
        <x:v>6</x:v>
      </x:c>
      <x:c r="B508" s="30" t="str">
        <x:v>South Korea</x:v>
      </x:c>
      <x:c r="C508" s="30" t="str">
        <x:v>Poongsan</x:v>
      </x:c>
      <x:c r="D508" s="30" t="str">
        <x:v>Ammunition</x:v>
      </x:c>
      <x:c r="E508" s="30" t="str">
        <x:v>155 mm HE M107</x:v>
      </x:c>
      <x:c r="F508" s="30" t="n">
        <x:v>4</x:v>
      </x:c>
      <x:c r="G508" s="30" t="str">
        <x:v>Present</x:v>
      </x:c>
      <x:c r="H508" s="30" t="str">
        <x:v>Present</x:v>
      </x:c>
      <x:c r="I508" s="30" t="str">
        <x:v>OK</x:v>
      </x:c>
    </x:row>
    <x:row r="509" ht="72" customHeight="1">
      <x:c r="A509" s="30" t="n">
        <x:v>6</x:v>
      </x:c>
      <x:c r="B509" s="30" t="str">
        <x:v>South Korea</x:v>
      </x:c>
      <x:c r="C509" s="30" t="str">
        <x:v>Poongsan</x:v>
      </x:c>
      <x:c r="D509" s="30" t="str">
        <x:v>Ammunition</x:v>
      </x:c>
      <x:c r="E509" s="30" t="str">
        <x:v>155 mm Howitzer Ammunition</x:v>
      </x:c>
      <x:c r="F509" s="30" t="n">
        <x:v>7</x:v>
      </x:c>
      <x:c r="G509" s="30" t="str">
        <x:v>Present</x:v>
      </x:c>
      <x:c r="H509" s="30" t="str">
        <x:v>Present</x:v>
      </x:c>
      <x:c r="I509" s="30" t="str">
        <x:v>OK</x:v>
      </x:c>
    </x:row>
    <x:row r="510" ht="72" customHeight="1">
      <x:c r="A510" s="30" t="n">
        <x:v>6</x:v>
      </x:c>
      <x:c r="B510" s="30" t="str">
        <x:v>South Korea</x:v>
      </x:c>
      <x:c r="C510" s="30" t="str">
        <x:v>Poongsan</x:v>
      </x:c>
      <x:c r="D510" s="30" t="str">
        <x:v>Ammunition</x:v>
      </x:c>
      <x:c r="E510" s="30" t="str">
        <x:v>155 mm Ramjet / Extended-Range Ammunition R&amp;D</x:v>
      </x:c>
      <x:c r="F510" s="30" t="n">
        <x:v>1</x:v>
      </x:c>
      <x:c r="G510" s="30" t="str">
        <x:v>Present</x:v>
      </x:c>
      <x:c r="H510" s="30" t="str">
        <x:v>Present</x:v>
      </x:c>
      <x:c r="I510" s="30" t="str">
        <x:v>Limited/configuration-dependent public specifications</x:v>
      </x:c>
    </x:row>
    <x:row r="511" ht="72" customHeight="1">
      <x:c r="A511" s="30" t="n">
        <x:v>6</x:v>
      </x:c>
      <x:c r="B511" s="30" t="str">
        <x:v>South Korea</x:v>
      </x:c>
      <x:c r="C511" s="30" t="str">
        <x:v>Poongsan</x:v>
      </x:c>
      <x:c r="D511" s="30" t="str">
        <x:v>Ammunition</x:v>
      </x:c>
      <x:c r="E511" s="30" t="str">
        <x:v>20 mm MPT-SD K163</x:v>
      </x:c>
      <x:c r="F511" s="30" t="n">
        <x:v>4</x:v>
      </x:c>
      <x:c r="G511" s="30" t="str">
        <x:v>Present</x:v>
      </x:c>
      <x:c r="H511" s="30" t="str">
        <x:v>Present</x:v>
      </x:c>
      <x:c r="I511" s="30" t="str">
        <x:v>OK</x:v>
      </x:c>
    </x:row>
    <x:row r="512" ht="72" customHeight="1">
      <x:c r="A512" s="30" t="n">
        <x:v>6</x:v>
      </x:c>
      <x:c r="B512" s="30" t="str">
        <x:v>South Korea</x:v>
      </x:c>
      <x:c r="C512" s="30" t="str">
        <x:v>Poongsan</x:v>
      </x:c>
      <x:c r="D512" s="30" t="str">
        <x:v>Ammunition</x:v>
      </x:c>
      <x:c r="E512" s="30" t="str">
        <x:v>20×102 mm M246/M56A3/M200/M55A2/STP K159</x:v>
      </x:c>
      <x:c r="F512" s="30" t="n">
        <x:v>4</x:v>
      </x:c>
      <x:c r="G512" s="30" t="str">
        <x:v>Present</x:v>
      </x:c>
      <x:c r="H512" s="30" t="str">
        <x:v>Present</x:v>
      </x:c>
      <x:c r="I512" s="30" t="str">
        <x:v>OK</x:v>
      </x:c>
    </x:row>
    <x:row r="513" ht="72" customHeight="1">
      <x:c r="A513" s="30" t="n">
        <x:v>6</x:v>
      </x:c>
      <x:c r="B513" s="30" t="str">
        <x:v>South Korea</x:v>
      </x:c>
      <x:c r="C513" s="30" t="str">
        <x:v>Poongsan</x:v>
      </x:c>
      <x:c r="D513" s="30" t="str">
        <x:v>Ammunition</x:v>
      </x:c>
      <x:c r="E513" s="30" t="str">
        <x:v>30 mm Anti-Drone / Advanced Naval Ammunition R&amp;D</x:v>
      </x:c>
      <x:c r="F513" s="30" t="n">
        <x:v>1</x:v>
      </x:c>
      <x:c r="G513" s="30" t="str">
        <x:v>Present</x:v>
      </x:c>
      <x:c r="H513" s="30" t="str">
        <x:v>Present</x:v>
      </x:c>
      <x:c r="I513" s="30" t="str">
        <x:v>OK</x:v>
      </x:c>
    </x:row>
    <x:row r="514" ht="72" customHeight="1">
      <x:c r="A514" s="30" t="n">
        <x:v>6</x:v>
      </x:c>
      <x:c r="B514" s="30" t="str">
        <x:v>South Korea</x:v>
      </x:c>
      <x:c r="C514" s="30" t="str">
        <x:v>Poongsan</x:v>
      </x:c>
      <x:c r="D514" s="30" t="str">
        <x:v>Ammunition</x:v>
      </x:c>
      <x:c r="E514" s="30" t="str">
        <x:v>30 mm Goalkeeper MPDS K164 / FMPDS K165</x:v>
      </x:c>
      <x:c r="F514" s="30" t="n">
        <x:v>5</x:v>
      </x:c>
      <x:c r="G514" s="30" t="str">
        <x:v>Present</x:v>
      </x:c>
      <x:c r="H514" s="30" t="str">
        <x:v>Present</x:v>
      </x:c>
      <x:c r="I514" s="30" t="str">
        <x:v>OK</x:v>
      </x:c>
    </x:row>
    <x:row r="515" ht="72" customHeight="1">
      <x:c r="A515" s="30" t="n">
        <x:v>6</x:v>
      </x:c>
      <x:c r="B515" s="30" t="str">
        <x:v>South Korea</x:v>
      </x:c>
      <x:c r="C515" s="30" t="str">
        <x:v>Poongsan</x:v>
      </x:c>
      <x:c r="D515" s="30" t="str">
        <x:v>Ammunition</x:v>
      </x:c>
      <x:c r="E515" s="30" t="str">
        <x:v>30 mm Oerlikon K154/K155/K156/K162/K160/K161</x:v>
      </x:c>
      <x:c r="F515" s="30" t="n">
        <x:v>4</x:v>
      </x:c>
      <x:c r="G515" s="30" t="str">
        <x:v>Present</x:v>
      </x:c>
      <x:c r="H515" s="30" t="str">
        <x:v>Present</x:v>
      </x:c>
      <x:c r="I515" s="30" t="str">
        <x:v>OK</x:v>
      </x:c>
    </x:row>
    <x:row r="516" ht="72" customHeight="1">
      <x:c r="A516" s="30" t="n">
        <x:v>6</x:v>
      </x:c>
      <x:c r="B516" s="30" t="str">
        <x:v>South Korea</x:v>
      </x:c>
      <x:c r="C516" s="30" t="str">
        <x:v>Poongsan</x:v>
      </x:c>
      <x:c r="D516" s="30" t="str">
        <x:v>Ammunition</x:v>
      </x:c>
      <x:c r="E516" s="30" t="str">
        <x:v>35 mm Oerlikon K202/K203</x:v>
      </x:c>
      <x:c r="F516" s="30" t="n">
        <x:v>4</x:v>
      </x:c>
      <x:c r="G516" s="30" t="str">
        <x:v>Present</x:v>
      </x:c>
      <x:c r="H516" s="30" t="str">
        <x:v>Present</x:v>
      </x:c>
      <x:c r="I516" s="30" t="str">
        <x:v>OK</x:v>
      </x:c>
    </x:row>
    <x:row r="517" ht="72" customHeight="1">
      <x:c r="A517" s="30" t="n">
        <x:v>6</x:v>
      </x:c>
      <x:c r="B517" s="30" t="str">
        <x:v>South Korea</x:v>
      </x:c>
      <x:c r="C517" s="30" t="str">
        <x:v>Poongsan</x:v>
      </x:c>
      <x:c r="D517" s="30" t="str">
        <x:v>Ammunition</x:v>
      </x:c>
      <x:c r="E517" s="30" t="str">
        <x:v>40 mm APFSDS-T K237</x:v>
      </x:c>
      <x:c r="F517" s="30" t="n">
        <x:v>4</x:v>
      </x:c>
      <x:c r="G517" s="30" t="str">
        <x:v>Present</x:v>
      </x:c>
      <x:c r="H517" s="30" t="str">
        <x:v>Present</x:v>
      </x:c>
      <x:c r="I517" s="30" t="str">
        <x:v>OK</x:v>
      </x:c>
    </x:row>
    <x:row r="518" ht="72" customHeight="1">
      <x:c r="A518" s="30" t="n">
        <x:v>6</x:v>
      </x:c>
      <x:c r="B518" s="30" t="str">
        <x:v>South Korea</x:v>
      </x:c>
      <x:c r="C518" s="30" t="str">
        <x:v>Poongsan</x:v>
      </x:c>
      <x:c r="D518" s="30" t="str">
        <x:v>Ammunition</x:v>
      </x:c>
      <x:c r="E518" s="30" t="str">
        <x:v>40 mm L/70 K216/K217/K218/K219</x:v>
      </x:c>
      <x:c r="F518" s="30" t="n">
        <x:v>4</x:v>
      </x:c>
      <x:c r="G518" s="30" t="str">
        <x:v>Present</x:v>
      </x:c>
      <x:c r="H518" s="30" t="str">
        <x:v>Present</x:v>
      </x:c>
      <x:c r="I518" s="30" t="str">
        <x:v>OK</x:v>
      </x:c>
    </x:row>
    <x:row r="519" ht="72" customHeight="1">
      <x:c r="A519" s="30" t="n">
        <x:v>6</x:v>
      </x:c>
      <x:c r="B519" s="30" t="str">
        <x:v>South Korea</x:v>
      </x:c>
      <x:c r="C519" s="30" t="str">
        <x:v>Poongsan</x:v>
      </x:c>
      <x:c r="D519" s="30" t="str">
        <x:v>Ammunition</x:v>
      </x:c>
      <x:c r="E519" s="30" t="str">
        <x:v>40 mm MMFA K236</x:v>
      </x:c>
      <x:c r="F519" s="30" t="n">
        <x:v>4</x:v>
      </x:c>
      <x:c r="G519" s="30" t="str">
        <x:v>Present</x:v>
      </x:c>
      <x:c r="H519" s="30" t="str">
        <x:v>Present</x:v>
      </x:c>
      <x:c r="I519" s="30" t="str">
        <x:v>OK</x:v>
      </x:c>
    </x:row>
    <x:row r="520" ht="72" customHeight="1">
      <x:c r="A520" s="30" t="n">
        <x:v>6</x:v>
      </x:c>
      <x:c r="B520" s="30" t="str">
        <x:v>South Korea</x:v>
      </x:c>
      <x:c r="C520" s="30" t="str">
        <x:v>Poongsan</x:v>
      </x:c>
      <x:c r="D520" s="30" t="str">
        <x:v>Ammunition</x:v>
      </x:c>
      <x:c r="E520" s="30" t="str">
        <x:v>5.56×45 mm</x:v>
      </x:c>
      <x:c r="F520" s="30" t="n">
        <x:v>6</x:v>
      </x:c>
      <x:c r="G520" s="30" t="str">
        <x:v>Present</x:v>
      </x:c>
      <x:c r="H520" s="30" t="str">
        <x:v>Present</x:v>
      </x:c>
      <x:c r="I520" s="30" t="str">
        <x:v>OK</x:v>
      </x:c>
    </x:row>
    <x:row r="521" ht="72" customHeight="1">
      <x:c r="A521" s="30" t="n">
        <x:v>6</x:v>
      </x:c>
      <x:c r="B521" s="30" t="str">
        <x:v>South Korea</x:v>
      </x:c>
      <x:c r="C521" s="30" t="str">
        <x:v>Poongsan</x:v>
      </x:c>
      <x:c r="D521" s="30" t="str">
        <x:v>Ammunition</x:v>
      </x:c>
      <x:c r="E521" s="30" t="str">
        <x:v>60 mm HE K207</x:v>
      </x:c>
      <x:c r="F521" s="30" t="n">
        <x:v>4</x:v>
      </x:c>
      <x:c r="G521" s="30" t="str">
        <x:v>Present</x:v>
      </x:c>
      <x:c r="H521" s="30" t="str">
        <x:v>Present</x:v>
      </x:c>
      <x:c r="I521" s="30" t="str">
        <x:v>OK</x:v>
      </x:c>
    </x:row>
    <x:row r="522" ht="72" customHeight="1">
      <x:c r="A522" s="30" t="n">
        <x:v>6</x:v>
      </x:c>
      <x:c r="B522" s="30" t="str">
        <x:v>South Korea</x:v>
      </x:c>
      <x:c r="C522" s="30" t="str">
        <x:v>Poongsan</x:v>
      </x:c>
      <x:c r="D522" s="30" t="str">
        <x:v>Ammunition</x:v>
      </x:c>
      <x:c r="E522" s="30" t="str">
        <x:v>7.62×39 mm</x:v>
      </x:c>
      <x:c r="F522" s="30" t="n">
        <x:v>4</x:v>
      </x:c>
      <x:c r="G522" s="30" t="str">
        <x:v>Present</x:v>
      </x:c>
      <x:c r="H522" s="30" t="str">
        <x:v>Present</x:v>
      </x:c>
      <x:c r="I522" s="30" t="str">
        <x:v>OK</x:v>
      </x:c>
    </x:row>
    <x:row r="523" ht="72" customHeight="1">
      <x:c r="A523" s="30" t="n">
        <x:v>6</x:v>
      </x:c>
      <x:c r="B523" s="30" t="str">
        <x:v>South Korea</x:v>
      </x:c>
      <x:c r="C523" s="30" t="str">
        <x:v>Poongsan</x:v>
      </x:c>
      <x:c r="D523" s="30" t="str">
        <x:v>Ammunition</x:v>
      </x:c>
      <x:c r="E523" s="30" t="str">
        <x:v>7.62×51 mm</x:v>
      </x:c>
      <x:c r="F523" s="30" t="n">
        <x:v>4</x:v>
      </x:c>
      <x:c r="G523" s="30" t="str">
        <x:v>Present</x:v>
      </x:c>
      <x:c r="H523" s="30" t="str">
        <x:v>Present</x:v>
      </x:c>
      <x:c r="I523" s="30" t="str">
        <x:v>OK</x:v>
      </x:c>
    </x:row>
    <x:row r="524" ht="72" customHeight="1">
      <x:c r="A524" s="30" t="n">
        <x:v>6</x:v>
      </x:c>
      <x:c r="B524" s="30" t="str">
        <x:v>South Korea</x:v>
      </x:c>
      <x:c r="C524" s="30" t="str">
        <x:v>Poongsan</x:v>
      </x:c>
      <x:c r="D524" s="30" t="str">
        <x:v>Ammunition</x:v>
      </x:c>
      <x:c r="E524" s="30" t="str">
        <x:v>76 mm L/62 PFF-HE K246</x:v>
      </x:c>
      <x:c r="F524" s="30" t="n">
        <x:v>4</x:v>
      </x:c>
      <x:c r="G524" s="30" t="str">
        <x:v>Present</x:v>
      </x:c>
      <x:c r="H524" s="30" t="str">
        <x:v>Present</x:v>
      </x:c>
      <x:c r="I524" s="30" t="str">
        <x:v>OK</x:v>
      </x:c>
    </x:row>
    <x:row r="525" ht="72" customHeight="1">
      <x:c r="A525" s="30" t="n">
        <x:v>6</x:v>
      </x:c>
      <x:c r="B525" s="30" t="str">
        <x:v>South Korea</x:v>
      </x:c>
      <x:c r="C525" s="30" t="str">
        <x:v>Poongsan</x:v>
      </x:c>
      <x:c r="D525" s="30" t="str">
        <x:v>Ammunition</x:v>
      </x:c>
      <x:c r="E525" s="30" t="str">
        <x:v>76 mm Naval Gun Ammunition</x:v>
      </x:c>
      <x:c r="F525" s="30" t="n">
        <x:v>2</x:v>
      </x:c>
      <x:c r="G525" s="30" t="str">
        <x:v>Present</x:v>
      </x:c>
      <x:c r="H525" s="30" t="str">
        <x:v>Present</x:v>
      </x:c>
      <x:c r="I525" s="30" t="str">
        <x:v>OK</x:v>
      </x:c>
    </x:row>
    <x:row r="526" ht="72" customHeight="1">
      <x:c r="A526" s="30" t="n">
        <x:v>6</x:v>
      </x:c>
      <x:c r="B526" s="30" t="str">
        <x:v>South Korea</x:v>
      </x:c>
      <x:c r="C526" s="30" t="str">
        <x:v>Poongsan</x:v>
      </x:c>
      <x:c r="D526" s="30" t="str">
        <x:v>Ammunition</x:v>
      </x:c>
      <x:c r="E526" s="30" t="str">
        <x:v>76 mm/62 cal K243/K244/K245</x:v>
      </x:c>
      <x:c r="F526" s="30" t="n">
        <x:v>4</x:v>
      </x:c>
      <x:c r="G526" s="30" t="str">
        <x:v>Present</x:v>
      </x:c>
      <x:c r="H526" s="30" t="str">
        <x:v>Present</x:v>
      </x:c>
      <x:c r="I526" s="30" t="str">
        <x:v>OK</x:v>
      </x:c>
    </x:row>
    <x:row r="527" ht="72" customHeight="1">
      <x:c r="A527" s="30" t="n">
        <x:v>6</x:v>
      </x:c>
      <x:c r="B527" s="30" t="str">
        <x:v>South Korea</x:v>
      </x:c>
      <x:c r="C527" s="30" t="str">
        <x:v>Poongsan</x:v>
      </x:c>
      <x:c r="D527" s="30" t="str">
        <x:v>Ammunition</x:v>
      </x:c>
      <x:c r="E527" s="30" t="str">
        <x:v>8-inch / 203 mm Howitzer Projectile Family</x:v>
      </x:c>
      <x:c r="F527" s="30" t="n">
        <x:v>4</x:v>
      </x:c>
      <x:c r="G527" s="30" t="str">
        <x:v>Present</x:v>
      </x:c>
      <x:c r="H527" s="30" t="str">
        <x:v>Present</x:v>
      </x:c>
      <x:c r="I527" s="30" t="str">
        <x:v>Family/system/component-level entry — review if exact-model-only view is needed</x:v>
      </x:c>
    </x:row>
    <x:row r="528" ht="72" customHeight="1">
      <x:c r="A528" s="30" t="n">
        <x:v>6</x:v>
      </x:c>
      <x:c r="B528" s="30" t="str">
        <x:v>South Korea</x:v>
      </x:c>
      <x:c r="C528" s="30" t="str">
        <x:v>Poongsan</x:v>
      </x:c>
      <x:c r="D528" s="30" t="str">
        <x:v>Ammunition</x:v>
      </x:c>
      <x:c r="E528" s="30" t="str">
        <x:v>81 mm HE K247</x:v>
      </x:c>
      <x:c r="F528" s="30" t="n">
        <x:v>4</x:v>
      </x:c>
      <x:c r="G528" s="30" t="str">
        <x:v>Present</x:v>
      </x:c>
      <x:c r="H528" s="30" t="str">
        <x:v>Present</x:v>
      </x:c>
      <x:c r="I528" s="30" t="str">
        <x:v>OK</x:v>
      </x:c>
    </x:row>
    <x:row r="529" ht="72" customHeight="1">
      <x:c r="A529" s="30" t="n">
        <x:v>6</x:v>
      </x:c>
      <x:c r="B529" s="30" t="str">
        <x:v>South Korea</x:v>
      </x:c>
      <x:c r="C529" s="30" t="str">
        <x:v>Poongsan</x:v>
      </x:c>
      <x:c r="D529" s="30" t="str">
        <x:v>Ammunition</x:v>
      </x:c>
      <x:c r="E529" s="30" t="str">
        <x:v>Depth Charge</x:v>
      </x:c>
      <x:c r="F529" s="30" t="n">
        <x:v>4</x:v>
      </x:c>
      <x:c r="G529" s="30" t="str">
        <x:v>Present</x:v>
      </x:c>
      <x:c r="H529" s="30" t="str">
        <x:v>Present</x:v>
      </x:c>
      <x:c r="I529" s="30" t="str">
        <x:v>OK</x:v>
      </x:c>
    </x:row>
    <x:row r="530" ht="72" customHeight="1">
      <x:c r="A530" s="30" t="n">
        <x:v>6</x:v>
      </x:c>
      <x:c r="B530" s="30" t="str">
        <x:v>South Korea</x:v>
      </x:c>
      <x:c r="C530" s="30" t="str">
        <x:v>Poongsan</x:v>
      </x:c>
      <x:c r="D530" s="30" t="str">
        <x:v>Ammunition</x:v>
      </x:c>
      <x:c r="E530" s="30" t="str">
        <x:v>MLRS Warhead / Submunition Assemblies</x:v>
      </x:c>
      <x:c r="F530" s="30" t="n">
        <x:v>2</x:v>
      </x:c>
      <x:c r="G530" s="30" t="str">
        <x:v>Present</x:v>
      </x:c>
      <x:c r="H530" s="30" t="str">
        <x:v>Present</x:v>
      </x:c>
      <x:c r="I530" s="30" t="str">
        <x:v>Family/system/component-level entry — review if exact-model-only view is needed</x:v>
      </x:c>
    </x:row>
    <x:row r="531" ht="72" customHeight="1">
      <x:c r="A531" s="30" t="n">
        <x:v>6</x:v>
      </x:c>
      <x:c r="B531" s="30" t="str">
        <x:v>South Korea</x:v>
      </x:c>
      <x:c r="C531" s="30" t="str">
        <x:v>Poongsan</x:v>
      </x:c>
      <x:c r="D531" s="30" t="str">
        <x:v>Ammunition</x:v>
      </x:c>
      <x:c r="E531" s="30" t="str">
        <x:v>Pistol &amp; Revolver Ammunition</x:v>
      </x:c>
      <x:c r="F531" s="30" t="n">
        <x:v>6</x:v>
      </x:c>
      <x:c r="G531" s="30" t="str">
        <x:v>Present</x:v>
      </x:c>
      <x:c r="H531" s="30" t="str">
        <x:v>Present</x:v>
      </x:c>
      <x:c r="I531" s="30" t="str">
        <x:v>OK</x:v>
      </x:c>
    </x:row>
    <x:row r="532" ht="72" customHeight="1">
      <x:c r="A532" s="30" t="n">
        <x:v>6</x:v>
      </x:c>
      <x:c r="B532" s="30" t="str">
        <x:v>Norway</x:v>
      </x:c>
      <x:c r="C532" s="30" t="str">
        <x:v>Nammo</x:v>
      </x:c>
      <x:c r="D532" s="30" t="str">
        <x:v>Ammunition</x:v>
      </x:c>
      <x:c r="E532" s="30" t="str">
        <x:v>12.7 mm x 99 AP-S (.50 Cal)</x:v>
      </x:c>
      <x:c r="F532" s="30" t="n">
        <x:v>3</x:v>
      </x:c>
      <x:c r="G532" s="30" t="str">
        <x:v>Present</x:v>
      </x:c>
      <x:c r="H532" s="30" t="str">
        <x:v>Present</x:v>
      </x:c>
      <x:c r="I532" s="30" t="str">
        <x:v>OK</x:v>
      </x:c>
    </x:row>
    <x:row r="533" ht="72" customHeight="1">
      <x:c r="A533" s="30" t="n">
        <x:v>6</x:v>
      </x:c>
      <x:c r="B533" s="30" t="str">
        <x:v>Norway</x:v>
      </x:c>
      <x:c r="C533" s="30" t="str">
        <x:v>Nammo</x:v>
      </x:c>
      <x:c r="D533" s="30" t="str">
        <x:v>Ammunition</x:v>
      </x:c>
      <x:c r="E533" s="30" t="str">
        <x:v>12.7 mm x 99 API (.50 Cal)</x:v>
      </x:c>
      <x:c r="F533" s="30" t="n">
        <x:v>3</x:v>
      </x:c>
      <x:c r="G533" s="30" t="str">
        <x:v>Present</x:v>
      </x:c>
      <x:c r="H533" s="30" t="str">
        <x:v>Present</x:v>
      </x:c>
      <x:c r="I533" s="30" t="str">
        <x:v>OK</x:v>
      </x:c>
    </x:row>
    <x:row r="534" ht="72" customHeight="1">
      <x:c r="A534" s="30" t="n">
        <x:v>6</x:v>
      </x:c>
      <x:c r="B534" s="30" t="str">
        <x:v>Norway</x:v>
      </x:c>
      <x:c r="C534" s="30" t="str">
        <x:v>Nammo</x:v>
      </x:c>
      <x:c r="D534" s="30" t="str">
        <x:v>Ammunition</x:v>
      </x:c>
      <x:c r="E534" s="30" t="str">
        <x:v>12.7 mm x 99 API-S (.50 Cal)</x:v>
      </x:c>
      <x:c r="F534" s="30" t="n">
        <x:v>3</x:v>
      </x:c>
      <x:c r="G534" s="30" t="str">
        <x:v>Present</x:v>
      </x:c>
      <x:c r="H534" s="30" t="str">
        <x:v>Present</x:v>
      </x:c>
      <x:c r="I534" s="30" t="str">
        <x:v>OK</x:v>
      </x:c>
    </x:row>
    <x:row r="535" ht="72" customHeight="1">
      <x:c r="A535" s="30" t="n">
        <x:v>6</x:v>
      </x:c>
      <x:c r="B535" s="30" t="str">
        <x:v>Norway</x:v>
      </x:c>
      <x:c r="C535" s="30" t="str">
        <x:v>Nammo</x:v>
      </x:c>
      <x:c r="D535" s="30" t="str">
        <x:v>Ammunition</x:v>
      </x:c>
      <x:c r="E535" s="30" t="str">
        <x:v>12.7 mm x 99 API-T (.50 Cal)</x:v>
      </x:c>
      <x:c r="F535" s="30" t="n">
        <x:v>3</x:v>
      </x:c>
      <x:c r="G535" s="30" t="str">
        <x:v>Present</x:v>
      </x:c>
      <x:c r="H535" s="30" t="str">
        <x:v>Present</x:v>
      </x:c>
      <x:c r="I535" s="30" t="str">
        <x:v>OK</x:v>
      </x:c>
    </x:row>
    <x:row r="536" ht="72" customHeight="1">
      <x:c r="A536" s="30" t="n">
        <x:v>6</x:v>
      </x:c>
      <x:c r="B536" s="30" t="str">
        <x:v>Norway</x:v>
      </x:c>
      <x:c r="C536" s="30" t="str">
        <x:v>Nammo</x:v>
      </x:c>
      <x:c r="D536" s="30" t="str">
        <x:v>Ammunition</x:v>
      </x:c>
      <x:c r="E536" s="30" t="str">
        <x:v>12.7 mm x 99 Ball (.50 Cal)</x:v>
      </x:c>
      <x:c r="F536" s="30" t="n">
        <x:v>3</x:v>
      </x:c>
      <x:c r="G536" s="30" t="str">
        <x:v>Present</x:v>
      </x:c>
      <x:c r="H536" s="30" t="str">
        <x:v>Present</x:v>
      </x:c>
      <x:c r="I536" s="30" t="str">
        <x:v>OK</x:v>
      </x:c>
    </x:row>
    <x:row r="537" ht="72" customHeight="1">
      <x:c r="A537" s="30" t="n">
        <x:v>6</x:v>
      </x:c>
      <x:c r="B537" s="30" t="str">
        <x:v>Norway</x:v>
      </x:c>
      <x:c r="C537" s="30" t="str">
        <x:v>Nammo</x:v>
      </x:c>
      <x:c r="D537" s="30" t="str">
        <x:v>Ammunition</x:v>
      </x:c>
      <x:c r="E537" s="30" t="str">
        <x:v>12.7 mm x 99 MP (.50 Cal)</x:v>
      </x:c>
      <x:c r="F537" s="30" t="n">
        <x:v>3</x:v>
      </x:c>
      <x:c r="G537" s="30" t="str">
        <x:v>Present</x:v>
      </x:c>
      <x:c r="H537" s="30" t="str">
        <x:v>Present</x:v>
      </x:c>
      <x:c r="I537" s="30" t="str">
        <x:v>OK</x:v>
      </x:c>
    </x:row>
    <x:row r="538" ht="72" customHeight="1">
      <x:c r="A538" s="30" t="n">
        <x:v>6</x:v>
      </x:c>
      <x:c r="B538" s="30" t="str">
        <x:v>Norway</x:v>
      </x:c>
      <x:c r="C538" s="30" t="str">
        <x:v>Nammo</x:v>
      </x:c>
      <x:c r="D538" s="30" t="str">
        <x:v>Ammunition</x:v>
      </x:c>
      <x:c r="E538" s="30" t="str">
        <x:v>12.7 mm x 99 MP-T (.50 Cal)</x:v>
      </x:c>
      <x:c r="F538" s="30" t="n">
        <x:v>3</x:v>
      </x:c>
      <x:c r="G538" s="30" t="str">
        <x:v>Present</x:v>
      </x:c>
      <x:c r="H538" s="30" t="str">
        <x:v>Present</x:v>
      </x:c>
      <x:c r="I538" s="30" t="str">
        <x:v>OK</x:v>
      </x:c>
    </x:row>
    <x:row r="539" ht="72" customHeight="1">
      <x:c r="A539" s="30" t="n">
        <x:v>6</x:v>
      </x:c>
      <x:c r="B539" s="30" t="str">
        <x:v>Norway</x:v>
      </x:c>
      <x:c r="C539" s="30" t="str">
        <x:v>Nammo</x:v>
      </x:c>
      <x:c r="D539" s="30" t="str">
        <x:v>Ammunition</x:v>
      </x:c>
      <x:c r="E539" s="30" t="str">
        <x:v>12.7 mm x 99 Plastic Blank Ammunition (.50 Cal)</x:v>
      </x:c>
      <x:c r="F539" s="30" t="n">
        <x:v>3</x:v>
      </x:c>
      <x:c r="G539" s="30" t="str">
        <x:v>Present</x:v>
      </x:c>
      <x:c r="H539" s="30" t="str">
        <x:v>Present</x:v>
      </x:c>
      <x:c r="I539" s="30" t="str">
        <x:v>OK</x:v>
      </x:c>
    </x:row>
    <x:row r="540" ht="72" customHeight="1">
      <x:c r="A540" s="30" t="n">
        <x:v>6</x:v>
      </x:c>
      <x:c r="B540" s="30" t="str">
        <x:v>Norway</x:v>
      </x:c>
      <x:c r="C540" s="30" t="str">
        <x:v>Nammo</x:v>
      </x:c>
      <x:c r="D540" s="30" t="str">
        <x:v>Ammunition</x:v>
      </x:c>
      <x:c r="E540" s="30" t="str">
        <x:v>12.7 mm x 99 Polymer Cased Ammunition (.50 Cal)</x:v>
      </x:c>
      <x:c r="F540" s="30" t="n">
        <x:v>3</x:v>
      </x:c>
      <x:c r="G540" s="30" t="str">
        <x:v>Present</x:v>
      </x:c>
      <x:c r="H540" s="30" t="str">
        <x:v>Present</x:v>
      </x:c>
      <x:c r="I540" s="30" t="str">
        <x:v>OK</x:v>
      </x:c>
    </x:row>
    <x:row r="541" ht="72" customHeight="1">
      <x:c r="A541" s="30" t="n">
        <x:v>6</x:v>
      </x:c>
      <x:c r="B541" s="30" t="str">
        <x:v>Norway</x:v>
      </x:c>
      <x:c r="C541" s="30" t="str">
        <x:v>Nammo</x:v>
      </x:c>
      <x:c r="D541" s="30" t="str">
        <x:v>Ammunition</x:v>
      </x:c>
      <x:c r="E541" s="30" t="str">
        <x:v>12.7 mm x 99 PSRTA-T (.50 Cal)</x:v>
      </x:c>
      <x:c r="F541" s="30" t="n">
        <x:v>3</x:v>
      </x:c>
      <x:c r="G541" s="30" t="str">
        <x:v>Present</x:v>
      </x:c>
      <x:c r="H541" s="30" t="str">
        <x:v>Present</x:v>
      </x:c>
      <x:c r="I541" s="30" t="str">
        <x:v>OK</x:v>
      </x:c>
    </x:row>
    <x:row r="542" ht="72" customHeight="1">
      <x:c r="A542" s="30" t="n">
        <x:v>6</x:v>
      </x:c>
      <x:c r="B542" s="30" t="str">
        <x:v>Norway</x:v>
      </x:c>
      <x:c r="C542" s="30" t="str">
        <x:v>Nammo</x:v>
      </x:c>
      <x:c r="D542" s="30" t="str">
        <x:v>Ammunition</x:v>
      </x:c>
      <x:c r="E542" s="30" t="str">
        <x:v>12.7 mm x 99 RR (.50 Cal)</x:v>
      </x:c>
      <x:c r="F542" s="30" t="n">
        <x:v>3</x:v>
      </x:c>
      <x:c r="G542" s="30" t="str">
        <x:v>Present</x:v>
      </x:c>
      <x:c r="H542" s="30" t="str">
        <x:v>Present</x:v>
      </x:c>
      <x:c r="I542" s="30" t="str">
        <x:v>OK</x:v>
      </x:c>
    </x:row>
    <x:row r="543" ht="72" customHeight="1">
      <x:c r="A543" s="30" t="n">
        <x:v>6</x:v>
      </x:c>
      <x:c r="B543" s="30" t="str">
        <x:v>Norway</x:v>
      </x:c>
      <x:c r="C543" s="30" t="str">
        <x:v>Nammo</x:v>
      </x:c>
      <x:c r="D543" s="30" t="str">
        <x:v>Ammunition</x:v>
      </x:c>
      <x:c r="E543" s="30" t="str">
        <x:v>12.7 mm x 99 RR-T (.50 Cal)</x:v>
      </x:c>
      <x:c r="F543" s="30" t="n">
        <x:v>3</x:v>
      </x:c>
      <x:c r="G543" s="30" t="str">
        <x:v>Present</x:v>
      </x:c>
      <x:c r="H543" s="30" t="str">
        <x:v>Present</x:v>
      </x:c>
      <x:c r="I543" s="30" t="str">
        <x:v>OK</x:v>
      </x:c>
    </x:row>
    <x:row r="544" ht="72" customHeight="1">
      <x:c r="A544" s="30" t="n">
        <x:v>6</x:v>
      </x:c>
      <x:c r="B544" s="30" t="str">
        <x:v>Norway</x:v>
      </x:c>
      <x:c r="C544" s="30" t="str">
        <x:v>Nammo</x:v>
      </x:c>
      <x:c r="D544" s="30" t="str">
        <x:v>Ammunition</x:v>
      </x:c>
      <x:c r="E544" s="30" t="str">
        <x:v>12.7 mm x 99 SG Ball (.50 Cal)</x:v>
      </x:c>
      <x:c r="F544" s="30" t="n">
        <x:v>3</x:v>
      </x:c>
      <x:c r="G544" s="30" t="str">
        <x:v>Present</x:v>
      </x:c>
      <x:c r="H544" s="30" t="str">
        <x:v>Present</x:v>
      </x:c>
      <x:c r="I544" s="30" t="str">
        <x:v>OK</x:v>
      </x:c>
    </x:row>
    <x:row r="545" ht="72" customHeight="1">
      <x:c r="A545" s="30" t="n">
        <x:v>6</x:v>
      </x:c>
      <x:c r="B545" s="30" t="str">
        <x:v>Norway</x:v>
      </x:c>
      <x:c r="C545" s="30" t="str">
        <x:v>Nammo</x:v>
      </x:c>
      <x:c r="D545" s="30" t="str">
        <x:v>Ammunition</x:v>
      </x:c>
      <x:c r="E545" s="30" t="str">
        <x:v>12.7 mm x 99 SG-M (.50 Cal)</x:v>
      </x:c>
      <x:c r="F545" s="30" t="n">
        <x:v>3</x:v>
      </x:c>
      <x:c r="G545" s="30" t="str">
        <x:v>Present</x:v>
      </x:c>
      <x:c r="H545" s="30" t="str">
        <x:v>Present</x:v>
      </x:c>
      <x:c r="I545" s="30" t="str">
        <x:v>OK</x:v>
      </x:c>
    </x:row>
    <x:row r="546" ht="72" customHeight="1">
      <x:c r="A546" s="30" t="n">
        <x:v>6</x:v>
      </x:c>
      <x:c r="B546" s="30" t="str">
        <x:v>Norway</x:v>
      </x:c>
      <x:c r="C546" s="30" t="str">
        <x:v>Nammo</x:v>
      </x:c>
      <x:c r="D546" s="30" t="str">
        <x:v>Ammunition</x:v>
      </x:c>
      <x:c r="E546" s="30" t="str">
        <x:v>12.7 mm x 99 SG-T Ball Tracer (.50 Cal)</x:v>
      </x:c>
      <x:c r="F546" s="30" t="n">
        <x:v>3</x:v>
      </x:c>
      <x:c r="G546" s="30" t="str">
        <x:v>Present</x:v>
      </x:c>
      <x:c r="H546" s="30" t="str">
        <x:v>Present</x:v>
      </x:c>
      <x:c r="I546" s="30" t="str">
        <x:v>OK</x:v>
      </x:c>
    </x:row>
    <x:row r="547" ht="72" customHeight="1">
      <x:c r="A547" s="30" t="n">
        <x:v>6</x:v>
      </x:c>
      <x:c r="B547" s="30" t="str">
        <x:v>Norway</x:v>
      </x:c>
      <x:c r="C547" s="30" t="str">
        <x:v>Nammo</x:v>
      </x:c>
      <x:c r="D547" s="30" t="str">
        <x:v>Ammunition</x:v>
      </x:c>
      <x:c r="E547" s="30" t="str">
        <x:v>12.7 mm x 99 Tracer (.50 Cal)</x:v>
      </x:c>
      <x:c r="F547" s="30" t="n">
        <x:v>3</x:v>
      </x:c>
      <x:c r="G547" s="30" t="str">
        <x:v>Present</x:v>
      </x:c>
      <x:c r="H547" s="30" t="str">
        <x:v>Present</x:v>
      </x:c>
      <x:c r="I547" s="30" t="str">
        <x:v>OK</x:v>
      </x:c>
    </x:row>
    <x:row r="548" ht="72" customHeight="1">
      <x:c r="A548" s="30" t="n">
        <x:v>6</x:v>
      </x:c>
      <x:c r="B548" s="30" t="str">
        <x:v>Norway</x:v>
      </x:c>
      <x:c r="C548" s="30" t="str">
        <x:v>Nammo</x:v>
      </x:c>
      <x:c r="D548" s="30" t="str">
        <x:v>Ammunition</x:v>
      </x:c>
      <x:c r="E548" s="30" t="str">
        <x:v>120 mm IM Canister</x:v>
      </x:c>
      <x:c r="F548" s="30" t="n">
        <x:v>3</x:v>
      </x:c>
      <x:c r="G548" s="30" t="str">
        <x:v>Present</x:v>
      </x:c>
      <x:c r="H548" s="30" t="str">
        <x:v>Present</x:v>
      </x:c>
      <x:c r="I548" s="30" t="str">
        <x:v>OK</x:v>
      </x:c>
    </x:row>
    <x:row r="549" ht="72" customHeight="1">
      <x:c r="A549" s="30" t="n">
        <x:v>6</x:v>
      </x:c>
      <x:c r="B549" s="30" t="str">
        <x:v>Norway</x:v>
      </x:c>
      <x:c r="C549" s="30" t="str">
        <x:v>Nammo</x:v>
      </x:c>
      <x:c r="D549" s="30" t="str">
        <x:v>Ammunition</x:v>
      </x:c>
      <x:c r="E549" s="30" t="str">
        <x:v>120 mm IM HE-T</x:v>
      </x:c>
      <x:c r="F549" s="30" t="n">
        <x:v>3</x:v>
      </x:c>
      <x:c r="G549" s="30" t="str">
        <x:v>Present</x:v>
      </x:c>
      <x:c r="H549" s="30" t="str">
        <x:v>Present</x:v>
      </x:c>
      <x:c r="I549" s="30" t="str">
        <x:v>OK</x:v>
      </x:c>
    </x:row>
    <x:row r="550" ht="72" customHeight="1">
      <x:c r="A550" s="30" t="n">
        <x:v>6</x:v>
      </x:c>
      <x:c r="B550" s="30" t="str">
        <x:v>Norway</x:v>
      </x:c>
      <x:c r="C550" s="30" t="str">
        <x:v>Nammo</x:v>
      </x:c>
      <x:c r="D550" s="30" t="str">
        <x:v>Ammunition</x:v>
      </x:c>
      <x:c r="E550" s="30" t="str">
        <x:v>120 mm IM TP-T</x:v>
      </x:c>
      <x:c r="F550" s="30" t="n">
        <x:v>3</x:v>
      </x:c>
      <x:c r="G550" s="30" t="str">
        <x:v>Present</x:v>
      </x:c>
      <x:c r="H550" s="30" t="str">
        <x:v>Present</x:v>
      </x:c>
      <x:c r="I550" s="30" t="str">
        <x:v>OK</x:v>
      </x:c>
    </x:row>
    <x:row r="551" ht="72" customHeight="1">
      <x:c r="A551" s="30" t="n">
        <x:v>6</x:v>
      </x:c>
      <x:c r="B551" s="30" t="str">
        <x:v>Norway</x:v>
      </x:c>
      <x:c r="C551" s="30" t="str">
        <x:v>Nammo</x:v>
      </x:c>
      <x:c r="D551" s="30" t="str">
        <x:v>Ammunition</x:v>
      </x:c>
      <x:c r="E551" s="30" t="str">
        <x:v>120 mm KE-TP</x:v>
      </x:c>
      <x:c r="F551" s="30" t="n">
        <x:v>3</x:v>
      </x:c>
      <x:c r="G551" s="30" t="str">
        <x:v>Present</x:v>
      </x:c>
      <x:c r="H551" s="30" t="str">
        <x:v>Present</x:v>
      </x:c>
      <x:c r="I551" s="30" t="str">
        <x:v>OK</x:v>
      </x:c>
    </x:row>
    <x:row r="552" ht="72" customHeight="1">
      <x:c r="A552" s="30" t="n">
        <x:v>6</x:v>
      </x:c>
      <x:c r="B552" s="30" t="str">
        <x:v>Norway</x:v>
      </x:c>
      <x:c r="C552" s="30" t="str">
        <x:v>Nammo</x:v>
      </x:c>
      <x:c r="D552" s="30" t="str">
        <x:v>Ammunition</x:v>
      </x:c>
      <x:c r="E552" s="30" t="str">
        <x:v>120 mm Mortar HE</x:v>
      </x:c>
      <x:c r="F552" s="30" t="n">
        <x:v>4</x:v>
      </x:c>
      <x:c r="G552" s="30" t="str">
        <x:v>Present</x:v>
      </x:c>
      <x:c r="H552" s="30" t="str">
        <x:v>Present</x:v>
      </x:c>
      <x:c r="I552" s="30" t="str">
        <x:v>OK</x:v>
      </x:c>
    </x:row>
    <x:row r="553" ht="72" customHeight="1">
      <x:c r="A553" s="30" t="n">
        <x:v>6</x:v>
      </x:c>
      <x:c r="B553" s="30" t="str">
        <x:v>Norway</x:v>
      </x:c>
      <x:c r="C553" s="30" t="str">
        <x:v>Nammo</x:v>
      </x:c>
      <x:c r="D553" s="30" t="str">
        <x:v>Ammunition</x:v>
      </x:c>
      <x:c r="E553" s="30" t="str">
        <x:v>120 mm Mortar Illuminating</x:v>
      </x:c>
      <x:c r="F553" s="30" t="n">
        <x:v>4</x:v>
      </x:c>
      <x:c r="G553" s="30" t="str">
        <x:v>Present</x:v>
      </x:c>
      <x:c r="H553" s="30" t="str">
        <x:v>Present</x:v>
      </x:c>
      <x:c r="I553" s="30" t="str">
        <x:v>OK</x:v>
      </x:c>
    </x:row>
    <x:row r="554" ht="72" customHeight="1">
      <x:c r="A554" s="30" t="n">
        <x:v>6</x:v>
      </x:c>
      <x:c r="B554" s="30" t="str">
        <x:v>Norway</x:v>
      </x:c>
      <x:c r="C554" s="30" t="str">
        <x:v>Nammo</x:v>
      </x:c>
      <x:c r="D554" s="30" t="str">
        <x:v>Ammunition</x:v>
      </x:c>
      <x:c r="E554" s="30" t="str">
        <x:v>120 mm Mortar Illuminating Round</x:v>
      </x:c>
      <x:c r="F554" s="30" t="n">
        <x:v>3</x:v>
      </x:c>
      <x:c r="G554" s="30" t="str">
        <x:v>Present</x:v>
      </x:c>
      <x:c r="H554" s="30" t="str">
        <x:v>Present</x:v>
      </x:c>
      <x:c r="I554" s="30" t="str">
        <x:v>OK</x:v>
      </x:c>
    </x:row>
    <x:row r="555" ht="72" customHeight="1">
      <x:c r="A555" s="30" t="n">
        <x:v>6</x:v>
      </x:c>
      <x:c r="B555" s="30" t="str">
        <x:v>Norway</x:v>
      </x:c>
      <x:c r="C555" s="30" t="str">
        <x:v>Nammo</x:v>
      </x:c>
      <x:c r="D555" s="30" t="str">
        <x:v>Ammunition</x:v>
      </x:c>
      <x:c r="E555" s="30" t="str">
        <x:v>120 mm Mortar IR-SMK</x:v>
      </x:c>
      <x:c r="F555" s="30" t="n">
        <x:v>4</x:v>
      </x:c>
      <x:c r="G555" s="30" t="str">
        <x:v>Present</x:v>
      </x:c>
      <x:c r="H555" s="30" t="str">
        <x:v>Present</x:v>
      </x:c>
      <x:c r="I555" s="30" t="str">
        <x:v>OK</x:v>
      </x:c>
    </x:row>
    <x:row r="556" ht="72" customHeight="1">
      <x:c r="A556" s="30" t="n">
        <x:v>6</x:v>
      </x:c>
      <x:c r="B556" s="30" t="str">
        <x:v>Norway</x:v>
      </x:c>
      <x:c r="C556" s="30" t="str">
        <x:v>Nammo</x:v>
      </x:c>
      <x:c r="D556" s="30" t="str">
        <x:v>Ammunition</x:v>
      </x:c>
      <x:c r="E556" s="30" t="str">
        <x:v>155 mm HE</x:v>
      </x:c>
      <x:c r="F556" s="30" t="n">
        <x:v>4</x:v>
      </x:c>
      <x:c r="G556" s="30" t="str">
        <x:v>Present</x:v>
      </x:c>
      <x:c r="H556" s="30" t="str">
        <x:v>Present</x:v>
      </x:c>
      <x:c r="I556" s="30" t="str">
        <x:v>OK</x:v>
      </x:c>
    </x:row>
    <x:row r="557" ht="72" customHeight="1">
      <x:c r="A557" s="30" t="n">
        <x:v>6</x:v>
      </x:c>
      <x:c r="B557" s="30" t="str">
        <x:v>Norway</x:v>
      </x:c>
      <x:c r="C557" s="30" t="str">
        <x:v>Nammo</x:v>
      </x:c>
      <x:c r="D557" s="30" t="str">
        <x:v>Ammunition</x:v>
      </x:c>
      <x:c r="E557" s="30" t="str">
        <x:v>155 mm HE-ER</x:v>
      </x:c>
      <x:c r="F557" s="30" t="n">
        <x:v>3</x:v>
      </x:c>
      <x:c r="G557" s="30" t="str">
        <x:v>Present</x:v>
      </x:c>
      <x:c r="H557" s="30" t="str">
        <x:v>Present</x:v>
      </x:c>
      <x:c r="I557" s="30" t="str">
        <x:v>OK</x:v>
      </x:c>
    </x:row>
    <x:row r="558" ht="72" customHeight="1">
      <x:c r="A558" s="30" t="n">
        <x:v>6</x:v>
      </x:c>
      <x:c r="B558" s="30" t="str">
        <x:v>Norway</x:v>
      </x:c>
      <x:c r="C558" s="30" t="str">
        <x:v>Nammo</x:v>
      </x:c>
      <x:c r="D558" s="30" t="str">
        <x:v>Ammunition</x:v>
      </x:c>
      <x:c r="E558" s="30" t="str">
        <x:v>155 mm IM HE-ER</x:v>
      </x:c>
      <x:c r="F558" s="30" t="n">
        <x:v>4</x:v>
      </x:c>
      <x:c r="G558" s="30" t="str">
        <x:v>Present</x:v>
      </x:c>
      <x:c r="H558" s="30" t="str">
        <x:v>Present</x:v>
      </x:c>
      <x:c r="I558" s="30" t="str">
        <x:v>OK</x:v>
      </x:c>
    </x:row>
    <x:row r="559" ht="72" customHeight="1">
      <x:c r="A559" s="30" t="n">
        <x:v>6</x:v>
      </x:c>
      <x:c r="B559" s="30" t="str">
        <x:v>Norway</x:v>
      </x:c>
      <x:c r="C559" s="30" t="str">
        <x:v>Nammo</x:v>
      </x:c>
      <x:c r="D559" s="30" t="str">
        <x:v>Ammunition</x:v>
      </x:c>
      <x:c r="E559" s="30" t="str">
        <x:v>155 mm Ramjet Projectile</x:v>
      </x:c>
      <x:c r="F559" s="30" t="n">
        <x:v>2</x:v>
      </x:c>
      <x:c r="G559" s="30" t="str">
        <x:v>Present</x:v>
      </x:c>
      <x:c r="H559" s="30" t="str">
        <x:v>Present</x:v>
      </x:c>
      <x:c r="I559" s="30" t="str">
        <x:v>Limited/configuration-dependent public specifications</x:v>
      </x:c>
    </x:row>
    <x:row r="560" ht="72" customHeight="1">
      <x:c r="A560" s="30" t="n">
        <x:v>6</x:v>
      </x:c>
      <x:c r="B560" s="30" t="str">
        <x:v>Norway</x:v>
      </x:c>
      <x:c r="C560" s="30" t="str">
        <x:v>Nammo</x:v>
      </x:c>
      <x:c r="D560" s="30" t="str">
        <x:v>Ammunition</x:v>
      </x:c>
      <x:c r="E560" s="30" t="str">
        <x:v>155 mm TP-ER</x:v>
      </x:c>
      <x:c r="F560" s="30" t="n">
        <x:v>3</x:v>
      </x:c>
      <x:c r="G560" s="30" t="str">
        <x:v>Present</x:v>
      </x:c>
      <x:c r="H560" s="30" t="str">
        <x:v>Present</x:v>
      </x:c>
      <x:c r="I560" s="30" t="str">
        <x:v>OK</x:v>
      </x:c>
    </x:row>
    <x:row r="561" ht="72" customHeight="1">
      <x:c r="A561" s="30" t="n">
        <x:v>6</x:v>
      </x:c>
      <x:c r="B561" s="30" t="str">
        <x:v>Norway</x:v>
      </x:c>
      <x:c r="C561" s="30" t="str">
        <x:v>Nammo</x:v>
      </x:c>
      <x:c r="D561" s="30" t="str">
        <x:v>Ammunition</x:v>
      </x:c>
      <x:c r="E561" s="30" t="str">
        <x:v>20 mm x 102 MP LD M70 and MP LD M70 A1</x:v>
      </x:c>
      <x:c r="F561" s="30" t="n">
        <x:v>3</x:v>
      </x:c>
      <x:c r="G561" s="30" t="str">
        <x:v>Present</x:v>
      </x:c>
      <x:c r="H561" s="30" t="str">
        <x:v>Present</x:v>
      </x:c>
      <x:c r="I561" s="30" t="str">
        <x:v>OK</x:v>
      </x:c>
    </x:row>
    <x:row r="562" ht="72" customHeight="1">
      <x:c r="A562" s="30" t="n">
        <x:v>6</x:v>
      </x:c>
      <x:c r="B562" s="30" t="str">
        <x:v>Norway</x:v>
      </x:c>
      <x:c r="C562" s="30" t="str">
        <x:v>Nammo</x:v>
      </x:c>
      <x:c r="D562" s="30" t="str">
        <x:v>Ammunition</x:v>
      </x:c>
      <x:c r="E562" s="30" t="str">
        <x:v>20 mm x 102 MP M70 A2</x:v>
      </x:c>
      <x:c r="F562" s="30" t="n">
        <x:v>3</x:v>
      </x:c>
      <x:c r="G562" s="30" t="str">
        <x:v>Present</x:v>
      </x:c>
      <x:c r="H562" s="30" t="str">
        <x:v>Present</x:v>
      </x:c>
      <x:c r="I562" s="30" t="str">
        <x:v>OK</x:v>
      </x:c>
    </x:row>
    <x:row r="563" ht="72" customHeight="1">
      <x:c r="A563" s="30" t="n">
        <x:v>6</x:v>
      </x:c>
      <x:c r="B563" s="30" t="str">
        <x:v>Norway</x:v>
      </x:c>
      <x:c r="C563" s="30" t="str">
        <x:v>Nammo</x:v>
      </x:c>
      <x:c r="D563" s="30" t="str">
        <x:v>Ammunition</x:v>
      </x:c>
      <x:c r="E563" s="30" t="str">
        <x:v>20 mm x 102 TP and TP-T</x:v>
      </x:c>
      <x:c r="F563" s="30" t="n">
        <x:v>3</x:v>
      </x:c>
      <x:c r="G563" s="30" t="str">
        <x:v>Present</x:v>
      </x:c>
      <x:c r="H563" s="30" t="str">
        <x:v>Present</x:v>
      </x:c>
      <x:c r="I563" s="30" t="str">
        <x:v>OK</x:v>
      </x:c>
    </x:row>
    <x:row r="564" ht="72" customHeight="1">
      <x:c r="A564" s="30" t="n">
        <x:v>6</x:v>
      </x:c>
      <x:c r="B564" s="30" t="str">
        <x:v>Norway</x:v>
      </x:c>
      <x:c r="C564" s="30" t="str">
        <x:v>Nammo</x:v>
      </x:c>
      <x:c r="D564" s="30" t="str">
        <x:v>Ammunition</x:v>
      </x:c>
      <x:c r="E564" s="30" t="str">
        <x:v>20 mm x 102 TP LD M12 and TP-T LD M13</x:v>
      </x:c>
      <x:c r="F564" s="30" t="n">
        <x:v>3</x:v>
      </x:c>
      <x:c r="G564" s="30" t="str">
        <x:v>Present</x:v>
      </x:c>
      <x:c r="H564" s="30" t="str">
        <x:v>Present</x:v>
      </x:c>
      <x:c r="I564" s="30" t="str">
        <x:v>OK</x:v>
      </x:c>
    </x:row>
    <x:row r="565" ht="72" customHeight="1">
      <x:c r="A565" s="30" t="n">
        <x:v>6</x:v>
      </x:c>
      <x:c r="B565" s="30" t="str">
        <x:v>Norway</x:v>
      </x:c>
      <x:c r="C565" s="30" t="str">
        <x:v>Nammo</x:v>
      </x:c>
      <x:c r="D565" s="30" t="str">
        <x:v>Ammunition</x:v>
      </x:c>
      <x:c r="E565" s="30" t="str">
        <x:v>20 mm x 102 TP-M</x:v>
      </x:c>
      <x:c r="F565" s="30" t="n">
        <x:v>3</x:v>
      </x:c>
      <x:c r="G565" s="30" t="str">
        <x:v>Present</x:v>
      </x:c>
      <x:c r="H565" s="30" t="str">
        <x:v>Present</x:v>
      </x:c>
      <x:c r="I565" s="30" t="str">
        <x:v>OK</x:v>
      </x:c>
    </x:row>
    <x:row r="566" ht="72" customHeight="1">
      <x:c r="A566" s="30" t="n">
        <x:v>6</x:v>
      </x:c>
      <x:c r="B566" s="30" t="str">
        <x:v>Norway</x:v>
      </x:c>
      <x:c r="C566" s="30" t="str">
        <x:v>Nammo</x:v>
      </x:c>
      <x:c r="D566" s="30" t="str">
        <x:v>Ammunition</x:v>
      </x:c>
      <x:c r="E566" s="30" t="str">
        <x:v>20 mm x 102 TP-RRR LD and TP-RRR LD M2</x:v>
      </x:c>
      <x:c r="F566" s="30" t="n">
        <x:v>3</x:v>
      </x:c>
      <x:c r="G566" s="30" t="str">
        <x:v>Present</x:v>
      </x:c>
      <x:c r="H566" s="30" t="str">
        <x:v>Present</x:v>
      </x:c>
      <x:c r="I566" s="30" t="str">
        <x:v>OK</x:v>
      </x:c>
    </x:row>
    <x:row r="567" ht="72" customHeight="1">
      <x:c r="A567" s="30" t="n">
        <x:v>6</x:v>
      </x:c>
      <x:c r="B567" s="30" t="str">
        <x:v>Norway</x:v>
      </x:c>
      <x:c r="C567" s="30" t="str">
        <x:v>Nammo</x:v>
      </x:c>
      <x:c r="D567" s="30" t="str">
        <x:v>Ammunition</x:v>
      </x:c>
      <x:c r="E567" s="30" t="str">
        <x:v>20 mm x 128 API-T</x:v>
      </x:c>
      <x:c r="F567" s="30" t="n">
        <x:v>3</x:v>
      </x:c>
      <x:c r="G567" s="30" t="str">
        <x:v>Present</x:v>
      </x:c>
      <x:c r="H567" s="30" t="str">
        <x:v>Present</x:v>
      </x:c>
      <x:c r="I567" s="30" t="str">
        <x:v>OK</x:v>
      </x:c>
    </x:row>
    <x:row r="568" ht="72" customHeight="1">
      <x:c r="A568" s="30" t="n">
        <x:v>6</x:v>
      </x:c>
      <x:c r="B568" s="30" t="str">
        <x:v>Norway</x:v>
      </x:c>
      <x:c r="C568" s="30" t="str">
        <x:v>Nammo</x:v>
      </x:c>
      <x:c r="D568" s="30" t="str">
        <x:v>Ammunition</x:v>
      </x:c>
      <x:c r="E568" s="30" t="str">
        <x:v>20 mm x 128 HEI/SD and HEI-T/SD</x:v>
      </x:c>
      <x:c r="F568" s="30" t="n">
        <x:v>3</x:v>
      </x:c>
      <x:c r="G568" s="30" t="str">
        <x:v>Present</x:v>
      </x:c>
      <x:c r="H568" s="30" t="str">
        <x:v>Present</x:v>
      </x:c>
      <x:c r="I568" s="30" t="str">
        <x:v>OK</x:v>
      </x:c>
    </x:row>
    <x:row r="569" ht="72" customHeight="1">
      <x:c r="A569" s="30" t="n">
        <x:v>6</x:v>
      </x:c>
      <x:c r="B569" s="30" t="str">
        <x:v>Norway</x:v>
      </x:c>
      <x:c r="C569" s="30" t="str">
        <x:v>Nammo</x:v>
      </x:c>
      <x:c r="D569" s="30" t="str">
        <x:v>Ammunition</x:v>
      </x:c>
      <x:c r="E569" s="30" t="str">
        <x:v>20 mm x 128 TP and TP-T</x:v>
      </x:c>
      <x:c r="F569" s="30" t="n">
        <x:v>3</x:v>
      </x:c>
      <x:c r="G569" s="30" t="str">
        <x:v>Present</x:v>
      </x:c>
      <x:c r="H569" s="30" t="str">
        <x:v>Present</x:v>
      </x:c>
      <x:c r="I569" s="30" t="str">
        <x:v>OK</x:v>
      </x:c>
    </x:row>
    <x:row r="570" ht="72" customHeight="1">
      <x:c r="A570" s="30" t="n">
        <x:v>6</x:v>
      </x:c>
      <x:c r="B570" s="30" t="str">
        <x:v>Norway</x:v>
      </x:c>
      <x:c r="C570" s="30" t="str">
        <x:v>Nammo</x:v>
      </x:c>
      <x:c r="D570" s="30" t="str">
        <x:v>Ammunition</x:v>
      </x:c>
      <x:c r="E570" s="30" t="str">
        <x:v>20 mm x 139 MP-T SD</x:v>
      </x:c>
      <x:c r="F570" s="30" t="n">
        <x:v>3</x:v>
      </x:c>
      <x:c r="G570" s="30" t="str">
        <x:v>Present</x:v>
      </x:c>
      <x:c r="H570" s="30" t="str">
        <x:v>Present</x:v>
      </x:c>
      <x:c r="I570" s="30" t="str">
        <x:v>OK</x:v>
      </x:c>
    </x:row>
    <x:row r="571" ht="72" customHeight="1">
      <x:c r="A571" s="30" t="n">
        <x:v>6</x:v>
      </x:c>
      <x:c r="B571" s="30" t="str">
        <x:v>Norway</x:v>
      </x:c>
      <x:c r="C571" s="30" t="str">
        <x:v>Nammo</x:v>
      </x:c>
      <x:c r="D571" s="30" t="str">
        <x:v>Ammunition</x:v>
      </x:c>
      <x:c r="E571" s="30" t="str">
        <x:v>25 mm x 137 APEX</x:v>
      </x:c>
      <x:c r="F571" s="30" t="n">
        <x:v>4</x:v>
      </x:c>
      <x:c r="G571" s="30" t="str">
        <x:v>Present</x:v>
      </x:c>
      <x:c r="H571" s="30" t="str">
        <x:v>Present</x:v>
      </x:c>
      <x:c r="I571" s="30" t="str">
        <x:v>OK</x:v>
      </x:c>
    </x:row>
    <x:row r="572" ht="72" customHeight="1">
      <x:c r="A572" s="30" t="n">
        <x:v>6</x:v>
      </x:c>
      <x:c r="B572" s="30" t="str">
        <x:v>Norway</x:v>
      </x:c>
      <x:c r="C572" s="30" t="str">
        <x:v>Nammo</x:v>
      </x:c>
      <x:c r="D572" s="30" t="str">
        <x:v>Ammunition</x:v>
      </x:c>
      <x:c r="E572" s="30" t="str">
        <x:v>25 mm x 137 HEI and HEI-T</x:v>
      </x:c>
      <x:c r="F572" s="30" t="n">
        <x:v>4</x:v>
      </x:c>
      <x:c r="G572" s="30" t="str">
        <x:v>Present</x:v>
      </x:c>
      <x:c r="H572" s="30" t="str">
        <x:v>Present</x:v>
      </x:c>
      <x:c r="I572" s="30" t="str">
        <x:v>OK</x:v>
      </x:c>
    </x:row>
    <x:row r="573" ht="72" customHeight="1">
      <x:c r="A573" s="30" t="n">
        <x:v>6</x:v>
      </x:c>
      <x:c r="B573" s="30" t="str">
        <x:v>Norway</x:v>
      </x:c>
      <x:c r="C573" s="30" t="str">
        <x:v>Nammo</x:v>
      </x:c>
      <x:c r="D573" s="30" t="str">
        <x:v>Ammunition</x:v>
      </x:c>
      <x:c r="E573" s="30" t="str">
        <x:v>25 mm x 137 HEI/SD and HEI-T/SD</x:v>
      </x:c>
      <x:c r="F573" s="30" t="n">
        <x:v>3</x:v>
      </x:c>
      <x:c r="G573" s="30" t="str">
        <x:v>Present</x:v>
      </x:c>
      <x:c r="H573" s="30" t="str">
        <x:v>Present</x:v>
      </x:c>
      <x:c r="I573" s="30" t="str">
        <x:v>OK</x:v>
      </x:c>
    </x:row>
    <x:row r="574" ht="72" customHeight="1">
      <x:c r="A574" s="30" t="n">
        <x:v>6</x:v>
      </x:c>
      <x:c r="B574" s="30" t="str">
        <x:v>Norway</x:v>
      </x:c>
      <x:c r="C574" s="30" t="str">
        <x:v>Nammo</x:v>
      </x:c>
      <x:c r="D574" s="30" t="str">
        <x:v>Ammunition</x:v>
      </x:c>
      <x:c r="E574" s="30" t="str">
        <x:v>25 mm x 137 MP-T SD</x:v>
      </x:c>
      <x:c r="F574" s="30" t="n">
        <x:v>3</x:v>
      </x:c>
      <x:c r="G574" s="30" t="str">
        <x:v>Present</x:v>
      </x:c>
      <x:c r="H574" s="30" t="str">
        <x:v>Present</x:v>
      </x:c>
      <x:c r="I574" s="30" t="str">
        <x:v>OK</x:v>
      </x:c>
    </x:row>
    <x:row r="575" ht="72" customHeight="1">
      <x:c r="A575" s="30" t="n">
        <x:v>6</x:v>
      </x:c>
      <x:c r="B575" s="30" t="str">
        <x:v>Norway</x:v>
      </x:c>
      <x:c r="C575" s="30" t="str">
        <x:v>Nammo</x:v>
      </x:c>
      <x:c r="D575" s="30" t="str">
        <x:v>Ammunition</x:v>
      </x:c>
      <x:c r="E575" s="30" t="str">
        <x:v>25 mm x 137 Plastic Blank Ammunition</x:v>
      </x:c>
      <x:c r="F575" s="30" t="n">
        <x:v>3</x:v>
      </x:c>
      <x:c r="G575" s="30" t="str">
        <x:v>Present</x:v>
      </x:c>
      <x:c r="H575" s="30" t="str">
        <x:v>Present</x:v>
      </x:c>
      <x:c r="I575" s="30" t="str">
        <x:v>OK</x:v>
      </x:c>
    </x:row>
    <x:row r="576" ht="72" customHeight="1">
      <x:c r="A576" s="30" t="n">
        <x:v>6</x:v>
      </x:c>
      <x:c r="B576" s="30" t="str">
        <x:v>Norway</x:v>
      </x:c>
      <x:c r="C576" s="30" t="str">
        <x:v>Nammo</x:v>
      </x:c>
      <x:c r="D576" s="30" t="str">
        <x:v>Ammunition</x:v>
      </x:c>
      <x:c r="E576" s="30" t="str">
        <x:v>25 mm x 137 SAPHEI-T</x:v>
      </x:c>
      <x:c r="F576" s="30" t="n">
        <x:v>3</x:v>
      </x:c>
      <x:c r="G576" s="30" t="str">
        <x:v>Present</x:v>
      </x:c>
      <x:c r="H576" s="30" t="str">
        <x:v>Present</x:v>
      </x:c>
      <x:c r="I576" s="30" t="str">
        <x:v>OK</x:v>
      </x:c>
    </x:row>
    <x:row r="577" ht="72" customHeight="1">
      <x:c r="A577" s="30" t="n">
        <x:v>6</x:v>
      </x:c>
      <x:c r="B577" s="30" t="str">
        <x:v>Norway</x:v>
      </x:c>
      <x:c r="C577" s="30" t="str">
        <x:v>Nammo</x:v>
      </x:c>
      <x:c r="D577" s="30" t="str">
        <x:v>Ammunition</x:v>
      </x:c>
      <x:c r="E577" s="30" t="str">
        <x:v>25 mm x 137 SAPHEI/SD and SAPHEI-T/SD</x:v>
      </x:c>
      <x:c r="F577" s="30" t="n">
        <x:v>3</x:v>
      </x:c>
      <x:c r="G577" s="30" t="str">
        <x:v>Present</x:v>
      </x:c>
      <x:c r="H577" s="30" t="str">
        <x:v>Present</x:v>
      </x:c>
      <x:c r="I577" s="30" t="str">
        <x:v>OK</x:v>
      </x:c>
    </x:row>
    <x:row r="578" ht="72" customHeight="1">
      <x:c r="A578" s="30" t="n">
        <x:v>6</x:v>
      </x:c>
      <x:c r="B578" s="30" t="str">
        <x:v>Norway</x:v>
      </x:c>
      <x:c r="C578" s="30" t="str">
        <x:v>Nammo</x:v>
      </x:c>
      <x:c r="D578" s="30" t="str">
        <x:v>Ammunition</x:v>
      </x:c>
      <x:c r="E578" s="30" t="str">
        <x:v>25 mm x 137 TP and TP-T</x:v>
      </x:c>
      <x:c r="F578" s="30" t="n">
        <x:v>3</x:v>
      </x:c>
      <x:c r="G578" s="30" t="str">
        <x:v>Present</x:v>
      </x:c>
      <x:c r="H578" s="30" t="str">
        <x:v>Present</x:v>
      </x:c>
      <x:c r="I578" s="30" t="str">
        <x:v>OK</x:v>
      </x:c>
    </x:row>
    <x:row r="579" ht="72" customHeight="1">
      <x:c r="A579" s="30" t="n">
        <x:v>6</x:v>
      </x:c>
      <x:c r="B579" s="30" t="str">
        <x:v>Norway</x:v>
      </x:c>
      <x:c r="C579" s="30" t="str">
        <x:v>Nammo</x:v>
      </x:c>
      <x:c r="D579" s="30" t="str">
        <x:v>Ammunition</x:v>
      </x:c>
      <x:c r="E579" s="30" t="str">
        <x:v>25 mm x 137 TP-RRR and TP-T RRR</x:v>
      </x:c>
      <x:c r="F579" s="30" t="n">
        <x:v>3</x:v>
      </x:c>
      <x:c r="G579" s="30" t="str">
        <x:v>Present</x:v>
      </x:c>
      <x:c r="H579" s="30" t="str">
        <x:v>Present</x:v>
      </x:c>
      <x:c r="I579" s="30" t="str">
        <x:v>OK</x:v>
      </x:c>
    </x:row>
    <x:row r="580" ht="72" customHeight="1">
      <x:c r="A580" s="30" t="n">
        <x:v>6</x:v>
      </x:c>
      <x:c r="B580" s="30" t="str">
        <x:v>Norway</x:v>
      </x:c>
      <x:c r="C580" s="30" t="str">
        <x:v>Nammo</x:v>
      </x:c>
      <x:c r="D580" s="30" t="str">
        <x:v>Ammunition</x:v>
      </x:c>
      <x:c r="E580" s="30" t="str">
        <x:v>27 mm x 145 MP</x:v>
      </x:c>
      <x:c r="F580" s="30" t="n">
        <x:v>3</x:v>
      </x:c>
      <x:c r="G580" s="30" t="str">
        <x:v>Present</x:v>
      </x:c>
      <x:c r="H580" s="30" t="str">
        <x:v>Present</x:v>
      </x:c>
      <x:c r="I580" s="30" t="str">
        <x:v>OK</x:v>
      </x:c>
    </x:row>
    <x:row r="581" ht="72" customHeight="1">
      <x:c r="A581" s="30" t="n">
        <x:v>6</x:v>
      </x:c>
      <x:c r="B581" s="30" t="str">
        <x:v>Norway</x:v>
      </x:c>
      <x:c r="C581" s="30" t="str">
        <x:v>Nammo</x:v>
      </x:c>
      <x:c r="D581" s="30" t="str">
        <x:v>Ammunition</x:v>
      </x:c>
      <x:c r="E581" s="30" t="str">
        <x:v>27 mm x 145 TP-RRR</x:v>
      </x:c>
      <x:c r="F581" s="30" t="n">
        <x:v>3</x:v>
      </x:c>
      <x:c r="G581" s="30" t="str">
        <x:v>Present</x:v>
      </x:c>
      <x:c r="H581" s="30" t="str">
        <x:v>Present</x:v>
      </x:c>
      <x:c r="I581" s="30" t="str">
        <x:v>OK</x:v>
      </x:c>
    </x:row>
    <x:row r="582" ht="72" customHeight="1">
      <x:c r="A582" s="30" t="n">
        <x:v>6</x:v>
      </x:c>
      <x:c r="B582" s="30" t="str">
        <x:v>Norway</x:v>
      </x:c>
      <x:c r="C582" s="30" t="str">
        <x:v>Nammo</x:v>
      </x:c>
      <x:c r="D582" s="30" t="str">
        <x:v>Ammunition</x:v>
      </x:c>
      <x:c r="E582" s="30" t="str">
        <x:v>30 mm x 113 TP and TP-T</x:v>
      </x:c>
      <x:c r="F582" s="30" t="n">
        <x:v>3</x:v>
      </x:c>
      <x:c r="G582" s="30" t="str">
        <x:v>Present</x:v>
      </x:c>
      <x:c r="H582" s="30" t="str">
        <x:v>Present</x:v>
      </x:c>
      <x:c r="I582" s="30" t="str">
        <x:v>OK</x:v>
      </x:c>
    </x:row>
    <x:row r="583" ht="72" customHeight="1">
      <x:c r="A583" s="30" t="n">
        <x:v>6</x:v>
      </x:c>
      <x:c r="B583" s="30" t="str">
        <x:v>Norway</x:v>
      </x:c>
      <x:c r="C583" s="30" t="str">
        <x:v>Nammo</x:v>
      </x:c>
      <x:c r="D583" s="30" t="str">
        <x:v>Ammunition</x:v>
      </x:c>
      <x:c r="E583" s="30" t="str">
        <x:v>30 mm x 173 APFSDS-T</x:v>
      </x:c>
      <x:c r="F583" s="30" t="n">
        <x:v>4</x:v>
      </x:c>
      <x:c r="G583" s="30" t="str">
        <x:v>Present</x:v>
      </x:c>
      <x:c r="H583" s="30" t="str">
        <x:v>Present</x:v>
      </x:c>
      <x:c r="I583" s="30" t="str">
        <x:v>OK</x:v>
      </x:c>
    </x:row>
    <x:row r="584" ht="72" customHeight="1">
      <x:c r="A584" s="30" t="n">
        <x:v>6</x:v>
      </x:c>
      <x:c r="B584" s="30" t="str">
        <x:v>Norway</x:v>
      </x:c>
      <x:c r="C584" s="30" t="str">
        <x:v>Nammo</x:v>
      </x:c>
      <x:c r="D584" s="30" t="str">
        <x:v>Ammunition</x:v>
      </x:c>
      <x:c r="E584" s="30" t="str">
        <x:v>30 mm x 173 HEI and HEI-T</x:v>
      </x:c>
      <x:c r="F584" s="30" t="n">
        <x:v>4</x:v>
      </x:c>
      <x:c r="G584" s="30" t="str">
        <x:v>Present</x:v>
      </x:c>
      <x:c r="H584" s="30" t="str">
        <x:v>Present</x:v>
      </x:c>
      <x:c r="I584" s="30" t="str">
        <x:v>OK</x:v>
      </x:c>
    </x:row>
    <x:row r="585" ht="72" customHeight="1">
      <x:c r="A585" s="30" t="n">
        <x:v>6</x:v>
      </x:c>
      <x:c r="B585" s="30" t="str">
        <x:v>Norway</x:v>
      </x:c>
      <x:c r="C585" s="30" t="str">
        <x:v>Nammo</x:v>
      </x:c>
      <x:c r="D585" s="30" t="str">
        <x:v>Ammunition</x:v>
      </x:c>
      <x:c r="E585" s="30" t="str">
        <x:v>30 mm x 173 HEI/SD and HEI-T/SD</x:v>
      </x:c>
      <x:c r="F585" s="30" t="n">
        <x:v>3</x:v>
      </x:c>
      <x:c r="G585" s="30" t="str">
        <x:v>Present</x:v>
      </x:c>
      <x:c r="H585" s="30" t="str">
        <x:v>Present</x:v>
      </x:c>
      <x:c r="I585" s="30" t="str">
        <x:v>OK</x:v>
      </x:c>
    </x:row>
    <x:row r="586" ht="72" customHeight="1">
      <x:c r="A586" s="30" t="n">
        <x:v>6</x:v>
      </x:c>
      <x:c r="B586" s="30" t="str">
        <x:v>Norway</x:v>
      </x:c>
      <x:c r="C586" s="30" t="str">
        <x:v>Nammo</x:v>
      </x:c>
      <x:c r="D586" s="30" t="str">
        <x:v>Ammunition</x:v>
      </x:c>
      <x:c r="E586" s="30" t="str">
        <x:v>30 mm x 173 MP-T/SD</x:v>
      </x:c>
      <x:c r="F586" s="30" t="n">
        <x:v>3</x:v>
      </x:c>
      <x:c r="G586" s="30" t="str">
        <x:v>Present</x:v>
      </x:c>
      <x:c r="H586" s="30" t="str">
        <x:v>Present</x:v>
      </x:c>
      <x:c r="I586" s="30" t="str">
        <x:v>OK</x:v>
      </x:c>
    </x:row>
    <x:row r="587" ht="72" customHeight="1">
      <x:c r="A587" s="30" t="n">
        <x:v>6</x:v>
      </x:c>
      <x:c r="B587" s="30" t="str">
        <x:v>Norway</x:v>
      </x:c>
      <x:c r="C587" s="30" t="str">
        <x:v>Nammo</x:v>
      </x:c>
      <x:c r="D587" s="30" t="str">
        <x:v>Ammunition</x:v>
      </x:c>
      <x:c r="E587" s="30" t="str">
        <x:v>30 mm x 173 Plastic Blank Ammunition</x:v>
      </x:c>
      <x:c r="F587" s="30" t="n">
        <x:v>3</x:v>
      </x:c>
      <x:c r="G587" s="30" t="str">
        <x:v>Present</x:v>
      </x:c>
      <x:c r="H587" s="30" t="str">
        <x:v>Present</x:v>
      </x:c>
      <x:c r="I587" s="30" t="str">
        <x:v>OK</x:v>
      </x:c>
    </x:row>
    <x:row r="588" ht="72" customHeight="1">
      <x:c r="A588" s="30" t="n">
        <x:v>6</x:v>
      </x:c>
      <x:c r="B588" s="30" t="str">
        <x:v>Norway</x:v>
      </x:c>
      <x:c r="C588" s="30" t="str">
        <x:v>Nammo</x:v>
      </x:c>
      <x:c r="D588" s="30" t="str">
        <x:v>Ammunition</x:v>
      </x:c>
      <x:c r="E588" s="30" t="str">
        <x:v>30 mm x 173 PSRTA-T</x:v>
      </x:c>
      <x:c r="F588" s="30" t="n">
        <x:v>3</x:v>
      </x:c>
      <x:c r="G588" s="30" t="str">
        <x:v>Present</x:v>
      </x:c>
      <x:c r="H588" s="30" t="str">
        <x:v>Present</x:v>
      </x:c>
      <x:c r="I588" s="30" t="str">
        <x:v>OK</x:v>
      </x:c>
    </x:row>
    <x:row r="589" ht="72" customHeight="1">
      <x:c r="A589" s="30" t="n">
        <x:v>6</x:v>
      </x:c>
      <x:c r="B589" s="30" t="str">
        <x:v>Norway</x:v>
      </x:c>
      <x:c r="C589" s="30" t="str">
        <x:v>Nammo</x:v>
      </x:c>
      <x:c r="D589" s="30" t="str">
        <x:v>Ammunition</x:v>
      </x:c>
      <x:c r="E589" s="30" t="str">
        <x:v>30 mm x 173 SAPHEI/SD and SAPHEI-T/SD</x:v>
      </x:c>
      <x:c r="F589" s="30" t="n">
        <x:v>3</x:v>
      </x:c>
      <x:c r="G589" s="30" t="str">
        <x:v>Present</x:v>
      </x:c>
      <x:c r="H589" s="30" t="str">
        <x:v>Present</x:v>
      </x:c>
      <x:c r="I589" s="30" t="str">
        <x:v>OK</x:v>
      </x:c>
    </x:row>
    <x:row r="590" ht="72" customHeight="1">
      <x:c r="A590" s="30" t="n">
        <x:v>6</x:v>
      </x:c>
      <x:c r="B590" s="30" t="str">
        <x:v>Norway</x:v>
      </x:c>
      <x:c r="C590" s="30" t="str">
        <x:v>Nammo</x:v>
      </x:c>
      <x:c r="D590" s="30" t="str">
        <x:v>Ammunition</x:v>
      </x:c>
      <x:c r="E590" s="30" t="str">
        <x:v>30 mm x 173 TP-T</x:v>
      </x:c>
      <x:c r="F590" s="30" t="n">
        <x:v>3</x:v>
      </x:c>
      <x:c r="G590" s="30" t="str">
        <x:v>Present</x:v>
      </x:c>
      <x:c r="H590" s="30" t="str">
        <x:v>Present</x:v>
      </x:c>
      <x:c r="I590" s="30" t="str">
        <x:v>OK</x:v>
      </x:c>
    </x:row>
    <x:row r="591" ht="72" customHeight="1">
      <x:c r="A591" s="30" t="n">
        <x:v>6</x:v>
      </x:c>
      <x:c r="B591" s="30" t="str">
        <x:v>Norway</x:v>
      </x:c>
      <x:c r="C591" s="30" t="str">
        <x:v>Nammo</x:v>
      </x:c>
      <x:c r="D591" s="30" t="str">
        <x:v>Ammunition</x:v>
      </x:c>
      <x:c r="E591" s="30" t="str">
        <x:v>30 mm x 173 TPDS-T and APDS-T</x:v>
      </x:c>
      <x:c r="F591" s="30" t="n">
        <x:v>3</x:v>
      </x:c>
      <x:c r="G591" s="30" t="str">
        <x:v>Present</x:v>
      </x:c>
      <x:c r="H591" s="30" t="str">
        <x:v>Present</x:v>
      </x:c>
      <x:c r="I591" s="30" t="str">
        <x:v>OK</x:v>
      </x:c>
    </x:row>
    <x:row r="592" ht="72" customHeight="1">
      <x:c r="A592" s="30" t="n">
        <x:v>6</x:v>
      </x:c>
      <x:c r="B592" s="30" t="str">
        <x:v>Norway</x:v>
      </x:c>
      <x:c r="C592" s="30" t="str">
        <x:v>Nammo</x:v>
      </x:c>
      <x:c r="D592" s="30" t="str">
        <x:v>Ammunition</x:v>
      </x:c>
      <x:c r="E592" s="30" t="str">
        <x:v>30 mm × 173 APFSDS-T Swimmer</x:v>
      </x:c>
      <x:c r="F592" s="30" t="n">
        <x:v>1</x:v>
      </x:c>
      <x:c r="G592" s="30" t="str">
        <x:v>Present</x:v>
      </x:c>
      <x:c r="H592" s="30" t="str">
        <x:v>Present</x:v>
      </x:c>
      <x:c r="I592" s="30" t="str">
        <x:v>OK</x:v>
      </x:c>
    </x:row>
    <x:row r="593" ht="72" customHeight="1">
      <x:c r="A593" s="30" t="n">
        <x:v>6</x:v>
      </x:c>
      <x:c r="B593" s="30" t="str">
        <x:v>Norway</x:v>
      </x:c>
      <x:c r="C593" s="30" t="str">
        <x:v>Nammo</x:v>
      </x:c>
      <x:c r="D593" s="30" t="str">
        <x:v>Ammunition</x:v>
      </x:c>
      <x:c r="E593" s="30" t="str">
        <x:v>35 mm x 228 HEI/SD and HEI-T/SD</x:v>
      </x:c>
      <x:c r="F593" s="30" t="n">
        <x:v>4</x:v>
      </x:c>
      <x:c r="G593" s="30" t="str">
        <x:v>Present</x:v>
      </x:c>
      <x:c r="H593" s="30" t="str">
        <x:v>Present</x:v>
      </x:c>
      <x:c r="I593" s="30" t="str">
        <x:v>OK</x:v>
      </x:c>
    </x:row>
    <x:row r="594" ht="72" customHeight="1">
      <x:c r="A594" s="30" t="n">
        <x:v>6</x:v>
      </x:c>
      <x:c r="B594" s="30" t="str">
        <x:v>Norway</x:v>
      </x:c>
      <x:c r="C594" s="30" t="str">
        <x:v>Nammo</x:v>
      </x:c>
      <x:c r="D594" s="30" t="str">
        <x:v>Ammunition</x:v>
      </x:c>
      <x:c r="E594" s="30" t="str">
        <x:v>35 mm x 228 SAPHEI/SD</x:v>
      </x:c>
      <x:c r="F594" s="30" t="n">
        <x:v>4</x:v>
      </x:c>
      <x:c r="G594" s="30" t="str">
        <x:v>Present</x:v>
      </x:c>
      <x:c r="H594" s="30" t="str">
        <x:v>Present</x:v>
      </x:c>
      <x:c r="I594" s="30" t="str">
        <x:v>OK</x:v>
      </x:c>
    </x:row>
    <x:row r="595" ht="72" customHeight="1">
      <x:c r="A595" s="30" t="n">
        <x:v>6</x:v>
      </x:c>
      <x:c r="B595" s="30" t="str">
        <x:v>Norway</x:v>
      </x:c>
      <x:c r="C595" s="30" t="str">
        <x:v>Nammo</x:v>
      </x:c>
      <x:c r="D595" s="30" t="str">
        <x:v>Ammunition</x:v>
      </x:c>
      <x:c r="E595" s="30" t="str">
        <x:v>35 mm x 228 TP and TP-T</x:v>
      </x:c>
      <x:c r="F595" s="30" t="n">
        <x:v>3</x:v>
      </x:c>
      <x:c r="G595" s="30" t="str">
        <x:v>Present</x:v>
      </x:c>
      <x:c r="H595" s="30" t="str">
        <x:v>Present</x:v>
      </x:c>
      <x:c r="I595" s="30" t="str">
        <x:v>OK</x:v>
      </x:c>
    </x:row>
    <x:row r="596" ht="72" customHeight="1">
      <x:c r="A596" s="30" t="n">
        <x:v>6</x:v>
      </x:c>
      <x:c r="B596" s="30" t="str">
        <x:v>Norway</x:v>
      </x:c>
      <x:c r="C596" s="30" t="str">
        <x:v>Nammo</x:v>
      </x:c>
      <x:c r="D596" s="30" t="str">
        <x:v>Ammunition</x:v>
      </x:c>
      <x:c r="E596" s="30" t="str">
        <x:v>4.6 mm x 30 Plastic Blank Ammunition</x:v>
      </x:c>
      <x:c r="F596" s="30" t="n">
        <x:v>3</x:v>
      </x:c>
      <x:c r="G596" s="30" t="str">
        <x:v>Present</x:v>
      </x:c>
      <x:c r="H596" s="30" t="str">
        <x:v>Present</x:v>
      </x:c>
      <x:c r="I596" s="30" t="str">
        <x:v>OK</x:v>
      </x:c>
    </x:row>
    <x:row r="597" ht="72" customHeight="1">
      <x:c r="A597" s="30" t="n">
        <x:v>6</x:v>
      </x:c>
      <x:c r="B597" s="30" t="str">
        <x:v>Norway</x:v>
      </x:c>
      <x:c r="C597" s="30" t="str">
        <x:v>Nammo</x:v>
      </x:c>
      <x:c r="D597" s="30" t="str">
        <x:v>Ammunition</x:v>
      </x:c>
      <x:c r="E597" s="30" t="str">
        <x:v>4.6 mm x 30 PSRTA</x:v>
      </x:c>
      <x:c r="F597" s="30" t="n">
        <x:v>3</x:v>
      </x:c>
      <x:c r="G597" s="30" t="str">
        <x:v>Present</x:v>
      </x:c>
      <x:c r="H597" s="30" t="str">
        <x:v>Present</x:v>
      </x:c>
      <x:c r="I597" s="30" t="str">
        <x:v>OK</x:v>
      </x:c>
    </x:row>
    <x:row r="598" ht="72" customHeight="1">
      <x:c r="A598" s="30" t="n">
        <x:v>6</x:v>
      </x:c>
      <x:c r="B598" s="30" t="str">
        <x:v>Norway</x:v>
      </x:c>
      <x:c r="C598" s="30" t="str">
        <x:v>Nammo</x:v>
      </x:c>
      <x:c r="D598" s="30" t="str">
        <x:v>Ammunition</x:v>
      </x:c>
      <x:c r="E598" s="30" t="str">
        <x:v>40 mm L/70 HE-T</x:v>
      </x:c>
      <x:c r="F598" s="30" t="n">
        <x:v>4</x:v>
      </x:c>
      <x:c r="G598" s="30" t="str">
        <x:v>Present</x:v>
      </x:c>
      <x:c r="H598" s="30" t="str">
        <x:v>Present</x:v>
      </x:c>
      <x:c r="I598" s="30" t="str">
        <x:v>OK</x:v>
      </x:c>
    </x:row>
    <x:row r="599" ht="72" customHeight="1">
      <x:c r="A599" s="30" t="n">
        <x:v>6</x:v>
      </x:c>
      <x:c r="B599" s="30" t="str">
        <x:v>Norway</x:v>
      </x:c>
      <x:c r="C599" s="30" t="str">
        <x:v>Nammo</x:v>
      </x:c>
      <x:c r="D599" s="30" t="str">
        <x:v>Ammunition</x:v>
      </x:c>
      <x:c r="E599" s="30" t="str">
        <x:v>40 mm L/70 TP-T</x:v>
      </x:c>
      <x:c r="F599" s="30" t="n">
        <x:v>3</x:v>
      </x:c>
      <x:c r="G599" s="30" t="str">
        <x:v>Present</x:v>
      </x:c>
      <x:c r="H599" s="30" t="str">
        <x:v>Present</x:v>
      </x:c>
      <x:c r="I599" s="30" t="str">
        <x:v>OK</x:v>
      </x:c>
    </x:row>
    <x:row r="600" ht="72" customHeight="1">
      <x:c r="A600" s="30" t="n">
        <x:v>6</x:v>
      </x:c>
      <x:c r="B600" s="30" t="str">
        <x:v>Norway</x:v>
      </x:c>
      <x:c r="C600" s="30" t="str">
        <x:v>Nammo</x:v>
      </x:c>
      <x:c r="D600" s="30" t="str">
        <x:v>Ammunition</x:v>
      </x:c>
      <x:c r="E600" s="30" t="str">
        <x:v>40 mm L60 Salute Plastic Blank Ammunition</x:v>
      </x:c>
      <x:c r="F600" s="30" t="n">
        <x:v>3</x:v>
      </x:c>
      <x:c r="G600" s="30" t="str">
        <x:v>Present</x:v>
      </x:c>
      <x:c r="H600" s="30" t="str">
        <x:v>Present</x:v>
      </x:c>
      <x:c r="I600" s="30" t="str">
        <x:v>OK</x:v>
      </x:c>
    </x:row>
    <x:row r="601" ht="72" customHeight="1">
      <x:c r="A601" s="30" t="n">
        <x:v>6</x:v>
      </x:c>
      <x:c r="B601" s="30" t="str">
        <x:v>Norway</x:v>
      </x:c>
      <x:c r="C601" s="30" t="str">
        <x:v>Nammo</x:v>
      </x:c>
      <x:c r="D601" s="30" t="str">
        <x:v>Ammunition</x:v>
      </x:c>
      <x:c r="E601" s="30" t="str">
        <x:v>40 mm x 53 HE and HE/SD</x:v>
      </x:c>
      <x:c r="F601" s="30" t="n">
        <x:v>3</x:v>
      </x:c>
      <x:c r="G601" s="30" t="str">
        <x:v>Present</x:v>
      </x:c>
      <x:c r="H601" s="30" t="str">
        <x:v>Present</x:v>
      </x:c>
      <x:c r="I601" s="30" t="str">
        <x:v>OK</x:v>
      </x:c>
    </x:row>
    <x:row r="602" ht="72" customHeight="1">
      <x:c r="A602" s="30" t="n">
        <x:v>6</x:v>
      </x:c>
      <x:c r="B602" s="30" t="str">
        <x:v>Norway</x:v>
      </x:c>
      <x:c r="C602" s="30" t="str">
        <x:v>Nammo</x:v>
      </x:c>
      <x:c r="D602" s="30" t="str">
        <x:v>Ammunition</x:v>
      </x:c>
      <x:c r="E602" s="30" t="str">
        <x:v>40 mm x 53 HEDP and HEDP-SD</x:v>
      </x:c>
      <x:c r="F602" s="30" t="n">
        <x:v>4</x:v>
      </x:c>
      <x:c r="G602" s="30" t="str">
        <x:v>Present</x:v>
      </x:c>
      <x:c r="H602" s="30" t="str">
        <x:v>Present</x:v>
      </x:c>
      <x:c r="I602" s="30" t="str">
        <x:v>OK</x:v>
      </x:c>
    </x:row>
    <x:row r="603" ht="72" customHeight="1">
      <x:c r="A603" s="30" t="n">
        <x:v>6</x:v>
      </x:c>
      <x:c r="B603" s="30" t="str">
        <x:v>Norway</x:v>
      </x:c>
      <x:c r="C603" s="30" t="str">
        <x:v>Nammo</x:v>
      </x:c>
      <x:c r="D603" s="30" t="str">
        <x:v>Ammunition</x:v>
      </x:c>
      <x:c r="E603" s="30" t="str">
        <x:v>40 mm x 53 HEDP-AB</x:v>
      </x:c>
      <x:c r="F603" s="30" t="n">
        <x:v>4</x:v>
      </x:c>
      <x:c r="G603" s="30" t="str">
        <x:v>Present</x:v>
      </x:c>
      <x:c r="H603" s="30" t="str">
        <x:v>Present</x:v>
      </x:c>
      <x:c r="I603" s="30" t="str">
        <x:v>OK</x:v>
      </x:c>
    </x:row>
    <x:row r="604" ht="72" customHeight="1">
      <x:c r="A604" s="30" t="n">
        <x:v>6</x:v>
      </x:c>
      <x:c r="B604" s="30" t="str">
        <x:v>Norway</x:v>
      </x:c>
      <x:c r="C604" s="30" t="str">
        <x:v>Nammo</x:v>
      </x:c>
      <x:c r="D604" s="30" t="str">
        <x:v>Ammunition</x:v>
      </x:c>
      <x:c r="E604" s="30" t="str">
        <x:v>40 mm x 53 HEDP-RF</x:v>
      </x:c>
      <x:c r="F604" s="30" t="n">
        <x:v>3</x:v>
      </x:c>
      <x:c r="G604" s="30" t="str">
        <x:v>Present</x:v>
      </x:c>
      <x:c r="H604" s="30" t="str">
        <x:v>Present</x:v>
      </x:c>
      <x:c r="I604" s="30" t="str">
        <x:v>OK</x:v>
      </x:c>
    </x:row>
    <x:row r="605" ht="72" customHeight="1">
      <x:c r="A605" s="30" t="n">
        <x:v>6</x:v>
      </x:c>
      <x:c r="B605" s="30" t="str">
        <x:v>Norway</x:v>
      </x:c>
      <x:c r="C605" s="30" t="str">
        <x:v>Nammo</x:v>
      </x:c>
      <x:c r="D605" s="30" t="str">
        <x:v>Ammunition</x:v>
      </x:c>
      <x:c r="E605" s="30" t="str">
        <x:v>40 mm x 53 TP and TP-T</x:v>
      </x:c>
      <x:c r="F605" s="30" t="n">
        <x:v>3</x:v>
      </x:c>
      <x:c r="G605" s="30" t="str">
        <x:v>Present</x:v>
      </x:c>
      <x:c r="H605" s="30" t="str">
        <x:v>Present</x:v>
      </x:c>
      <x:c r="I605" s="30" t="str">
        <x:v>OK</x:v>
      </x:c>
    </x:row>
    <x:row r="606" ht="72" customHeight="1">
      <x:c r="A606" s="30" t="n">
        <x:v>6</x:v>
      </x:c>
      <x:c r="B606" s="30" t="str">
        <x:v>Norway</x:v>
      </x:c>
      <x:c r="C606" s="30" t="str">
        <x:v>Nammo</x:v>
      </x:c>
      <x:c r="D606" s="30" t="str">
        <x:v>Ammunition</x:v>
      </x:c>
      <x:c r="E606" s="30" t="str">
        <x:v>40 mm x 53 TPM-T</x:v>
      </x:c>
      <x:c r="F606" s="30" t="n">
        <x:v>3</x:v>
      </x:c>
      <x:c r="G606" s="30" t="str">
        <x:v>Present</x:v>
      </x:c>
      <x:c r="H606" s="30" t="str">
        <x:v>Present</x:v>
      </x:c>
      <x:c r="I606" s="30" t="str">
        <x:v>OK</x:v>
      </x:c>
    </x:row>
    <x:row r="607" ht="72" customHeight="1">
      <x:c r="A607" s="30" t="n">
        <x:v>6</x:v>
      </x:c>
      <x:c r="B607" s="30" t="str">
        <x:v>Norway</x:v>
      </x:c>
      <x:c r="C607" s="30" t="str">
        <x:v>Nammo</x:v>
      </x:c>
      <x:c r="D607" s="30" t="str">
        <x:v>Ammunition</x:v>
      </x:c>
      <x:c r="E607" s="30" t="str">
        <x:v>5.56 mm x 45 AP 3 M995</x:v>
      </x:c>
      <x:c r="F607" s="30" t="n">
        <x:v>3</x:v>
      </x:c>
      <x:c r="G607" s="30" t="str">
        <x:v>Present</x:v>
      </x:c>
      <x:c r="H607" s="30" t="str">
        <x:v>Present</x:v>
      </x:c>
      <x:c r="I607" s="30" t="str">
        <x:v>OK</x:v>
      </x:c>
    </x:row>
    <x:row r="608" ht="72" customHeight="1">
      <x:c r="A608" s="30" t="n">
        <x:v>6</x:v>
      </x:c>
      <x:c r="B608" s="30" t="str">
        <x:v>Norway</x:v>
      </x:c>
      <x:c r="C608" s="30" t="str">
        <x:v>Nammo</x:v>
      </x:c>
      <x:c r="D608" s="30" t="str">
        <x:v>Ammunition</x:v>
      </x:c>
      <x:c r="E608" s="30" t="str">
        <x:v>5.56 mm x 45 AP 45</x:v>
      </x:c>
      <x:c r="F608" s="30" t="n">
        <x:v>3</x:v>
      </x:c>
      <x:c r="G608" s="30" t="str">
        <x:v>Present</x:v>
      </x:c>
      <x:c r="H608" s="30" t="str">
        <x:v>Present</x:v>
      </x:c>
      <x:c r="I608" s="30" t="str">
        <x:v>OK</x:v>
      </x:c>
    </x:row>
    <x:row r="609" ht="72" customHeight="1">
      <x:c r="A609" s="30" t="n">
        <x:v>6</x:v>
      </x:c>
      <x:c r="B609" s="30" t="str">
        <x:v>Norway</x:v>
      </x:c>
      <x:c r="C609" s="30" t="str">
        <x:v>Nammo</x:v>
      </x:c>
      <x:c r="D609" s="30" t="str">
        <x:v>Ammunition</x:v>
      </x:c>
      <x:c r="E609" s="30" t="str">
        <x:v>5.56 mm x 45 Ball Non Toxic 4 HP Mk2</x:v>
      </x:c>
      <x:c r="F609" s="30" t="n">
        <x:v>3</x:v>
      </x:c>
      <x:c r="G609" s="30" t="str">
        <x:v>Present</x:v>
      </x:c>
      <x:c r="H609" s="30" t="str">
        <x:v>Present</x:v>
      </x:c>
      <x:c r="I609" s="30" t="str">
        <x:v>OK</x:v>
      </x:c>
    </x:row>
    <x:row r="610" ht="72" customHeight="1">
      <x:c r="A610" s="30" t="n">
        <x:v>6</x:v>
      </x:c>
      <x:c r="B610" s="30" t="str">
        <x:v>Norway</x:v>
      </x:c>
      <x:c r="C610" s="30" t="str">
        <x:v>Nammo</x:v>
      </x:c>
      <x:c r="D610" s="30" t="str">
        <x:v>Ammunition</x:v>
      </x:c>
      <x:c r="E610" s="30" t="str">
        <x:v>5.56 mm x 45 DIM Tracer (IR) Mk301 Mod 0</x:v>
      </x:c>
      <x:c r="F610" s="30" t="n">
        <x:v>3</x:v>
      </x:c>
      <x:c r="G610" s="30" t="str">
        <x:v>Present</x:v>
      </x:c>
      <x:c r="H610" s="30" t="str">
        <x:v>Present</x:v>
      </x:c>
      <x:c r="I610" s="30" t="str">
        <x:v>OK</x:v>
      </x:c>
    </x:row>
    <x:row r="611" ht="72" customHeight="1">
      <x:c r="A611" s="30" t="n">
        <x:v>6</x:v>
      </x:c>
      <x:c r="B611" s="30" t="str">
        <x:v>Norway</x:v>
      </x:c>
      <x:c r="C611" s="30" t="str">
        <x:v>Nammo</x:v>
      </x:c>
      <x:c r="D611" s="30" t="str">
        <x:v>Ammunition</x:v>
      </x:c>
      <x:c r="E611" s="30" t="str">
        <x:v>5.56 mm x 45 Frangible Non Toxic 4 Semi-Jacketed</x:v>
      </x:c>
      <x:c r="F611" s="30" t="n">
        <x:v>3</x:v>
      </x:c>
      <x:c r="G611" s="30" t="str">
        <x:v>Present</x:v>
      </x:c>
      <x:c r="H611" s="30" t="str">
        <x:v>Present</x:v>
      </x:c>
      <x:c r="I611" s="30" t="str">
        <x:v>OK</x:v>
      </x:c>
    </x:row>
    <x:row r="612" ht="72" customHeight="1">
      <x:c r="A612" s="30" t="n">
        <x:v>6</x:v>
      </x:c>
      <x:c r="B612" s="30" t="str">
        <x:v>Norway</x:v>
      </x:c>
      <x:c r="C612" s="30" t="str">
        <x:v>Nammo</x:v>
      </x:c>
      <x:c r="D612" s="30" t="str">
        <x:v>Ammunition</x:v>
      </x:c>
      <x:c r="E612" s="30" t="str">
        <x:v>5.56 mm x 45 NATO Ball M855</x:v>
      </x:c>
      <x:c r="F612" s="30" t="n">
        <x:v>3</x:v>
      </x:c>
      <x:c r="G612" s="30" t="str">
        <x:v>Present</x:v>
      </x:c>
      <x:c r="H612" s="30" t="str">
        <x:v>Present</x:v>
      </x:c>
      <x:c r="I612" s="30" t="str">
        <x:v>OK</x:v>
      </x:c>
    </x:row>
    <x:row r="613" ht="72" customHeight="1">
      <x:c r="A613" s="30" t="n">
        <x:v>6</x:v>
      </x:c>
      <x:c r="B613" s="30" t="str">
        <x:v>Norway</x:v>
      </x:c>
      <x:c r="C613" s="30" t="str">
        <x:v>Nammo</x:v>
      </x:c>
      <x:c r="D613" s="30" t="str">
        <x:v>Ammunition</x:v>
      </x:c>
      <x:c r="E613" s="30" t="str">
        <x:v>5.56 mm x 45 NATO Tracer</x:v>
      </x:c>
      <x:c r="F613" s="30" t="n">
        <x:v>3</x:v>
      </x:c>
      <x:c r="G613" s="30" t="str">
        <x:v>Present</x:v>
      </x:c>
      <x:c r="H613" s="30" t="str">
        <x:v>Present</x:v>
      </x:c>
      <x:c r="I613" s="30" t="str">
        <x:v>OK</x:v>
      </x:c>
    </x:row>
    <x:row r="614" ht="72" customHeight="1">
      <x:c r="A614" s="30" t="n">
        <x:v>6</x:v>
      </x:c>
      <x:c r="B614" s="30" t="str">
        <x:v>Norway</x:v>
      </x:c>
      <x:c r="C614" s="30" t="str">
        <x:v>Nammo</x:v>
      </x:c>
      <x:c r="D614" s="30" t="str">
        <x:v>Ammunition</x:v>
      </x:c>
      <x:c r="E614" s="30" t="str">
        <x:v>5.56 mm x 45 Plastic Blank Ammunition</x:v>
      </x:c>
      <x:c r="F614" s="30" t="n">
        <x:v>3</x:v>
      </x:c>
      <x:c r="G614" s="30" t="str">
        <x:v>Present</x:v>
      </x:c>
      <x:c r="H614" s="30" t="str">
        <x:v>Present</x:v>
      </x:c>
      <x:c r="I614" s="30" t="str">
        <x:v>OK</x:v>
      </x:c>
    </x:row>
    <x:row r="615" ht="72" customHeight="1">
      <x:c r="A615" s="30" t="n">
        <x:v>6</x:v>
      </x:c>
      <x:c r="B615" s="30" t="str">
        <x:v>Norway</x:v>
      </x:c>
      <x:c r="C615" s="30" t="str">
        <x:v>Nammo</x:v>
      </x:c>
      <x:c r="D615" s="30" t="str">
        <x:v>Ammunition</x:v>
      </x:c>
      <x:c r="E615" s="30" t="str">
        <x:v>5.56 mm x 45 PSRTA</x:v>
      </x:c>
      <x:c r="F615" s="30" t="n">
        <x:v>3</x:v>
      </x:c>
      <x:c r="G615" s="30" t="str">
        <x:v>Present</x:v>
      </x:c>
      <x:c r="H615" s="30" t="str">
        <x:v>Present</x:v>
      </x:c>
      <x:c r="I615" s="30" t="str">
        <x:v>OK</x:v>
      </x:c>
    </x:row>
    <x:row r="616" ht="72" customHeight="1">
      <x:c r="A616" s="30" t="n">
        <x:v>6</x:v>
      </x:c>
      <x:c r="B616" s="30" t="str">
        <x:v>Norway</x:v>
      </x:c>
      <x:c r="C616" s="30" t="str">
        <x:v>Nammo</x:v>
      </x:c>
      <x:c r="D616" s="30" t="str">
        <x:v>Ammunition</x:v>
      </x:c>
      <x:c r="E616" s="30" t="str">
        <x:v>5.56 mm x 45 Tracer Non Toxic 4</x:v>
      </x:c>
      <x:c r="F616" s="30" t="n">
        <x:v>3</x:v>
      </x:c>
      <x:c r="G616" s="30" t="str">
        <x:v>Present</x:v>
      </x:c>
      <x:c r="H616" s="30" t="str">
        <x:v>Present</x:v>
      </x:c>
      <x:c r="I616" s="30" t="str">
        <x:v>OK</x:v>
      </x:c>
    </x:row>
    <x:row r="617" ht="72" customHeight="1">
      <x:c r="A617" s="30" t="n">
        <x:v>6</x:v>
      </x:c>
      <x:c r="B617" s="30" t="str">
        <x:v>Norway</x:v>
      </x:c>
      <x:c r="C617" s="30" t="str">
        <x:v>Nammo</x:v>
      </x:c>
      <x:c r="D617" s="30" t="str">
        <x:v>Ammunition</x:v>
      </x:c>
      <x:c r="E617" s="30" t="str">
        <x:v>57 mm L/70 HE</x:v>
      </x:c>
      <x:c r="F617" s="30" t="n">
        <x:v>4</x:v>
      </x:c>
      <x:c r="G617" s="30" t="str">
        <x:v>Present</x:v>
      </x:c>
      <x:c r="H617" s="30" t="str">
        <x:v>Present</x:v>
      </x:c>
      <x:c r="I617" s="30" t="str">
        <x:v>OK</x:v>
      </x:c>
    </x:row>
    <x:row r="618" ht="72" customHeight="1">
      <x:c r="A618" s="30" t="n">
        <x:v>6</x:v>
      </x:c>
      <x:c r="B618" s="30" t="str">
        <x:v>Norway</x:v>
      </x:c>
      <x:c r="C618" s="30" t="str">
        <x:v>Nammo</x:v>
      </x:c>
      <x:c r="D618" s="30" t="str">
        <x:v>Ammunition</x:v>
      </x:c>
      <x:c r="E618" s="30" t="str">
        <x:v>57 mm L/70 TP</x:v>
      </x:c>
      <x:c r="F618" s="30" t="n">
        <x:v>4</x:v>
      </x:c>
      <x:c r="G618" s="30" t="str">
        <x:v>Present</x:v>
      </x:c>
      <x:c r="H618" s="30" t="str">
        <x:v>Present</x:v>
      </x:c>
      <x:c r="I618" s="30" t="str">
        <x:v>OK</x:v>
      </x:c>
    </x:row>
    <x:row r="619" ht="72" customHeight="1">
      <x:c r="A619" s="30" t="n">
        <x:v>6</x:v>
      </x:c>
      <x:c r="B619" s="30" t="str">
        <x:v>Norway</x:v>
      </x:c>
      <x:c r="C619" s="30" t="str">
        <x:v>Nammo</x:v>
      </x:c>
      <x:c r="D619" s="30" t="str">
        <x:v>Ammunition</x:v>
      </x:c>
      <x:c r="E619" s="30" t="str">
        <x:v>57 mm Salute Plastic Blank Ammunition</x:v>
      </x:c>
      <x:c r="F619" s="30" t="n">
        <x:v>3</x:v>
      </x:c>
      <x:c r="G619" s="30" t="str">
        <x:v>Present</x:v>
      </x:c>
      <x:c r="H619" s="30" t="str">
        <x:v>Present</x:v>
      </x:c>
      <x:c r="I619" s="30" t="str">
        <x:v>OK</x:v>
      </x:c>
    </x:row>
    <x:row r="620" ht="72" customHeight="1">
      <x:c r="A620" s="30" t="n">
        <x:v>6</x:v>
      </x:c>
      <x:c r="B620" s="30" t="str">
        <x:v>Norway</x:v>
      </x:c>
      <x:c r="C620" s="30" t="str">
        <x:v>Nammo</x:v>
      </x:c>
      <x:c r="D620" s="30" t="str">
        <x:v>Ammunition</x:v>
      </x:c>
      <x:c r="E620" s="30" t="str">
        <x:v>60 mm, 81 mm and 120 mm Mortar Practice Ammunition</x:v>
      </x:c>
      <x:c r="F620" s="30" t="n">
        <x:v>3</x:v>
      </x:c>
      <x:c r="G620" s="30" t="str">
        <x:v>Present</x:v>
      </x:c>
      <x:c r="H620" s="30" t="str">
        <x:v>Present</x:v>
      </x:c>
      <x:c r="I620" s="30" t="str">
        <x:v>OK</x:v>
      </x:c>
    </x:row>
    <x:row r="621" ht="72" customHeight="1">
      <x:c r="A621" s="30" t="n">
        <x:v>6</x:v>
      </x:c>
      <x:c r="B621" s="30" t="str">
        <x:v>Norway</x:v>
      </x:c>
      <x:c r="C621" s="30" t="str">
        <x:v>Nammo</x:v>
      </x:c>
      <x:c r="D621" s="30" t="str">
        <x:v>Ammunition</x:v>
      </x:c>
      <x:c r="E621" s="30" t="str">
        <x:v>7.62 mm x 35 (300 BLK) Ball Subsonic Special Purpose</x:v>
      </x:c>
      <x:c r="F621" s="30" t="n">
        <x:v>3</x:v>
      </x:c>
      <x:c r="G621" s="30" t="str">
        <x:v>Present</x:v>
      </x:c>
      <x:c r="H621" s="30" t="str">
        <x:v>Present</x:v>
      </x:c>
      <x:c r="I621" s="30" t="str">
        <x:v>OK</x:v>
      </x:c>
    </x:row>
    <x:row r="622" ht="72" customHeight="1">
      <x:c r="A622" s="30" t="n">
        <x:v>6</x:v>
      </x:c>
      <x:c r="B622" s="30" t="str">
        <x:v>Norway</x:v>
      </x:c>
      <x:c r="C622" s="30" t="str">
        <x:v>Nammo</x:v>
      </x:c>
      <x:c r="D622" s="30" t="str">
        <x:v>Ammunition</x:v>
      </x:c>
      <x:c r="E622" s="30" t="str">
        <x:v>7.62 mm x 35 (300 BLK) Frangible Open Tip</x:v>
      </x:c>
      <x:c r="F622" s="30" t="n">
        <x:v>3</x:v>
      </x:c>
      <x:c r="G622" s="30" t="str">
        <x:v>Present</x:v>
      </x:c>
      <x:c r="H622" s="30" t="str">
        <x:v>Present</x:v>
      </x:c>
      <x:c r="I622" s="30" t="str">
        <x:v>OK</x:v>
      </x:c>
    </x:row>
    <x:row r="623" ht="72" customHeight="1">
      <x:c r="A623" s="30" t="n">
        <x:v>6</x:v>
      </x:c>
      <x:c r="B623" s="30" t="str">
        <x:v>Norway</x:v>
      </x:c>
      <x:c r="C623" s="30" t="str">
        <x:v>Nammo</x:v>
      </x:c>
      <x:c r="D623" s="30" t="str">
        <x:v>Ammunition</x:v>
      </x:c>
      <x:c r="E623" s="30" t="str">
        <x:v>7.62 mm x 51 .308 Winchester AP</x:v>
      </x:c>
      <x:c r="F623" s="30" t="n">
        <x:v>3</x:v>
      </x:c>
      <x:c r="G623" s="30" t="str">
        <x:v>Present</x:v>
      </x:c>
      <x:c r="H623" s="30" t="str">
        <x:v>Present</x:v>
      </x:c>
      <x:c r="I623" s="30" t="str">
        <x:v>OK</x:v>
      </x:c>
    </x:row>
    <x:row r="624" ht="72" customHeight="1">
      <x:c r="A624" s="30" t="n">
        <x:v>6</x:v>
      </x:c>
      <x:c r="B624" s="30" t="str">
        <x:v>Norway</x:v>
      </x:c>
      <x:c r="C624" s="30" t="str">
        <x:v>Nammo</x:v>
      </x:c>
      <x:c r="D624" s="30" t="str">
        <x:v>Ammunition</x:v>
      </x:c>
      <x:c r="E624" s="30" t="str">
        <x:v>7.62 mm x 51 .308 Winchester D46</x:v>
      </x:c>
      <x:c r="F624" s="30" t="n">
        <x:v>3</x:v>
      </x:c>
      <x:c r="G624" s="30" t="str">
        <x:v>Present</x:v>
      </x:c>
      <x:c r="H624" s="30" t="str">
        <x:v>Present</x:v>
      </x:c>
      <x:c r="I624" s="30" t="str">
        <x:v>OK</x:v>
      </x:c>
    </x:row>
    <x:row r="625" ht="72" customHeight="1">
      <x:c r="A625" s="30" t="n">
        <x:v>6</x:v>
      </x:c>
      <x:c r="B625" s="30" t="str">
        <x:v>Norway</x:v>
      </x:c>
      <x:c r="C625" s="30" t="str">
        <x:v>Nammo</x:v>
      </x:c>
      <x:c r="D625" s="30" t="str">
        <x:v>Ammunition</x:v>
      </x:c>
      <x:c r="E625" s="30" t="str">
        <x:v>7.62 mm x 51 .308 Winchester Lock Base</x:v>
      </x:c>
      <x:c r="F625" s="30" t="n">
        <x:v>3</x:v>
      </x:c>
      <x:c r="G625" s="30" t="str">
        <x:v>Present</x:v>
      </x:c>
      <x:c r="H625" s="30" t="str">
        <x:v>Present</x:v>
      </x:c>
      <x:c r="I625" s="30" t="str">
        <x:v>OK</x:v>
      </x:c>
    </x:row>
    <x:row r="626" ht="72" customHeight="1">
      <x:c r="A626" s="30" t="n">
        <x:v>6</x:v>
      </x:c>
      <x:c r="B626" s="30" t="str">
        <x:v>Norway</x:v>
      </x:c>
      <x:c r="C626" s="30" t="str">
        <x:v>Nammo</x:v>
      </x:c>
      <x:c r="D626" s="30" t="str">
        <x:v>Ammunition</x:v>
      </x:c>
      <x:c r="E626" s="30" t="str">
        <x:v>7.62 mm x 51 .308 Winchester Scenar</x:v>
      </x:c>
      <x:c r="F626" s="30" t="n">
        <x:v>3</x:v>
      </x:c>
      <x:c r="G626" s="30" t="str">
        <x:v>Present</x:v>
      </x:c>
      <x:c r="H626" s="30" t="str">
        <x:v>Present</x:v>
      </x:c>
      <x:c r="I626" s="30" t="str">
        <x:v>OK</x:v>
      </x:c>
    </x:row>
    <x:row r="627" ht="72" customHeight="1">
      <x:c r="A627" s="30" t="n">
        <x:v>6</x:v>
      </x:c>
      <x:c r="B627" s="30" t="str">
        <x:v>Norway</x:v>
      </x:c>
      <x:c r="C627" s="30" t="str">
        <x:v>Nammo</x:v>
      </x:c>
      <x:c r="D627" s="30" t="str">
        <x:v>Ammunition</x:v>
      </x:c>
      <x:c r="E627" s="30" t="str">
        <x:v>7.62 mm x 51 .308 Winchester Semi-Auto</x:v>
      </x:c>
      <x:c r="F627" s="30" t="n">
        <x:v>3</x:v>
      </x:c>
      <x:c r="G627" s="30" t="str">
        <x:v>Present</x:v>
      </x:c>
      <x:c r="H627" s="30" t="str">
        <x:v>Present</x:v>
      </x:c>
      <x:c r="I627" s="30" t="str">
        <x:v>OK</x:v>
      </x:c>
    </x:row>
    <x:row r="628" ht="72" customHeight="1">
      <x:c r="A628" s="30" t="n">
        <x:v>6</x:v>
      </x:c>
      <x:c r="B628" s="30" t="str">
        <x:v>Norway</x:v>
      </x:c>
      <x:c r="C628" s="30" t="str">
        <x:v>Nammo</x:v>
      </x:c>
      <x:c r="D628" s="30" t="str">
        <x:v>Ammunition</x:v>
      </x:c>
      <x:c r="E628" s="30" t="str">
        <x:v>7.62 mm x 51 .308 Winchester Subsonic</x:v>
      </x:c>
      <x:c r="F628" s="30" t="n">
        <x:v>3</x:v>
      </x:c>
      <x:c r="G628" s="30" t="str">
        <x:v>Present</x:v>
      </x:c>
      <x:c r="H628" s="30" t="str">
        <x:v>Present</x:v>
      </x:c>
      <x:c r="I628" s="30" t="str">
        <x:v>OK</x:v>
      </x:c>
    </x:row>
    <x:row r="629" ht="72" customHeight="1">
      <x:c r="A629" s="30" t="n">
        <x:v>6</x:v>
      </x:c>
      <x:c r="B629" s="30" t="str">
        <x:v>Norway</x:v>
      </x:c>
      <x:c r="C629" s="30" t="str">
        <x:v>Nammo</x:v>
      </x:c>
      <x:c r="D629" s="30" t="str">
        <x:v>Ammunition</x:v>
      </x:c>
      <x:c r="E629" s="30" t="str">
        <x:v>7.62 mm x 51 AP 10</x:v>
      </x:c>
      <x:c r="F629" s="30" t="n">
        <x:v>3</x:v>
      </x:c>
      <x:c r="G629" s="30" t="str">
        <x:v>Present</x:v>
      </x:c>
      <x:c r="H629" s="30" t="str">
        <x:v>Present</x:v>
      </x:c>
      <x:c r="I629" s="30" t="str">
        <x:v>OK</x:v>
      </x:c>
    </x:row>
    <x:row r="630" ht="72" customHeight="1">
      <x:c r="A630" s="30" t="n">
        <x:v>6</x:v>
      </x:c>
      <x:c r="B630" s="30" t="str">
        <x:v>Norway</x:v>
      </x:c>
      <x:c r="C630" s="30" t="str">
        <x:v>Nammo</x:v>
      </x:c>
      <x:c r="D630" s="30" t="str">
        <x:v>Ammunition</x:v>
      </x:c>
      <x:c r="E630" s="30" t="str">
        <x:v>7.62 mm x 51 AP 8</x:v>
      </x:c>
      <x:c r="F630" s="30" t="n">
        <x:v>3</x:v>
      </x:c>
      <x:c r="G630" s="30" t="str">
        <x:v>Present</x:v>
      </x:c>
      <x:c r="H630" s="30" t="str">
        <x:v>Present</x:v>
      </x:c>
      <x:c r="I630" s="30" t="str">
        <x:v>OK</x:v>
      </x:c>
    </x:row>
    <x:row r="631" ht="72" customHeight="1">
      <x:c r="A631" s="30" t="n">
        <x:v>6</x:v>
      </x:c>
      <x:c r="B631" s="30" t="str">
        <x:v>Norway</x:v>
      </x:c>
      <x:c r="C631" s="30" t="str">
        <x:v>Nammo</x:v>
      </x:c>
      <x:c r="D631" s="30" t="str">
        <x:v>Ammunition</x:v>
      </x:c>
      <x:c r="E631" s="30" t="str">
        <x:v>7.62 mm x 51 Ball 11 Long Range</x:v>
      </x:c>
      <x:c r="F631" s="30" t="n">
        <x:v>3</x:v>
      </x:c>
      <x:c r="G631" s="30" t="str">
        <x:v>Present</x:v>
      </x:c>
      <x:c r="H631" s="30" t="str">
        <x:v>Present</x:v>
      </x:c>
      <x:c r="I631" s="30" t="str">
        <x:v>OK</x:v>
      </x:c>
    </x:row>
    <x:row r="632" ht="72" customHeight="1">
      <x:c r="A632" s="30" t="n">
        <x:v>6</x:v>
      </x:c>
      <x:c r="B632" s="30" t="str">
        <x:v>Norway</x:v>
      </x:c>
      <x:c r="C632" s="30" t="str">
        <x:v>Nammo</x:v>
      </x:c>
      <x:c r="D632" s="30" t="str">
        <x:v>Ammunition</x:v>
      </x:c>
      <x:c r="E632" s="30" t="str">
        <x:v>7.62 mm x 51 Ball Non Toxic 6 RR</x:v>
      </x:c>
      <x:c r="F632" s="30" t="n">
        <x:v>3</x:v>
      </x:c>
      <x:c r="G632" s="30" t="str">
        <x:v>Present</x:v>
      </x:c>
      <x:c r="H632" s="30" t="str">
        <x:v>Present</x:v>
      </x:c>
      <x:c r="I632" s="30" t="str">
        <x:v>OK</x:v>
      </x:c>
    </x:row>
    <x:row r="633" ht="72" customHeight="1">
      <x:c r="A633" s="30" t="n">
        <x:v>6</x:v>
      </x:c>
      <x:c r="B633" s="30" t="str">
        <x:v>Norway</x:v>
      </x:c>
      <x:c r="C633" s="30" t="str">
        <x:v>Nammo</x:v>
      </x:c>
      <x:c r="D633" s="30" t="str">
        <x:v>Ammunition</x:v>
      </x:c>
      <x:c r="E633" s="30" t="str">
        <x:v>7.62 mm x 51 Ball Non Toxic 9 HP</x:v>
      </x:c>
      <x:c r="F633" s="30" t="n">
        <x:v>3</x:v>
      </x:c>
      <x:c r="G633" s="30" t="str">
        <x:v>Present</x:v>
      </x:c>
      <x:c r="H633" s="30" t="str">
        <x:v>Present</x:v>
      </x:c>
      <x:c r="I633" s="30" t="str">
        <x:v>OK</x:v>
      </x:c>
    </x:row>
    <x:row r="634" ht="72" customHeight="1">
      <x:c r="A634" s="30" t="n">
        <x:v>6</x:v>
      </x:c>
      <x:c r="B634" s="30" t="str">
        <x:v>Norway</x:v>
      </x:c>
      <x:c r="C634" s="30" t="str">
        <x:v>Nammo</x:v>
      </x:c>
      <x:c r="D634" s="30" t="str">
        <x:v>Ammunition</x:v>
      </x:c>
      <x:c r="E634" s="30" t="str">
        <x:v>7.62 mm x 51 DIM Tracer (IR) 9</x:v>
      </x:c>
      <x:c r="F634" s="30" t="n">
        <x:v>3</x:v>
      </x:c>
      <x:c r="G634" s="30" t="str">
        <x:v>Present</x:v>
      </x:c>
      <x:c r="H634" s="30" t="str">
        <x:v>Present</x:v>
      </x:c>
      <x:c r="I634" s="30" t="str">
        <x:v>OK</x:v>
      </x:c>
    </x:row>
    <x:row r="635" ht="72" customHeight="1">
      <x:c r="A635" s="30" t="n">
        <x:v>6</x:v>
      </x:c>
      <x:c r="B635" s="30" t="str">
        <x:v>Norway</x:v>
      </x:c>
      <x:c r="C635" s="30" t="str">
        <x:v>Nammo</x:v>
      </x:c>
      <x:c r="D635" s="30" t="str">
        <x:v>Ammunition</x:v>
      </x:c>
      <x:c r="E635" s="30" t="str">
        <x:v>7.62 mm x 51 Frangible Non Toxic 9 Open Tip</x:v>
      </x:c>
      <x:c r="F635" s="30" t="n">
        <x:v>3</x:v>
      </x:c>
      <x:c r="G635" s="30" t="str">
        <x:v>Present</x:v>
      </x:c>
      <x:c r="H635" s="30" t="str">
        <x:v>Present</x:v>
      </x:c>
      <x:c r="I635" s="30" t="str">
        <x:v>OK</x:v>
      </x:c>
    </x:row>
    <x:row r="636" ht="72" customHeight="1">
      <x:c r="A636" s="30" t="n">
        <x:v>6</x:v>
      </x:c>
      <x:c r="B636" s="30" t="str">
        <x:v>Norway</x:v>
      </x:c>
      <x:c r="C636" s="30" t="str">
        <x:v>Nammo</x:v>
      </x:c>
      <x:c r="D636" s="30" t="str">
        <x:v>Ammunition</x:v>
      </x:c>
      <x:c r="E636" s="30" t="str">
        <x:v>7.62 mm x 51 NATO Ball</x:v>
      </x:c>
      <x:c r="F636" s="30" t="n">
        <x:v>3</x:v>
      </x:c>
      <x:c r="G636" s="30" t="str">
        <x:v>Present</x:v>
      </x:c>
      <x:c r="H636" s="30" t="str">
        <x:v>Present</x:v>
      </x:c>
      <x:c r="I636" s="30" t="str">
        <x:v>OK</x:v>
      </x:c>
    </x:row>
    <x:row r="637" ht="72" customHeight="1">
      <x:c r="A637" s="30" t="n">
        <x:v>6</x:v>
      </x:c>
      <x:c r="B637" s="30" t="str">
        <x:v>Norway</x:v>
      </x:c>
      <x:c r="C637" s="30" t="str">
        <x:v>Nammo</x:v>
      </x:c>
      <x:c r="D637" s="30" t="str">
        <x:v>Ammunition</x:v>
      </x:c>
      <x:c r="E637" s="30" t="str">
        <x:v>7.62 mm x 51 NATO Tracer</x:v>
      </x:c>
      <x:c r="F637" s="30" t="n">
        <x:v>3</x:v>
      </x:c>
      <x:c r="G637" s="30" t="str">
        <x:v>Present</x:v>
      </x:c>
      <x:c r="H637" s="30" t="str">
        <x:v>Present</x:v>
      </x:c>
      <x:c r="I637" s="30" t="str">
        <x:v>OK</x:v>
      </x:c>
    </x:row>
    <x:row r="638" ht="72" customHeight="1">
      <x:c r="A638" s="30" t="n">
        <x:v>6</x:v>
      </x:c>
      <x:c r="B638" s="30" t="str">
        <x:v>Norway</x:v>
      </x:c>
      <x:c r="C638" s="30" t="str">
        <x:v>Nammo</x:v>
      </x:c>
      <x:c r="D638" s="30" t="str">
        <x:v>Ammunition</x:v>
      </x:c>
      <x:c r="E638" s="30" t="str">
        <x:v>7.62 mm x 51 Plastic Blank Ammunition</x:v>
      </x:c>
      <x:c r="F638" s="30" t="n">
        <x:v>3</x:v>
      </x:c>
      <x:c r="G638" s="30" t="str">
        <x:v>Present</x:v>
      </x:c>
      <x:c r="H638" s="30" t="str">
        <x:v>Present</x:v>
      </x:c>
      <x:c r="I638" s="30" t="str">
        <x:v>OK</x:v>
      </x:c>
    </x:row>
    <x:row r="639" ht="72" customHeight="1">
      <x:c r="A639" s="30" t="n">
        <x:v>6</x:v>
      </x:c>
      <x:c r="B639" s="30" t="str">
        <x:v>Norway</x:v>
      </x:c>
      <x:c r="C639" s="30" t="str">
        <x:v>Nammo</x:v>
      </x:c>
      <x:c r="D639" s="30" t="str">
        <x:v>Ammunition</x:v>
      </x:c>
      <x:c r="E639" s="30" t="str">
        <x:v>7.62 mm x 51 PSRTA</x:v>
      </x:c>
      <x:c r="F639" s="30" t="n">
        <x:v>3</x:v>
      </x:c>
      <x:c r="G639" s="30" t="str">
        <x:v>Present</x:v>
      </x:c>
      <x:c r="H639" s="30" t="str">
        <x:v>Present</x:v>
      </x:c>
      <x:c r="I639" s="30" t="str">
        <x:v>OK</x:v>
      </x:c>
    </x:row>
    <x:row r="640" ht="72" customHeight="1">
      <x:c r="A640" s="30" t="n">
        <x:v>6</x:v>
      </x:c>
      <x:c r="B640" s="30" t="str">
        <x:v>Norway</x:v>
      </x:c>
      <x:c r="C640" s="30" t="str">
        <x:v>Nammo</x:v>
      </x:c>
      <x:c r="D640" s="30" t="str">
        <x:v>Ammunition</x:v>
      </x:c>
      <x:c r="E640" s="30" t="str">
        <x:v>7.62 mm x 51 Tracer Non Toxic 6 RR</x:v>
      </x:c>
      <x:c r="F640" s="30" t="n">
        <x:v>3</x:v>
      </x:c>
      <x:c r="G640" s="30" t="str">
        <x:v>Present</x:v>
      </x:c>
      <x:c r="H640" s="30" t="str">
        <x:v>Present</x:v>
      </x:c>
      <x:c r="I640" s="30" t="str">
        <x:v>OK</x:v>
      </x:c>
    </x:row>
    <x:row r="641" ht="72" customHeight="1">
      <x:c r="A641" s="30" t="n">
        <x:v>6</x:v>
      </x:c>
      <x:c r="B641" s="30" t="str">
        <x:v>Norway</x:v>
      </x:c>
      <x:c r="C641" s="30" t="str">
        <x:v>Nammo</x:v>
      </x:c>
      <x:c r="D641" s="30" t="str">
        <x:v>Ammunition</x:v>
      </x:c>
      <x:c r="E641" s="30" t="str">
        <x:v>7.62 mm x 51 Tracer Non Toxic 9</x:v>
      </x:c>
      <x:c r="F641" s="30" t="n">
        <x:v>3</x:v>
      </x:c>
      <x:c r="G641" s="30" t="str">
        <x:v>Present</x:v>
      </x:c>
      <x:c r="H641" s="30" t="str">
        <x:v>Present</x:v>
      </x:c>
      <x:c r="I641" s="30" t="str">
        <x:v>OK</x:v>
      </x:c>
    </x:row>
    <x:row r="642" ht="72" customHeight="1">
      <x:c r="A642" s="30" t="n">
        <x:v>6</x:v>
      </x:c>
      <x:c r="B642" s="30" t="str">
        <x:v>Norway</x:v>
      </x:c>
      <x:c r="C642" s="30" t="str">
        <x:v>Nammo</x:v>
      </x:c>
      <x:c r="D642" s="30" t="str">
        <x:v>Ammunition</x:v>
      </x:c>
      <x:c r="E642" s="30" t="str">
        <x:v>75 mm Salute Plastic Blank Ammunition</x:v>
      </x:c>
      <x:c r="F642" s="30" t="n">
        <x:v>3</x:v>
      </x:c>
      <x:c r="G642" s="30" t="str">
        <x:v>Present</x:v>
      </x:c>
      <x:c r="H642" s="30" t="str">
        <x:v>Present</x:v>
      </x:c>
      <x:c r="I642" s="30" t="str">
        <x:v>OK</x:v>
      </x:c>
    </x:row>
    <x:row r="643" ht="72" customHeight="1">
      <x:c r="A643" s="30" t="n">
        <x:v>6</x:v>
      </x:c>
      <x:c r="B643" s="30" t="str">
        <x:v>Norway</x:v>
      </x:c>
      <x:c r="C643" s="30" t="str">
        <x:v>Nammo</x:v>
      </x:c>
      <x:c r="D643" s="30" t="str">
        <x:v>Ammunition</x:v>
      </x:c>
      <x:c r="E643" s="30" t="str">
        <x:v>8.6 mm x 70 .338 Lapua Magnum AP</x:v>
      </x:c>
      <x:c r="F643" s="30" t="n">
        <x:v>3</x:v>
      </x:c>
      <x:c r="G643" s="30" t="str">
        <x:v>Present</x:v>
      </x:c>
      <x:c r="H643" s="30" t="str">
        <x:v>Present</x:v>
      </x:c>
      <x:c r="I643" s="30" t="str">
        <x:v>OK</x:v>
      </x:c>
    </x:row>
    <x:row r="644" ht="72" customHeight="1">
      <x:c r="A644" s="30" t="n">
        <x:v>6</x:v>
      </x:c>
      <x:c r="B644" s="30" t="str">
        <x:v>Norway</x:v>
      </x:c>
      <x:c r="C644" s="30" t="str">
        <x:v>Nammo</x:v>
      </x:c>
      <x:c r="D644" s="30" t="str">
        <x:v>Ammunition</x:v>
      </x:c>
      <x:c r="E644" s="30" t="str">
        <x:v>8.6 mm x 70 .338 Lapua Magnum API</x:v>
      </x:c>
      <x:c r="F644" s="30" t="n">
        <x:v>3</x:v>
      </x:c>
      <x:c r="G644" s="30" t="str">
        <x:v>Present</x:v>
      </x:c>
      <x:c r="H644" s="30" t="str">
        <x:v>Present</x:v>
      </x:c>
      <x:c r="I644" s="30" t="str">
        <x:v>OK</x:v>
      </x:c>
    </x:row>
    <x:row r="645" ht="72" customHeight="1">
      <x:c r="A645" s="30" t="n">
        <x:v>6</x:v>
      </x:c>
      <x:c r="B645" s="30" t="str">
        <x:v>Norway</x:v>
      </x:c>
      <x:c r="C645" s="30" t="str">
        <x:v>Nammo</x:v>
      </x:c>
      <x:c r="D645" s="30" t="str">
        <x:v>Ammunition</x:v>
      </x:c>
      <x:c r="E645" s="30" t="str">
        <x:v>8.6 mm x 70 .338 Lapua Magnum Lock Base</x:v>
      </x:c>
      <x:c r="F645" s="30" t="n">
        <x:v>3</x:v>
      </x:c>
      <x:c r="G645" s="30" t="str">
        <x:v>Present</x:v>
      </x:c>
      <x:c r="H645" s="30" t="str">
        <x:v>Present</x:v>
      </x:c>
      <x:c r="I645" s="30" t="str">
        <x:v>OK</x:v>
      </x:c>
    </x:row>
    <x:row r="646" ht="72" customHeight="1">
      <x:c r="A646" s="30" t="n">
        <x:v>6</x:v>
      </x:c>
      <x:c r="B646" s="30" t="str">
        <x:v>Norway</x:v>
      </x:c>
      <x:c r="C646" s="30" t="str">
        <x:v>Nammo</x:v>
      </x:c>
      <x:c r="D646" s="30" t="str">
        <x:v>Ammunition</x:v>
      </x:c>
      <x:c r="E646" s="30" t="str">
        <x:v>8.6 mm x 70 .338 Lapua Magnum Proof, Drill and Blank</x:v>
      </x:c>
      <x:c r="F646" s="30" t="n">
        <x:v>3</x:v>
      </x:c>
      <x:c r="G646" s="30" t="str">
        <x:v>Present</x:v>
      </x:c>
      <x:c r="H646" s="30" t="str">
        <x:v>Present</x:v>
      </x:c>
      <x:c r="I646" s="30" t="str">
        <x:v>OK</x:v>
      </x:c>
    </x:row>
    <x:row r="647" ht="72" customHeight="1">
      <x:c r="A647" s="30" t="n">
        <x:v>6</x:v>
      </x:c>
      <x:c r="B647" s="30" t="str">
        <x:v>Norway</x:v>
      </x:c>
      <x:c r="C647" s="30" t="str">
        <x:v>Nammo</x:v>
      </x:c>
      <x:c r="D647" s="30" t="str">
        <x:v>Ammunition</x:v>
      </x:c>
      <x:c r="E647" s="30" t="str">
        <x:v>8.6 mm x 70 .338 Lapua Magnum Scenar</x:v>
      </x:c>
      <x:c r="F647" s="30" t="n">
        <x:v>3</x:v>
      </x:c>
      <x:c r="G647" s="30" t="str">
        <x:v>Present</x:v>
      </x:c>
      <x:c r="H647" s="30" t="str">
        <x:v>Present</x:v>
      </x:c>
      <x:c r="I647" s="30" t="str">
        <x:v>OK</x:v>
      </x:c>
    </x:row>
    <x:row r="648" ht="72" customHeight="1">
      <x:c r="A648" s="30" t="n">
        <x:v>6</x:v>
      </x:c>
      <x:c r="B648" s="30" t="str">
        <x:v>Norway</x:v>
      </x:c>
      <x:c r="C648" s="30" t="str">
        <x:v>Nammo</x:v>
      </x:c>
      <x:c r="D648" s="30" t="str">
        <x:v>Ammunition</x:v>
      </x:c>
      <x:c r="E648" s="30" t="str">
        <x:v>8.6 mm x 70 .338 Lapua Magnum Solid</x:v>
      </x:c>
      <x:c r="F648" s="30" t="n">
        <x:v>3</x:v>
      </x:c>
      <x:c r="G648" s="30" t="str">
        <x:v>Present</x:v>
      </x:c>
      <x:c r="H648" s="30" t="str">
        <x:v>Present</x:v>
      </x:c>
      <x:c r="I648" s="30" t="str">
        <x:v>OK</x:v>
      </x:c>
    </x:row>
    <x:row r="649" ht="72" customHeight="1">
      <x:c r="A649" s="30" t="n">
        <x:v>6</x:v>
      </x:c>
      <x:c r="B649" s="30" t="str">
        <x:v>Norway</x:v>
      </x:c>
      <x:c r="C649" s="30" t="str">
        <x:v>Nammo</x:v>
      </x:c>
      <x:c r="D649" s="30" t="str">
        <x:v>Ammunition</x:v>
      </x:c>
      <x:c r="E649" s="30" t="str">
        <x:v>81 mm Mortar HE</x:v>
      </x:c>
      <x:c r="F649" s="30" t="n">
        <x:v>4</x:v>
      </x:c>
      <x:c r="G649" s="30" t="str">
        <x:v>Present</x:v>
      </x:c>
      <x:c r="H649" s="30" t="str">
        <x:v>Present</x:v>
      </x:c>
      <x:c r="I649" s="30" t="str">
        <x:v>OK</x:v>
      </x:c>
    </x:row>
    <x:row r="650" ht="72" customHeight="1">
      <x:c r="A650" s="30" t="n">
        <x:v>6</x:v>
      </x:c>
      <x:c r="B650" s="30" t="str">
        <x:v>Norway</x:v>
      </x:c>
      <x:c r="C650" s="30" t="str">
        <x:v>Nammo</x:v>
      </x:c>
      <x:c r="D650" s="30" t="str">
        <x:v>Ammunition</x:v>
      </x:c>
      <x:c r="E650" s="30" t="str">
        <x:v>81 mm Mortar Illuminating</x:v>
      </x:c>
      <x:c r="F650" s="30" t="n">
        <x:v>4</x:v>
      </x:c>
      <x:c r="G650" s="30" t="str">
        <x:v>Present</x:v>
      </x:c>
      <x:c r="H650" s="30" t="str">
        <x:v>Present</x:v>
      </x:c>
      <x:c r="I650" s="30" t="str">
        <x:v>OK</x:v>
      </x:c>
    </x:row>
    <x:row r="651" ht="72" customHeight="1">
      <x:c r="A651" s="30" t="n">
        <x:v>6</x:v>
      </x:c>
      <x:c r="B651" s="30" t="str">
        <x:v>Norway</x:v>
      </x:c>
      <x:c r="C651" s="30" t="str">
        <x:v>Nammo</x:v>
      </x:c>
      <x:c r="D651" s="30" t="str">
        <x:v>Ammunition</x:v>
      </x:c>
      <x:c r="E651" s="30" t="str">
        <x:v>81 mm Mortar Illuminating Round</x:v>
      </x:c>
      <x:c r="F651" s="30" t="n">
        <x:v>3</x:v>
      </x:c>
      <x:c r="G651" s="30" t="str">
        <x:v>Present</x:v>
      </x:c>
      <x:c r="H651" s="30" t="str">
        <x:v>Present</x:v>
      </x:c>
      <x:c r="I651" s="30" t="str">
        <x:v>OK</x:v>
      </x:c>
    </x:row>
    <x:row r="652" ht="72" customHeight="1">
      <x:c r="A652" s="30" t="n">
        <x:v>6</x:v>
      </x:c>
      <x:c r="B652" s="30" t="str">
        <x:v>Norway</x:v>
      </x:c>
      <x:c r="C652" s="30" t="str">
        <x:v>Nammo</x:v>
      </x:c>
      <x:c r="D652" s="30" t="str">
        <x:v>Ammunition</x:v>
      </x:c>
      <x:c r="E652" s="30" t="str">
        <x:v>81 mm Mortar IR-SMK</x:v>
      </x:c>
      <x:c r="F652" s="30" t="n">
        <x:v>4</x:v>
      </x:c>
      <x:c r="G652" s="30" t="str">
        <x:v>Present</x:v>
      </x:c>
      <x:c r="H652" s="30" t="str">
        <x:v>Present</x:v>
      </x:c>
      <x:c r="I652" s="30" t="str">
        <x:v>OK</x:v>
      </x:c>
    </x:row>
    <x:row r="653" ht="72" customHeight="1">
      <x:c r="A653" s="30" t="n">
        <x:v>6</x:v>
      </x:c>
      <x:c r="B653" s="30" t="str">
        <x:v>Norway</x:v>
      </x:c>
      <x:c r="C653" s="30" t="str">
        <x:v>Nammo</x:v>
      </x:c>
      <x:c r="D653" s="30" t="str">
        <x:v>Ammunition</x:v>
      </x:c>
      <x:c r="E653" s="30" t="str">
        <x:v>Aircraft Ejector Release Cartridges</x:v>
      </x:c>
      <x:c r="F653" s="30" t="n">
        <x:v>3</x:v>
      </x:c>
      <x:c r="G653" s="30" t="str">
        <x:v>Present</x:v>
      </x:c>
      <x:c r="H653" s="30" t="str">
        <x:v>Present</x:v>
      </x:c>
      <x:c r="I653" s="30" t="str">
        <x:v>OK</x:v>
      </x:c>
    </x:row>
    <x:row r="654" ht="72" customHeight="1">
      <x:c r="A654" s="30" t="n">
        <x:v>6</x:v>
      </x:c>
      <x:c r="B654" s="30" t="str">
        <x:v>Norway</x:v>
      </x:c>
      <x:c r="C654" s="30" t="str">
        <x:v>Nammo</x:v>
      </x:c>
      <x:c r="D654" s="30" t="str">
        <x:v>Ammunition</x:v>
      </x:c>
      <x:c r="E654" s="30" t="str">
        <x:v>Anti-Personnel Obstacle Breaching System APOBS</x:v>
      </x:c>
      <x:c r="F654" s="30" t="n">
        <x:v>3</x:v>
      </x:c>
      <x:c r="G654" s="30" t="str">
        <x:v>Present</x:v>
      </x:c>
      <x:c r="H654" s="30" t="str">
        <x:v>Present</x:v>
      </x:c>
      <x:c r="I654" s="30" t="str">
        <x:v>Family/system/component-level entry — review if exact-model-only view is needed</x:v>
      </x:c>
    </x:row>
    <x:row r="655" ht="72" customHeight="1">
      <x:c r="A655" s="30" t="n">
        <x:v>6</x:v>
      </x:c>
      <x:c r="B655" s="30" t="str">
        <x:v>Norway</x:v>
      </x:c>
      <x:c r="C655" s="30" t="str">
        <x:v>Nammo</x:v>
      </x:c>
      <x:c r="D655" s="30" t="str">
        <x:v>Ammunition</x:v>
      </x:c>
      <x:c r="E655" s="30" t="str">
        <x:v>Diver Recall Signal DRS</x:v>
      </x:c>
      <x:c r="F655" s="30" t="n">
        <x:v>3</x:v>
      </x:c>
      <x:c r="G655" s="30" t="str">
        <x:v>Present</x:v>
      </x:c>
      <x:c r="H655" s="30" t="str">
        <x:v>Present</x:v>
      </x:c>
      <x:c r="I655" s="30" t="str">
        <x:v>OK</x:v>
      </x:c>
    </x:row>
    <x:row r="656" ht="72" customHeight="1">
      <x:c r="A656" s="30" t="n">
        <x:v>6</x:v>
      </x:c>
      <x:c r="B656" s="30" t="str">
        <x:v>Norway</x:v>
      </x:c>
      <x:c r="C656" s="30" t="str">
        <x:v>Nammo</x:v>
      </x:c>
      <x:c r="D656" s="30" t="str">
        <x:v>Ammunition</x:v>
      </x:c>
      <x:c r="E656" s="30" t="str">
        <x:v>Flare Ignition Pellets LP2000 and FS03</x:v>
      </x:c>
      <x:c r="F656" s="30" t="n">
        <x:v>3</x:v>
      </x:c>
      <x:c r="G656" s="30" t="str">
        <x:v>Present</x:v>
      </x:c>
      <x:c r="H656" s="30" t="str">
        <x:v>Present</x:v>
      </x:c>
      <x:c r="I656" s="30" t="str">
        <x:v>OK</x:v>
      </x:c>
    </x:row>
    <x:row r="657" ht="72" customHeight="1">
      <x:c r="A657" s="30" t="n">
        <x:v>6</x:v>
      </x:c>
      <x:c r="B657" s="30" t="str">
        <x:v>Norway</x:v>
      </x:c>
      <x:c r="C657" s="30" t="str">
        <x:v>Nammo</x:v>
      </x:c>
      <x:c r="D657" s="30" t="str">
        <x:v>Ammunition</x:v>
      </x:c>
      <x:c r="E657" s="30" t="str">
        <x:v>Fragmentation Hand Grenade HGF165-3.5</x:v>
      </x:c>
      <x:c r="F657" s="30" t="n">
        <x:v>3</x:v>
      </x:c>
      <x:c r="G657" s="30" t="str">
        <x:v>Present</x:v>
      </x:c>
      <x:c r="H657" s="30" t="str">
        <x:v>Present</x:v>
      </x:c>
      <x:c r="I657" s="30" t="str">
        <x:v>OK</x:v>
      </x:c>
    </x:row>
    <x:row r="658" ht="72" customHeight="1">
      <x:c r="A658" s="30" t="n">
        <x:v>6</x:v>
      </x:c>
      <x:c r="B658" s="30" t="str">
        <x:v>Norway</x:v>
      </x:c>
      <x:c r="C658" s="30" t="str">
        <x:v>Nammo</x:v>
      </x:c>
      <x:c r="D658" s="30" t="str">
        <x:v>Ammunition</x:v>
      </x:c>
      <x:c r="E658" s="30" t="str">
        <x:v>Fragmentation Increment Sleeve for Offensive Hand Grenades</x:v>
      </x:c>
      <x:c r="F658" s="30" t="n">
        <x:v>3</x:v>
      </x:c>
      <x:c r="G658" s="30" t="str">
        <x:v>Present</x:v>
      </x:c>
      <x:c r="H658" s="30" t="str">
        <x:v>Present</x:v>
      </x:c>
      <x:c r="I658" s="30" t="str">
        <x:v>OK</x:v>
      </x:c>
    </x:row>
    <x:row r="659" ht="72" customHeight="1">
      <x:c r="A659" s="30" t="n">
        <x:v>6</x:v>
      </x:c>
      <x:c r="B659" s="30" t="str">
        <x:v>Norway</x:v>
      </x:c>
      <x:c r="C659" s="30" t="str">
        <x:v>Nammo</x:v>
      </x:c>
      <x:c r="D659" s="30" t="str">
        <x:v>Ammunition</x:v>
      </x:c>
      <x:c r="E659" s="30" t="str">
        <x:v>M141 Bunker Defeat Munition (BDM)</x:v>
      </x:c>
      <x:c r="F659" s="30" t="n">
        <x:v>4</x:v>
      </x:c>
      <x:c r="G659" s="30" t="str">
        <x:v>Present</x:v>
      </x:c>
      <x:c r="H659" s="30" t="str">
        <x:v>Present</x:v>
      </x:c>
      <x:c r="I659" s="30" t="str">
        <x:v>OK</x:v>
      </x:c>
    </x:row>
    <x:row r="660" ht="72" customHeight="1">
      <x:c r="A660" s="30" t="n">
        <x:v>6</x:v>
      </x:c>
      <x:c r="B660" s="30" t="str">
        <x:v>Norway</x:v>
      </x:c>
      <x:c r="C660" s="30" t="str">
        <x:v>Nammo</x:v>
      </x:c>
      <x:c r="D660" s="30" t="str">
        <x:v>Ammunition</x:v>
      </x:c>
      <x:c r="E660" s="30" t="str">
        <x:v>M67 Grenade</x:v>
      </x:c>
      <x:c r="F660" s="30" t="n">
        <x:v>3</x:v>
      </x:c>
      <x:c r="G660" s="30" t="str">
        <x:v>Present</x:v>
      </x:c>
      <x:c r="H660" s="30" t="str">
        <x:v>Present</x:v>
      </x:c>
      <x:c r="I660" s="30" t="str">
        <x:v>OK</x:v>
      </x:c>
    </x:row>
    <x:row r="661" ht="72" customHeight="1">
      <x:c r="A661" s="30" t="n">
        <x:v>6</x:v>
      </x:c>
      <x:c r="B661" s="30" t="str">
        <x:v>Norway</x:v>
      </x:c>
      <x:c r="C661" s="30" t="str">
        <x:v>Nammo</x:v>
      </x:c>
      <x:c r="D661" s="30" t="str">
        <x:v>Ammunition</x:v>
      </x:c>
      <x:c r="E661" s="30" t="str">
        <x:v>M72 Anti-Structure A12</x:v>
      </x:c>
      <x:c r="F661" s="30" t="n">
        <x:v>4</x:v>
      </x:c>
      <x:c r="G661" s="30" t="str">
        <x:v>Present</x:v>
      </x:c>
      <x:c r="H661" s="30" t="str">
        <x:v>Present</x:v>
      </x:c>
      <x:c r="I661" s="30" t="str">
        <x:v>OK</x:v>
      </x:c>
    </x:row>
    <x:row r="662" ht="72" customHeight="1">
      <x:c r="A662" s="30" t="n">
        <x:v>6</x:v>
      </x:c>
      <x:c r="B662" s="30" t="str">
        <x:v>Norway</x:v>
      </x:c>
      <x:c r="C662" s="30" t="str">
        <x:v>Nammo</x:v>
      </x:c>
      <x:c r="D662" s="30" t="str">
        <x:v>Ammunition</x:v>
      </x:c>
      <x:c r="E662" s="30" t="str">
        <x:v>M72 Anti-Structure Munition Reduced Caliber ASM RC</x:v>
      </x:c>
      <x:c r="F662" s="30" t="n">
        <x:v>4</x:v>
      </x:c>
      <x:c r="G662" s="30" t="str">
        <x:v>Present</x:v>
      </x:c>
      <x:c r="H662" s="30" t="str">
        <x:v>Present</x:v>
      </x:c>
      <x:c r="I662" s="30" t="str">
        <x:v>OK</x:v>
      </x:c>
    </x:row>
    <x:row r="663" ht="72" customHeight="1">
      <x:c r="A663" s="30" t="n">
        <x:v>6</x:v>
      </x:c>
      <x:c r="B663" s="30" t="str">
        <x:v>Norway</x:v>
      </x:c>
      <x:c r="C663" s="30" t="str">
        <x:v>Nammo</x:v>
      </x:c>
      <x:c r="D663" s="30" t="str">
        <x:v>Ammunition</x:v>
      </x:c>
      <x:c r="E663" s="30" t="str">
        <x:v>M72 Enhanced Capacity EC</x:v>
      </x:c>
      <x:c r="F663" s="30" t="n">
        <x:v>6</x:v>
      </x:c>
      <x:c r="G663" s="30" t="str">
        <x:v>Present</x:v>
      </x:c>
      <x:c r="H663" s="30" t="str">
        <x:v>Present</x:v>
      </x:c>
      <x:c r="I663" s="30" t="str">
        <x:v>OK</x:v>
      </x:c>
    </x:row>
    <x:row r="664" ht="72" customHeight="1">
      <x:c r="A664" s="30" t="n">
        <x:v>6</x:v>
      </x:c>
      <x:c r="B664" s="30" t="str">
        <x:v>Norway</x:v>
      </x:c>
      <x:c r="C664" s="30" t="str">
        <x:v>Nammo</x:v>
      </x:c>
      <x:c r="D664" s="30" t="str">
        <x:v>Ammunition</x:v>
      </x:c>
      <x:c r="E664" s="30" t="str">
        <x:v>M72 FFE Anti-Armor A8 / Anti-Structure A10</x:v>
      </x:c>
      <x:c r="F664" s="30" t="n">
        <x:v>4</x:v>
      </x:c>
      <x:c r="G664" s="30" t="str">
        <x:v>Present</x:v>
      </x:c>
      <x:c r="H664" s="30" t="str">
        <x:v>Present</x:v>
      </x:c>
      <x:c r="I664" s="30" t="str">
        <x:v>OK</x:v>
      </x:c>
    </x:row>
    <x:row r="665" ht="72" customHeight="1">
      <x:c r="A665" s="30" t="n">
        <x:v>6</x:v>
      </x:c>
      <x:c r="B665" s="30" t="str">
        <x:v>Norway</x:v>
      </x:c>
      <x:c r="C665" s="30" t="str">
        <x:v>Nammo</x:v>
      </x:c>
      <x:c r="D665" s="30" t="str">
        <x:v>Ammunition</x:v>
      </x:c>
      <x:c r="E665" s="30" t="str">
        <x:v>M72 Training System</x:v>
      </x:c>
      <x:c r="F665" s="30" t="n">
        <x:v>4</x:v>
      </x:c>
      <x:c r="G665" s="30" t="str">
        <x:v>Present</x:v>
      </x:c>
      <x:c r="H665" s="30" t="str">
        <x:v>Present</x:v>
      </x:c>
      <x:c r="I665" s="30" t="str">
        <x:v>Family/system/component-level entry — review if exact-model-only view is needed</x:v>
      </x:c>
    </x:row>
    <x:row r="666" ht="72" customHeight="1">
      <x:c r="A666" s="30" t="n">
        <x:v>6</x:v>
      </x:c>
      <x:c r="B666" s="30" t="str">
        <x:v>Norway</x:v>
      </x:c>
      <x:c r="C666" s="30" t="str">
        <x:v>Nammo</x:v>
      </x:c>
      <x:c r="D666" s="30" t="str">
        <x:v>Ammunition</x:v>
      </x:c>
      <x:c r="E666" s="30" t="str">
        <x:v>Manual Programming Unit for 40 mm RF Airburst Ammunition</x:v>
      </x:c>
      <x:c r="F666" s="30" t="n">
        <x:v>3</x:v>
      </x:c>
      <x:c r="G666" s="30" t="str">
        <x:v>Present</x:v>
      </x:c>
      <x:c r="H666" s="30" t="str">
        <x:v>Present</x:v>
      </x:c>
      <x:c r="I666" s="30" t="str">
        <x:v>OK</x:v>
      </x:c>
    </x:row>
    <x:row r="667" ht="72" customHeight="1">
      <x:c r="A667" s="30" t="n">
        <x:v>6</x:v>
      </x:c>
      <x:c r="B667" s="30" t="str">
        <x:v>Norway</x:v>
      </x:c>
      <x:c r="C667" s="30" t="str">
        <x:v>Nammo</x:v>
      </x:c>
      <x:c r="D667" s="30" t="str">
        <x:v>Ammunition</x:v>
      </x:c>
      <x:c r="E667" s="30" t="str">
        <x:v>Nammo Ignition System NIS</x:v>
      </x:c>
      <x:c r="F667" s="30" t="n">
        <x:v>3</x:v>
      </x:c>
      <x:c r="G667" s="30" t="str">
        <x:v>Present</x:v>
      </x:c>
      <x:c r="H667" s="30" t="str">
        <x:v>Present</x:v>
      </x:c>
      <x:c r="I667" s="30" t="str">
        <x:v>Family/system/component-level entry — review if exact-model-only view is needed</x:v>
      </x:c>
    </x:row>
    <x:row r="668" ht="72" customHeight="1">
      <x:c r="A668" s="30" t="n">
        <x:v>6</x:v>
      </x:c>
      <x:c r="B668" s="30" t="str">
        <x:v>Norway</x:v>
      </x:c>
      <x:c r="C668" s="30" t="str">
        <x:v>Nammo</x:v>
      </x:c>
      <x:c r="D668" s="30" t="str">
        <x:v>Ammunition</x:v>
      </x:c>
      <x:c r="E668" s="30" t="str">
        <x:v>Offensive Hand Grenade HGO225-3.5</x:v>
      </x:c>
      <x:c r="F668" s="30" t="n">
        <x:v>3</x:v>
      </x:c>
      <x:c r="G668" s="30" t="str">
        <x:v>Present</x:v>
      </x:c>
      <x:c r="H668" s="30" t="str">
        <x:v>Present</x:v>
      </x:c>
      <x:c r="I668" s="30" t="str">
        <x:v>OK</x:v>
      </x:c>
    </x:row>
    <x:row r="669" ht="72" customHeight="1">
      <x:c r="A669" s="30" t="n">
        <x:v>6</x:v>
      </x:c>
      <x:c r="B669" s="30" t="str">
        <x:v>Norway</x:v>
      </x:c>
      <x:c r="C669" s="30" t="str">
        <x:v>Nammo</x:v>
      </x:c>
      <x:c r="D669" s="30" t="str">
        <x:v>Ammunition</x:v>
      </x:c>
      <x:c r="E669" s="30" t="str">
        <x:v>Offensive Hand Grenade HGO50-3.5</x:v>
      </x:c>
      <x:c r="F669" s="30" t="n">
        <x:v>3</x:v>
      </x:c>
      <x:c r="G669" s="30" t="str">
        <x:v>Present</x:v>
      </x:c>
      <x:c r="H669" s="30" t="str">
        <x:v>Present</x:v>
      </x:c>
      <x:c r="I669" s="30" t="str">
        <x:v>OK</x:v>
      </x:c>
    </x:row>
    <x:row r="670" ht="72" customHeight="1">
      <x:c r="A670" s="30" t="n">
        <x:v>6</x:v>
      </x:c>
      <x:c r="B670" s="30" t="str">
        <x:v>Norway</x:v>
      </x:c>
      <x:c r="C670" s="30" t="str">
        <x:v>Nammo</x:v>
      </x:c>
      <x:c r="D670" s="30" t="str">
        <x:v>Ammunition</x:v>
      </x:c>
      <x:c r="E670" s="30" t="str">
        <x:v>Propelling Charges</x:v>
      </x:c>
      <x:c r="F670" s="30" t="n">
        <x:v>3</x:v>
      </x:c>
      <x:c r="G670" s="30" t="str">
        <x:v>Present</x:v>
      </x:c>
      <x:c r="H670" s="30" t="str">
        <x:v>Present</x:v>
      </x:c>
      <x:c r="I670" s="30" t="str">
        <x:v>OK</x:v>
      </x:c>
    </x:row>
    <x:row r="671" ht="72" customHeight="1">
      <x:c r="A671" s="30" t="n">
        <x:v>6</x:v>
      </x:c>
      <x:c r="B671" s="30" t="str">
        <x:v>Norway</x:v>
      </x:c>
      <x:c r="C671" s="30" t="str">
        <x:v>Nammo</x:v>
      </x:c>
      <x:c r="D671" s="30" t="str">
        <x:v>Ammunition</x:v>
      </x:c>
      <x:c r="E671" s="30" t="str">
        <x:v>Scalable Offensive Hand Grenade SOHG</x:v>
      </x:c>
      <x:c r="F671" s="30" t="n">
        <x:v>3</x:v>
      </x:c>
      <x:c r="G671" s="30" t="str">
        <x:v>Present</x:v>
      </x:c>
      <x:c r="H671" s="30" t="str">
        <x:v>Present</x:v>
      </x:c>
      <x:c r="I671" s="30" t="str">
        <x:v>OK</x:v>
      </x:c>
    </x:row>
    <x:row r="672" ht="72" customHeight="1">
      <x:c r="A672" s="30" t="n">
        <x:v>6</x:v>
      </x:c>
      <x:c r="B672" s="30" t="str">
        <x:v>Norway</x:v>
      </x:c>
      <x:c r="C672" s="30" t="str">
        <x:v>Nammo</x:v>
      </x:c>
      <x:c r="D672" s="30" t="str">
        <x:v>Ammunition</x:v>
      </x:c>
      <x:c r="E672" s="30" t="str">
        <x:v>Training Hand Grenade</x:v>
      </x:c>
      <x:c r="F672" s="30" t="n">
        <x:v>3</x:v>
      </x:c>
      <x:c r="G672" s="30" t="str">
        <x:v>Present</x:v>
      </x:c>
      <x:c r="H672" s="30" t="str">
        <x:v>Present</x:v>
      </x:c>
      <x:c r="I672" s="30" t="str">
        <x:v>OK</x:v>
      </x:c>
    </x:row>
    <x:row r="673" ht="72" customHeight="1">
      <x:c r="A673" s="30" t="n">
        <x:v>6</x:v>
      </x:c>
      <x:c r="B673" s="30" t="str">
        <x:v>Norway</x:v>
      </x:c>
      <x:c r="C673" s="30" t="str">
        <x:v>Nammo</x:v>
      </x:c>
      <x:c r="D673" s="30" t="str">
        <x:v>Ammunition</x:v>
      </x:c>
      <x:c r="E673" s="30" t="str">
        <x:v>TTC Smoke Hand Grenade</x:v>
      </x:c>
      <x:c r="F673" s="30" t="n">
        <x:v>3</x:v>
      </x:c>
      <x:c r="G673" s="30" t="str">
        <x:v>Present</x:v>
      </x:c>
      <x:c r="H673" s="30" t="str">
        <x:v>Present</x:v>
      </x:c>
      <x:c r="I673" s="30" t="str">
        <x:v>OK</x:v>
      </x:c>
    </x:row>
    <x:row r="674" ht="72" customHeight="1">
      <x:c r="A674" s="30" t="n">
        <x:v>6</x:v>
      </x:c>
      <x:c r="B674" s="30" t="str">
        <x:v>Norway</x:v>
      </x:c>
      <x:c r="C674" s="30" t="str">
        <x:v>Nammo</x:v>
      </x:c>
      <x:c r="D674" s="30" t="str">
        <x:v>Missiles</x:v>
      </x:c>
      <x:c r="E674" s="30" t="str">
        <x:v>70 mm Warhead</x:v>
      </x:c>
      <x:c r="F674" s="30" t="n">
        <x:v>3</x:v>
      </x:c>
      <x:c r="G674" s="30" t="str">
        <x:v>Present</x:v>
      </x:c>
      <x:c r="H674" s="30" t="str">
        <x:v>Present</x:v>
      </x:c>
      <x:c r="I674" s="30" t="str">
        <x:v>Family/system/component-level entry — review if exact-model-only view is needed</x:v>
      </x:c>
    </x:row>
    <x:row r="675" ht="72" customHeight="1">
      <x:c r="A675" s="30" t="n">
        <x:v>6</x:v>
      </x:c>
      <x:c r="B675" s="30" t="str">
        <x:v>Norway</x:v>
      </x:c>
      <x:c r="C675" s="30" t="str">
        <x:v>Nammo</x:v>
      </x:c>
      <x:c r="D675" s="30" t="str">
        <x:v>Missiles</x:v>
      </x:c>
      <x:c r="E675" s="30" t="str">
        <x:v>Rocket Motors for Missiles, Artillery &amp; Space</x:v>
      </x:c>
      <x:c r="F675" s="30" t="n">
        <x:v>3</x:v>
      </x:c>
      <x:c r="G675" s="30" t="str">
        <x:v>Present</x:v>
      </x:c>
      <x:c r="H675" s="30" t="str">
        <x:v>Present</x:v>
      </x:c>
      <x:c r="I675" s="30" t="str">
        <x:v>Family/system/component-level entry — review if exact-model-only view is needed</x:v>
      </x:c>
    </x:row>
    <x:row r="676" ht="72" customHeight="1">
      <x:c r="A676" s="30" t="n">
        <x:v>6</x:v>
      </x:c>
      <x:c r="B676" s="30" t="str">
        <x:v>Norway</x:v>
      </x:c>
      <x:c r="C676" s="30" t="str">
        <x:v>Nammo</x:v>
      </x:c>
      <x:c r="D676" s="30" t="str">
        <x:v>Missiles</x:v>
      </x:c>
      <x:c r="E676" s="30" t="str">
        <x:v>SMAW Ammunition</x:v>
      </x:c>
      <x:c r="F676" s="30" t="n">
        <x:v>4</x:v>
      </x:c>
      <x:c r="G676" s="30" t="str">
        <x:v>Present</x:v>
      </x:c>
      <x:c r="H676" s="30" t="str">
        <x:v>Present</x:v>
      </x:c>
      <x:c r="I676" s="30" t="str">
        <x:v>OK</x:v>
      </x:c>
    </x:row>
    <x:row r="677" ht="72" customHeight="1">
      <x:c r="A677" s="30" t="n">
        <x:v>6</x:v>
      </x:c>
      <x:c r="B677" s="30" t="str">
        <x:v>Norway</x:v>
      </x:c>
      <x:c r="C677" s="30" t="str">
        <x:v>Nammo</x:v>
      </x:c>
      <x:c r="D677" s="30" t="str">
        <x:v>Missiles</x:v>
      </x:c>
      <x:c r="E677" s="30" t="str">
        <x:v>Tactical Rocket Motors / Missile Propulsion</x:v>
      </x:c>
      <x:c r="F677" s="30" t="n">
        <x:v>1</x:v>
      </x:c>
      <x:c r="G677" s="30" t="str">
        <x:v>Present</x:v>
      </x:c>
      <x:c r="H677" s="30" t="str">
        <x:v>Present</x:v>
      </x:c>
      <x:c r="I677" s="30" t="str">
        <x:v>Family/system/component-level entry — review if exact-model-only view is needed</x:v>
      </x:c>
    </x:row>
    <x:row r="678" ht="72" customHeight="1">
      <x:c r="A678" s="30" t="n">
        <x:v>6</x:v>
      </x:c>
      <x:c r="B678" s="30" t="str">
        <x:v>US</x:v>
      </x:c>
      <x:c r="C678" s="30" t="str">
        <x:v>SIG Sauer</x:v>
      </x:c>
      <x:c r="D678" s="30" t="str">
        <x:v>Ammunition</x:v>
      </x:c>
      <x:c r="E678" s="30" t="str">
        <x:v>.300 BLACKOUT</x:v>
      </x:c>
      <x:c r="F678" s="30" t="n">
        <x:v>3</x:v>
      </x:c>
      <x:c r="G678" s="30" t="str">
        <x:v>Present</x:v>
      </x:c>
      <x:c r="H678" s="30" t="str">
        <x:v>Present</x:v>
      </x:c>
      <x:c r="I678" s="30" t="str">
        <x:v>OK</x:v>
      </x:c>
    </x:row>
    <x:row r="679" ht="72" customHeight="1">
      <x:c r="A679" s="30" t="n">
        <x:v>6</x:v>
      </x:c>
      <x:c r="B679" s="30" t="str">
        <x:v>US</x:v>
      </x:c>
      <x:c r="C679" s="30" t="str">
        <x:v>SIG Sauer</x:v>
      </x:c>
      <x:c r="D679" s="30" t="str">
        <x:v>Ammunition</x:v>
      </x:c>
      <x:c r="E679" s="30" t="str">
        <x:v>.338 NM</x:v>
      </x:c>
      <x:c r="F679" s="30" t="n">
        <x:v>4</x:v>
      </x:c>
      <x:c r="G679" s="30" t="str">
        <x:v>Present</x:v>
      </x:c>
      <x:c r="H679" s="30" t="str">
        <x:v>Present</x:v>
      </x:c>
      <x:c r="I679" s="30" t="str">
        <x:v>OK</x:v>
      </x:c>
    </x:row>
    <x:row r="680" ht="72" customHeight="1">
      <x:c r="A680" s="30" t="n">
        <x:v>6</x:v>
      </x:c>
      <x:c r="B680" s="30" t="str">
        <x:v>US</x:v>
      </x:c>
      <x:c r="C680" s="30" t="str">
        <x:v>SIG Sauer</x:v>
      </x:c>
      <x:c r="D680" s="30" t="str">
        <x:v>Ammunition</x:v>
      </x:c>
      <x:c r="E680" s="30" t="str">
        <x:v>.338 NM TRACER</x:v>
      </x:c>
      <x:c r="F680" s="30" t="n">
        <x:v>3</x:v>
      </x:c>
      <x:c r="G680" s="30" t="str">
        <x:v>Present</x:v>
      </x:c>
      <x:c r="H680" s="30" t="str">
        <x:v>Present</x:v>
      </x:c>
      <x:c r="I680" s="30" t="str">
        <x:v>OK</x:v>
      </x:c>
    </x:row>
    <x:row r="681" ht="72" customHeight="1">
      <x:c r="A681" s="30" t="n">
        <x:v>6</x:v>
      </x:c>
      <x:c r="B681" s="30" t="str">
        <x:v>US</x:v>
      </x:c>
      <x:c r="C681" s="30" t="str">
        <x:v>SIG Sauer</x:v>
      </x:c>
      <x:c r="D681" s="30" t="str">
        <x:v>Ammunition</x:v>
      </x:c>
      <x:c r="E681" s="30" t="str">
        <x:v>HYBRID AMMO</x:v>
      </x:c>
      <x:c r="F681" s="30" t="n">
        <x:v>5</x:v>
      </x:c>
      <x:c r="G681" s="30" t="str">
        <x:v>Present</x:v>
      </x:c>
      <x:c r="H681" s="30" t="str">
        <x:v>Present</x:v>
      </x:c>
      <x:c r="I681" s="30" t="str">
        <x:v>OK</x:v>
      </x:c>
    </x:row>
    <x:row r="682" ht="72" customHeight="1">
      <x:c r="A682" s="30" t="n">
        <x:v>6</x:v>
      </x:c>
      <x:c r="B682" s="30" t="str">
        <x:v>US</x:v>
      </x:c>
      <x:c r="C682" s="30" t="str">
        <x:v>SIG Sauer</x:v>
      </x:c>
      <x:c r="D682" s="30" t="str">
        <x:v>Ammunition</x:v>
      </x:c>
      <x:c r="E682" s="30" t="str">
        <x:v>PISTOL</x:v>
      </x:c>
      <x:c r="F682" s="30" t="n">
        <x:v>3</x:v>
      </x:c>
      <x:c r="G682" s="30" t="str">
        <x:v>Present</x:v>
      </x:c>
      <x:c r="H682" s="30" t="str">
        <x:v>Present</x:v>
      </x:c>
      <x:c r="I682" s="30" t="str">
        <x:v>OK</x:v>
      </x:c>
    </x:row>
    <x:row r="683" ht="72" customHeight="1">
      <x:c r="A683" s="30" t="n">
        <x:v>6</x:v>
      </x:c>
      <x:c r="B683" s="30" t="str">
        <x:v>US</x:v>
      </x:c>
      <x:c r="C683" s="30" t="str">
        <x:v>SIG Sauer</x:v>
      </x:c>
      <x:c r="D683" s="30" t="str">
        <x:v>Ammunition</x:v>
      </x:c>
      <x:c r="E683" s="30" t="str">
        <x:v>PRECISION</x:v>
      </x:c>
      <x:c r="F683" s="30" t="n">
        <x:v>3</x:v>
      </x:c>
      <x:c r="G683" s="30" t="str">
        <x:v>Present</x:v>
      </x:c>
      <x:c r="H683" s="30" t="str">
        <x:v>Present</x:v>
      </x:c>
      <x:c r="I683" s="30" t="str">
        <x:v>OK</x:v>
      </x:c>
    </x:row>
    <x:row r="684" ht="72" customHeight="1">
      <x:c r="A684" s="30" t="n">
        <x:v>6</x:v>
      </x:c>
      <x:c r="B684" s="30" t="str">
        <x:v>US</x:v>
      </x:c>
      <x:c r="C684" s="30" t="str">
        <x:v>SIG Sauer</x:v>
      </x:c>
      <x:c r="D684" s="30" t="str">
        <x:v>Small Arms</x:v>
      </x:c>
      <x:c r="E684" s="30" t="str">
        <x:v>1911X / SP2022</x:v>
      </x:c>
      <x:c r="F684" s="30" t="n">
        <x:v>3</x:v>
      </x:c>
      <x:c r="G684" s="30" t="str">
        <x:v>Present</x:v>
      </x:c>
      <x:c r="H684" s="30" t="str">
        <x:v>Present</x:v>
      </x:c>
      <x:c r="I684" s="30" t="str">
        <x:v>OK</x:v>
      </x:c>
    </x:row>
    <x:row r="685" ht="72" customHeight="1">
      <x:c r="A685" s="30" t="n">
        <x:v>6</x:v>
      </x:c>
      <x:c r="B685" s="30" t="str">
        <x:v>US</x:v>
      </x:c>
      <x:c r="C685" s="30" t="str">
        <x:v>SIG Sauer</x:v>
      </x:c>
      <x:c r="D685" s="30" t="str">
        <x:v>Small Arms</x:v>
      </x:c>
      <x:c r="E685" s="30" t="str">
        <x:v>516 G3</x:v>
      </x:c>
      <x:c r="F685" s="30" t="n">
        <x:v>3</x:v>
      </x:c>
      <x:c r="G685" s="30" t="str">
        <x:v>Present</x:v>
      </x:c>
      <x:c r="H685" s="30" t="str">
        <x:v>Present</x:v>
      </x:c>
      <x:c r="I685" s="30" t="str">
        <x:v>OK</x:v>
      </x:c>
    </x:row>
    <x:row r="686" ht="72" customHeight="1">
      <x:c r="A686" s="30" t="n">
        <x:v>6</x:v>
      </x:c>
      <x:c r="B686" s="30" t="str">
        <x:v>US</x:v>
      </x:c>
      <x:c r="C686" s="30" t="str">
        <x:v>SIG Sauer</x:v>
      </x:c>
      <x:c r="D686" s="30" t="str">
        <x:v>Small Arms</x:v>
      </x:c>
      <x:c r="E686" s="30" t="str">
        <x:v>Classic Line</x:v>
      </x:c>
      <x:c r="F686" s="30" t="n">
        <x:v>5</x:v>
      </x:c>
      <x:c r="G686" s="30" t="str">
        <x:v>Present</x:v>
      </x:c>
      <x:c r="H686" s="30" t="str">
        <x:v>Present</x:v>
      </x:c>
      <x:c r="I686" s="30" t="str">
        <x:v>OK</x:v>
      </x:c>
    </x:row>
    <x:row r="687" ht="72" customHeight="1">
      <x:c r="A687" s="30" t="n">
        <x:v>6</x:v>
      </x:c>
      <x:c r="B687" s="30" t="str">
        <x:v>US</x:v>
      </x:c>
      <x:c r="C687" s="30" t="str">
        <x:v>SIG Sauer</x:v>
      </x:c>
      <x:c r="D687" s="30" t="str">
        <x:v>Small Arms</x:v>
      </x:c>
      <x:c r="E687" s="30" t="str">
        <x:v>CROSS TACOPS</x:v>
      </x:c>
      <x:c r="F687" s="30" t="n">
        <x:v>3</x:v>
      </x:c>
      <x:c r="G687" s="30" t="str">
        <x:v>Present</x:v>
      </x:c>
      <x:c r="H687" s="30" t="str">
        <x:v>Present</x:v>
      </x:c>
      <x:c r="I687" s="30" t="str">
        <x:v>OK</x:v>
      </x:c>
    </x:row>
    <x:row r="688" ht="72" customHeight="1">
      <x:c r="A688" s="30" t="n">
        <x:v>6</x:v>
      </x:c>
      <x:c r="B688" s="30" t="str">
        <x:v>US</x:v>
      </x:c>
      <x:c r="C688" s="30" t="str">
        <x:v>SIG Sauer</x:v>
      </x:c>
      <x:c r="D688" s="30" t="str">
        <x:v>Small Arms</x:v>
      </x:c>
      <x:c r="E688" s="30" t="str">
        <x:v>M17 / M18</x:v>
      </x:c>
      <x:c r="F688" s="30" t="n">
        <x:v>4</x:v>
      </x:c>
      <x:c r="G688" s="30" t="str">
        <x:v>Present</x:v>
      </x:c>
      <x:c r="H688" s="30" t="str">
        <x:v>Present</x:v>
      </x:c>
      <x:c r="I688" s="30" t="str">
        <x:v>OK</x:v>
      </x:c>
    </x:row>
    <x:row r="689" ht="72" customHeight="1">
      <x:c r="A689" s="30" t="n">
        <x:v>6</x:v>
      </x:c>
      <x:c r="B689" s="30" t="str">
        <x:v>US</x:v>
      </x:c>
      <x:c r="C689" s="30" t="str">
        <x:v>SIG Sauer</x:v>
      </x:c>
      <x:c r="D689" s="30" t="str">
        <x:v>Small Arms</x:v>
      </x:c>
      <x:c r="E689" s="30" t="str">
        <x:v>M17 / M18 AAL</x:v>
      </x:c>
      <x:c r="F689" s="30" t="n">
        <x:v>3</x:v>
      </x:c>
      <x:c r="G689" s="30" t="str">
        <x:v>Present</x:v>
      </x:c>
      <x:c r="H689" s="30" t="str">
        <x:v>Present</x:v>
      </x:c>
      <x:c r="I689" s="30" t="str">
        <x:v>OK</x:v>
      </x:c>
    </x:row>
    <x:row r="690" ht="72" customHeight="1">
      <x:c r="A690" s="30" t="n">
        <x:v>6</x:v>
      </x:c>
      <x:c r="B690" s="30" t="str">
        <x:v>US</x:v>
      </x:c>
      <x:c r="C690" s="30" t="str">
        <x:v>SIG Sauer</x:v>
      </x:c>
      <x:c r="D690" s="30" t="str">
        <x:v>Small Arms</x:v>
      </x:c>
      <x:c r="E690" s="30" t="str">
        <x:v>M17 / M18 PRO</x:v>
      </x:c>
      <x:c r="F690" s="30" t="n">
        <x:v>3</x:v>
      </x:c>
      <x:c r="G690" s="30" t="str">
        <x:v>Present</x:v>
      </x:c>
      <x:c r="H690" s="30" t="str">
        <x:v>Present</x:v>
      </x:c>
      <x:c r="I690" s="30" t="str">
        <x:v>OK</x:v>
      </x:c>
    </x:row>
    <x:row r="691" ht="72" customHeight="1">
      <x:c r="A691" s="30" t="n">
        <x:v>6</x:v>
      </x:c>
      <x:c r="B691" s="30" t="str">
        <x:v>US</x:v>
      </x:c>
      <x:c r="C691" s="30" t="str">
        <x:v>SIG Sauer</x:v>
      </x:c>
      <x:c r="D691" s="30" t="str">
        <x:v>Small Arms</x:v>
      </x:c>
      <x:c r="E691" s="30" t="str">
        <x:v>M250 / SIG LMG (6.8 mm)</x:v>
      </x:c>
      <x:c r="F691" s="30" t="n">
        <x:v>6</x:v>
      </x:c>
      <x:c r="G691" s="30" t="str">
        <x:v>Present</x:v>
      </x:c>
      <x:c r="H691" s="30" t="str">
        <x:v>Present</x:v>
      </x:c>
      <x:c r="I691" s="30" t="str">
        <x:v>OK</x:v>
      </x:c>
    </x:row>
    <x:row r="692" ht="72" customHeight="1">
      <x:c r="A692" s="30" t="n">
        <x:v>6</x:v>
      </x:c>
      <x:c r="B692" s="30" t="str">
        <x:v>US</x:v>
      </x:c>
      <x:c r="C692" s="30" t="str">
        <x:v>SIG Sauer</x:v>
      </x:c>
      <x:c r="D692" s="30" t="str">
        <x:v>Small Arms</x:v>
      </x:c>
      <x:c r="E692" s="30" t="str">
        <x:v>M400 PRO</x:v>
      </x:c>
      <x:c r="F692" s="30" t="n">
        <x:v>3</x:v>
      </x:c>
      <x:c r="G692" s="30" t="str">
        <x:v>Present</x:v>
      </x:c>
      <x:c r="H692" s="30" t="str">
        <x:v>Present</x:v>
      </x:c>
      <x:c r="I692" s="30" t="str">
        <x:v>OK</x:v>
      </x:c>
    </x:row>
    <x:row r="693" ht="72" customHeight="1">
      <x:c r="A693" s="30" t="n">
        <x:v>6</x:v>
      </x:c>
      <x:c r="B693" s="30" t="str">
        <x:v>US</x:v>
      </x:c>
      <x:c r="C693" s="30" t="str">
        <x:v>SIG Sauer</x:v>
      </x:c>
      <x:c r="D693" s="30" t="str">
        <x:v>Small Arms</x:v>
      </x:c>
      <x:c r="E693" s="30" t="str">
        <x:v>MCX LT 300 BLK</x:v>
      </x:c>
      <x:c r="F693" s="30" t="n">
        <x:v>5</x:v>
      </x:c>
      <x:c r="G693" s="30" t="str">
        <x:v>Present</x:v>
      </x:c>
      <x:c r="H693" s="30" t="str">
        <x:v>Present</x:v>
      </x:c>
      <x:c r="I693" s="30" t="str">
        <x:v>OK</x:v>
      </x:c>
    </x:row>
    <x:row r="694" ht="72" customHeight="1">
      <x:c r="A694" s="30" t="n">
        <x:v>6</x:v>
      </x:c>
      <x:c r="B694" s="30" t="str">
        <x:v>US</x:v>
      </x:c>
      <x:c r="C694" s="30" t="str">
        <x:v>SIG Sauer</x:v>
      </x:c>
      <x:c r="D694" s="30" t="str">
        <x:v>Small Arms</x:v>
      </x:c>
      <x:c r="E694" s="30" t="str">
        <x:v>MCX LT 5.56</x:v>
      </x:c>
      <x:c r="F694" s="30" t="n">
        <x:v>3</x:v>
      </x:c>
      <x:c r="G694" s="30" t="str">
        <x:v>Present</x:v>
      </x:c>
      <x:c r="H694" s="30" t="str">
        <x:v>Present</x:v>
      </x:c>
      <x:c r="I694" s="30" t="str">
        <x:v>OK</x:v>
      </x:c>
    </x:row>
    <x:row r="695" ht="72" customHeight="1">
      <x:c r="A695" s="30" t="n">
        <x:v>6</x:v>
      </x:c>
      <x:c r="B695" s="30" t="str">
        <x:v>US</x:v>
      </x:c>
      <x:c r="C695" s="30" t="str">
        <x:v>SIG Sauer</x:v>
      </x:c>
      <x:c r="D695" s="30" t="str">
        <x:v>Small Arms</x:v>
      </x:c>
      <x:c r="E695" s="30" t="str">
        <x:v>MCX LT 7.62×39</x:v>
      </x:c>
      <x:c r="F695" s="30" t="n">
        <x:v>5</x:v>
      </x:c>
      <x:c r="G695" s="30" t="str">
        <x:v>Present</x:v>
      </x:c>
      <x:c r="H695" s="30" t="str">
        <x:v>Present</x:v>
      </x:c>
      <x:c r="I695" s="30" t="str">
        <x:v>OK</x:v>
      </x:c>
    </x:row>
    <x:row r="696" ht="72" customHeight="1">
      <x:c r="A696" s="30" t="n">
        <x:v>6</x:v>
      </x:c>
      <x:c r="B696" s="30" t="str">
        <x:v>US</x:v>
      </x:c>
      <x:c r="C696" s="30" t="str">
        <x:v>SIG Sauer</x:v>
      </x:c>
      <x:c r="D696" s="30" t="str">
        <x:v>Small Arms</x:v>
      </x:c>
      <x:c r="E696" s="30" t="str">
        <x:v>MCX RATTLER</x:v>
      </x:c>
      <x:c r="F696" s="30" t="n">
        <x:v>3</x:v>
      </x:c>
      <x:c r="G696" s="30" t="str">
        <x:v>Present</x:v>
      </x:c>
      <x:c r="H696" s="30" t="str">
        <x:v>Present</x:v>
      </x:c>
      <x:c r="I696" s="30" t="str">
        <x:v>OK</x:v>
      </x:c>
    </x:row>
    <x:row r="697" ht="72" customHeight="1">
      <x:c r="A697" s="30" t="n">
        <x:v>6</x:v>
      </x:c>
      <x:c r="B697" s="30" t="str">
        <x:v>US</x:v>
      </x:c>
      <x:c r="C697" s="30" t="str">
        <x:v>SIG Sauer</x:v>
      </x:c>
      <x:c r="D697" s="30" t="str">
        <x:v>Small Arms</x:v>
      </x:c>
      <x:c r="E697" s="30" t="str">
        <x:v>MCX SPEAR / M7</x:v>
      </x:c>
      <x:c r="F697" s="30" t="n">
        <x:v>5</x:v>
      </x:c>
      <x:c r="G697" s="30" t="str">
        <x:v>Present</x:v>
      </x:c>
      <x:c r="H697" s="30" t="str">
        <x:v>Present</x:v>
      </x:c>
      <x:c r="I697" s="30" t="str">
        <x:v>OK</x:v>
      </x:c>
    </x:row>
    <x:row r="698" ht="72" customHeight="1">
      <x:c r="A698" s="30" t="n">
        <x:v>6</x:v>
      </x:c>
      <x:c r="B698" s="30" t="str">
        <x:v>US</x:v>
      </x:c>
      <x:c r="C698" s="30" t="str">
        <x:v>SIG Sauer</x:v>
      </x:c>
      <x:c r="D698" s="30" t="str">
        <x:v>Small Arms</x:v>
      </x:c>
      <x:c r="E698" s="30" t="str">
        <x:v>MCX SPEAR DMR</x:v>
      </x:c>
      <x:c r="F698" s="30" t="n">
        <x:v>3</x:v>
      </x:c>
      <x:c r="G698" s="30" t="str">
        <x:v>Present</x:v>
      </x:c>
      <x:c r="H698" s="30" t="str">
        <x:v>Present</x:v>
      </x:c>
      <x:c r="I698" s="30" t="str">
        <x:v>OK</x:v>
      </x:c>
    </x:row>
    <x:row r="699" ht="72" customHeight="1">
      <x:c r="A699" s="30" t="n">
        <x:v>6</x:v>
      </x:c>
      <x:c r="B699" s="30" t="str">
        <x:v>US</x:v>
      </x:c>
      <x:c r="C699" s="30" t="str">
        <x:v>SIG Sauer</x:v>
      </x:c>
      <x:c r="D699" s="30" t="str">
        <x:v>Small Arms</x:v>
      </x:c>
      <x:c r="E699" s="30" t="str">
        <x:v>MPX</x:v>
      </x:c>
      <x:c r="F699" s="30" t="n">
        <x:v>3</x:v>
      </x:c>
      <x:c r="G699" s="30" t="str">
        <x:v>Present</x:v>
      </x:c>
      <x:c r="H699" s="30" t="str">
        <x:v>Present</x:v>
      </x:c>
      <x:c r="I699" s="30" t="str">
        <x:v>OK</x:v>
      </x:c>
    </x:row>
    <x:row r="700" ht="72" customHeight="1">
      <x:c r="A700" s="30" t="n">
        <x:v>6</x:v>
      </x:c>
      <x:c r="B700" s="30" t="str">
        <x:v>US</x:v>
      </x:c>
      <x:c r="C700" s="30" t="str">
        <x:v>SIG Sauer</x:v>
      </x:c>
      <x:c r="D700" s="30" t="str">
        <x:v>Small Arms</x:v>
      </x:c>
      <x:c r="E700" s="30" t="str">
        <x:v>P211</x:v>
      </x:c>
      <x:c r="F700" s="30" t="n">
        <x:v>3</x:v>
      </x:c>
      <x:c r="G700" s="30" t="str">
        <x:v>Present</x:v>
      </x:c>
      <x:c r="H700" s="30" t="str">
        <x:v>Present</x:v>
      </x:c>
      <x:c r="I700" s="30" t="str">
        <x:v>OK</x:v>
      </x:c>
    </x:row>
    <x:row r="701" ht="72" customHeight="1">
      <x:c r="A701" s="30" t="n">
        <x:v>6</x:v>
      </x:c>
      <x:c r="B701" s="30" t="str">
        <x:v>US</x:v>
      </x:c>
      <x:c r="C701" s="30" t="str">
        <x:v>SIG Sauer</x:v>
      </x:c>
      <x:c r="D701" s="30" t="str">
        <x:v>Small Arms</x:v>
      </x:c>
      <x:c r="E701" s="30" t="str">
        <x:v>P226X Carry PRO</x:v>
      </x:c>
      <x:c r="F701" s="30" t="n">
        <x:v>5</x:v>
      </x:c>
      <x:c r="G701" s="30" t="str">
        <x:v>Present</x:v>
      </x:c>
      <x:c r="H701" s="30" t="str">
        <x:v>Present</x:v>
      </x:c>
      <x:c r="I701" s="30" t="str">
        <x:v>OK</x:v>
      </x:c>
    </x:row>
    <x:row r="702" ht="72" customHeight="1">
      <x:c r="A702" s="30" t="n">
        <x:v>6</x:v>
      </x:c>
      <x:c r="B702" s="30" t="str">
        <x:v>US</x:v>
      </x:c>
      <x:c r="C702" s="30" t="str">
        <x:v>SIG Sauer</x:v>
      </x:c>
      <x:c r="D702" s="30" t="str">
        <x:v>Small Arms</x:v>
      </x:c>
      <x:c r="E702" s="30" t="str">
        <x:v>P226X PRO</x:v>
      </x:c>
      <x:c r="F702" s="30" t="n">
        <x:v>3</x:v>
      </x:c>
      <x:c r="G702" s="30" t="str">
        <x:v>Present</x:v>
      </x:c>
      <x:c r="H702" s="30" t="str">
        <x:v>Present</x:v>
      </x:c>
      <x:c r="I702" s="30" t="str">
        <x:v>OK</x:v>
      </x:c>
    </x:row>
    <x:row r="703" ht="72" customHeight="1">
      <x:c r="A703" s="30" t="n">
        <x:v>6</x:v>
      </x:c>
      <x:c r="B703" s="30" t="str">
        <x:v>US</x:v>
      </x:c>
      <x:c r="C703" s="30" t="str">
        <x:v>SIG Sauer</x:v>
      </x:c>
      <x:c r="D703" s="30" t="str">
        <x:v>Small Arms</x:v>
      </x:c>
      <x:c r="E703" s="30" t="str">
        <x:v>P320</x:v>
      </x:c>
      <x:c r="F703" s="30" t="n">
        <x:v>4</x:v>
      </x:c>
      <x:c r="G703" s="30" t="str">
        <x:v>Present</x:v>
      </x:c>
      <x:c r="H703" s="30" t="str">
        <x:v>Present</x:v>
      </x:c>
      <x:c r="I703" s="30" t="str">
        <x:v>OK</x:v>
      </x:c>
    </x:row>
    <x:row r="704" ht="72" customHeight="1">
      <x:c r="A704" s="30" t="n">
        <x:v>6</x:v>
      </x:c>
      <x:c r="B704" s="30" t="str">
        <x:v>US</x:v>
      </x:c>
      <x:c r="C704" s="30" t="str">
        <x:v>SIG Sauer</x:v>
      </x:c>
      <x:c r="D704" s="30" t="str">
        <x:v>Small Arms</x:v>
      </x:c>
      <x:c r="E704" s="30" t="str">
        <x:v>P320 PRO Series</x:v>
      </x:c>
      <x:c r="F704" s="30" t="n">
        <x:v>5</x:v>
      </x:c>
      <x:c r="G704" s="30" t="str">
        <x:v>Present</x:v>
      </x:c>
      <x:c r="H704" s="30" t="str">
        <x:v>Present</x:v>
      </x:c>
      <x:c r="I704" s="30" t="str">
        <x:v>OK</x:v>
      </x:c>
    </x:row>
    <x:row r="705" ht="72" customHeight="1">
      <x:c r="A705" s="30" t="n">
        <x:v>6</x:v>
      </x:c>
      <x:c r="B705" s="30" t="str">
        <x:v>US</x:v>
      </x:c>
      <x:c r="C705" s="30" t="str">
        <x:v>SIG Sauer</x:v>
      </x:c>
      <x:c r="D705" s="30" t="str">
        <x:v>Small Arms</x:v>
      </x:c>
      <x:c r="E705" s="30" t="str">
        <x:v>P320 Training</x:v>
      </x:c>
      <x:c r="F705" s="30" t="n">
        <x:v>5</x:v>
      </x:c>
      <x:c r="G705" s="30" t="str">
        <x:v>Present</x:v>
      </x:c>
      <x:c r="H705" s="30" t="str">
        <x:v>Present</x:v>
      </x:c>
      <x:c r="I705" s="30" t="str">
        <x:v>OK</x:v>
      </x:c>
    </x:row>
    <x:row r="706" ht="72" customHeight="1">
      <x:c r="A706" s="30" t="n">
        <x:v>6</x:v>
      </x:c>
      <x:c r="B706" s="30" t="str">
        <x:v>US</x:v>
      </x:c>
      <x:c r="C706" s="30" t="str">
        <x:v>SIG Sauer</x:v>
      </x:c>
      <x:c r="D706" s="30" t="str">
        <x:v>Small Arms</x:v>
      </x:c>
      <x:c r="E706" s="30" t="str">
        <x:v>P365</x:v>
      </x:c>
      <x:c r="F706" s="30" t="n">
        <x:v>3</x:v>
      </x:c>
      <x:c r="G706" s="30" t="str">
        <x:v>Present</x:v>
      </x:c>
      <x:c r="H706" s="30" t="str">
        <x:v>Present</x:v>
      </x:c>
      <x:c r="I706" s="30" t="str">
        <x:v>OK</x:v>
      </x:c>
    </x:row>
    <x:row r="707" ht="72" customHeight="1">
      <x:c r="A707" s="30" t="n">
        <x:v>6</x:v>
      </x:c>
      <x:c r="B707" s="30" t="str">
        <x:v>US</x:v>
      </x:c>
      <x:c r="C707" s="30" t="str">
        <x:v>SIG Sauer</x:v>
      </x:c>
      <x:c r="D707" s="30" t="str">
        <x:v>Small Arms</x:v>
      </x:c>
      <x:c r="E707" s="30" t="str">
        <x:v>P365 X-Series</x:v>
      </x:c>
      <x:c r="F707" s="30" t="n">
        <x:v>5</x:v>
      </x:c>
      <x:c r="G707" s="30" t="str">
        <x:v>Present</x:v>
      </x:c>
      <x:c r="H707" s="30" t="str">
        <x:v>Present</x:v>
      </x:c>
      <x:c r="I707" s="30" t="str">
        <x:v>OK</x:v>
      </x:c>
    </x:row>
    <x:row r="708" ht="72" customHeight="1">
      <x:c r="A708" s="30" t="n">
        <x:v>6</x:v>
      </x:c>
      <x:c r="B708" s="30" t="str">
        <x:v>US</x:v>
      </x:c>
      <x:c r="C708" s="30" t="str">
        <x:v>SIG Sauer</x:v>
      </x:c>
      <x:c r="D708" s="30" t="str">
        <x:v>Small Arms</x:v>
      </x:c>
      <x:c r="E708" s="30" t="str">
        <x:v>P365-AXG</x:v>
      </x:c>
      <x:c r="F708" s="30" t="n">
        <x:v>3</x:v>
      </x:c>
      <x:c r="G708" s="30" t="str">
        <x:v>Present</x:v>
      </x:c>
      <x:c r="H708" s="30" t="str">
        <x:v>Present</x:v>
      </x:c>
      <x:c r="I708" s="30" t="str">
        <x:v>OK</x:v>
      </x:c>
    </x:row>
    <x:row r="709" ht="72" customHeight="1">
      <x:c r="A709" s="30" t="n">
        <x:v>6</x:v>
      </x:c>
      <x:c r="B709" s="30" t="str">
        <x:v>US</x:v>
      </x:c>
      <x:c r="C709" s="30" t="str">
        <x:v>SIG Sauer</x:v>
      </x:c>
      <x:c r="D709" s="30" t="str">
        <x:v>Small Arms</x:v>
      </x:c>
      <x:c r="E709" s="30" t="str">
        <x:v>P365-FUSE</x:v>
      </x:c>
      <x:c r="F709" s="30" t="n">
        <x:v>3</x:v>
      </x:c>
      <x:c r="G709" s="30" t="str">
        <x:v>Present</x:v>
      </x:c>
      <x:c r="H709" s="30" t="str">
        <x:v>Present</x:v>
      </x:c>
      <x:c r="I709" s="30" t="str">
        <x:v>OK</x:v>
      </x:c>
    </x:row>
    <x:row r="710" ht="72" customHeight="1">
      <x:c r="A710" s="30" t="n">
        <x:v>6</x:v>
      </x:c>
      <x:c r="B710" s="30" t="str">
        <x:v>US</x:v>
      </x:c>
      <x:c r="C710" s="30" t="str">
        <x:v>SIG Sauer</x:v>
      </x:c>
      <x:c r="D710" s="30" t="str">
        <x:v>Small Arms</x:v>
      </x:c>
      <x:c r="E710" s="30" t="str">
        <x:v>P365-Macro</x:v>
      </x:c>
      <x:c r="F710" s="30" t="n">
        <x:v>5</x:v>
      </x:c>
      <x:c r="G710" s="30" t="str">
        <x:v>Present</x:v>
      </x:c>
      <x:c r="H710" s="30" t="str">
        <x:v>Present</x:v>
      </x:c>
      <x:c r="I710" s="30" t="str">
        <x:v>OK</x:v>
      </x:c>
    </x:row>
    <x:row r="711" ht="72" customHeight="1">
      <x:c r="A711" s="30" t="n">
        <x:v>6</x:v>
      </x:c>
      <x:c r="B711" s="30" t="str">
        <x:v>US</x:v>
      </x:c>
      <x:c r="C711" s="30" t="str">
        <x:v>SIG Sauer</x:v>
      </x:c>
      <x:c r="D711" s="30" t="str">
        <x:v>Small Arms</x:v>
      </x:c>
      <x:c r="E711" s="30" t="str">
        <x:v>SIG HYP</x:v>
      </x:c>
      <x:c r="F711" s="30" t="n">
        <x:v>3</x:v>
      </x:c>
      <x:c r="G711" s="30" t="str">
        <x:v>Present</x:v>
      </x:c>
      <x:c r="H711" s="30" t="str">
        <x:v>Present</x:v>
      </x:c>
      <x:c r="I711" s="30" t="str">
        <x:v>OK</x:v>
      </x:c>
    </x:row>
    <x:row r="712" ht="72" customHeight="1">
      <x:c r="A712" s="30" t="n">
        <x:v>6</x:v>
      </x:c>
      <x:c r="B712" s="30" t="str">
        <x:v>US</x:v>
      </x:c>
      <x:c r="C712" s="30" t="str">
        <x:v>SIG Sauer</x:v>
      </x:c>
      <x:c r="D712" s="30" t="str">
        <x:v>Small Arms</x:v>
      </x:c>
      <x:c r="E712" s="30" t="str">
        <x:v>SIG MMG 338</x:v>
      </x:c>
      <x:c r="F712" s="30" t="n">
        <x:v>7</x:v>
      </x:c>
      <x:c r="G712" s="30" t="str">
        <x:v>Present</x:v>
      </x:c>
      <x:c r="H712" s="30" t="str">
        <x:v>Present</x:v>
      </x:c>
      <x:c r="I712" s="30" t="str">
        <x:v>OK</x:v>
      </x:c>
    </x:row>
    <x:row r="713" ht="72" customHeight="1">
      <x:c r="A713" s="30" t="n">
        <x:v>6</x:v>
      </x:c>
      <x:c r="B713" s="30" t="str">
        <x:v>US</x:v>
      </x:c>
      <x:c r="C713" s="30" t="str">
        <x:v>SIG Sauer</x:v>
      </x:c>
      <x:c r="D713" s="30" t="str">
        <x:v>Small Arms</x:v>
      </x:c>
      <x:c r="E713" s="30" t="str">
        <x:v>SLQ / SQX</x:v>
      </x:c>
      <x:c r="F713" s="30" t="n">
        <x:v>3</x:v>
      </x:c>
      <x:c r="G713" s="30" t="str">
        <x:v>Present</x:v>
      </x:c>
      <x:c r="H713" s="30" t="str">
        <x:v>Present</x:v>
      </x:c>
      <x:c r="I713" s="30" t="str">
        <x:v>OK</x:v>
      </x:c>
    </x:row>
    <x:row r="714" ht="72" customHeight="1">
      <x:c r="A714" s="30" t="n">
        <x:v>6</x:v>
      </x:c>
      <x:c r="B714" s="30" t="str">
        <x:v>India</x:v>
      </x:c>
      <x:c r="C714" s="30" t="str">
        <x:v>SSS Defence</x:v>
      </x:c>
      <x:c r="D714" s="30" t="str">
        <x:v>Ammunition</x:v>
      </x:c>
      <x:c r="E714" s="30" t="str">
        <x:v>.338 Lapua Magnum HPBT 250 gr</x:v>
      </x:c>
      <x:c r="F714" s="30" t="n">
        <x:v>1</x:v>
      </x:c>
      <x:c r="G714" s="30" t="str">
        <x:v>Present</x:v>
      </x:c>
      <x:c r="H714" s="30" t="str">
        <x:v>Present</x:v>
      </x:c>
      <x:c r="I714" s="30" t="str">
        <x:v>OK</x:v>
      </x:c>
    </x:row>
    <x:row r="715" ht="72" customHeight="1">
      <x:c r="A715" s="30" t="n">
        <x:v>6</x:v>
      </x:c>
      <x:c r="B715" s="30" t="str">
        <x:v>India</x:v>
      </x:c>
      <x:c r="C715" s="30" t="str">
        <x:v>SSS Defence</x:v>
      </x:c>
      <x:c r="D715" s="30" t="str">
        <x:v>Ammunition</x:v>
      </x:c>
      <x:c r="E715" s="30" t="str">
        <x:v>.338 Lapua Magnum HPBT 300 gr</x:v>
      </x:c>
      <x:c r="F715" s="30" t="n">
        <x:v>1</x:v>
      </x:c>
      <x:c r="G715" s="30" t="str">
        <x:v>Present</x:v>
      </x:c>
      <x:c r="H715" s="30" t="str">
        <x:v>Present</x:v>
      </x:c>
      <x:c r="I715" s="30" t="str">
        <x:v>OK</x:v>
      </x:c>
    </x:row>
    <x:row r="716" ht="72" customHeight="1">
      <x:c r="A716" s="30" t="n">
        <x:v>6</x:v>
      </x:c>
      <x:c r="B716" s="30" t="str">
        <x:v>India</x:v>
      </x:c>
      <x:c r="C716" s="30" t="str">
        <x:v>SSS Defence</x:v>
      </x:c>
      <x:c r="D716" s="30" t="str">
        <x:v>Ammunition</x:v>
      </x:c>
      <x:c r="E716" s="30" t="str">
        <x:v>.338 Lapua Magnum Match 250 gr</x:v>
      </x:c>
      <x:c r="F716" s="30" t="n">
        <x:v>1</x:v>
      </x:c>
      <x:c r="G716" s="30" t="str">
        <x:v>Present</x:v>
      </x:c>
      <x:c r="H716" s="30" t="str">
        <x:v>Present</x:v>
      </x:c>
      <x:c r="I716" s="30" t="str">
        <x:v>OK</x:v>
      </x:c>
    </x:row>
    <x:row r="717" ht="72" customHeight="1">
      <x:c r="A717" s="30" t="n">
        <x:v>6</x:v>
      </x:c>
      <x:c r="B717" s="30" t="str">
        <x:v>India</x:v>
      </x:c>
      <x:c r="C717" s="30" t="str">
        <x:v>SSS Defence</x:v>
      </x:c>
      <x:c r="D717" s="30" t="str">
        <x:v>Ammunition</x:v>
      </x:c>
      <x:c r="E717" s="30" t="str">
        <x:v>12.7×99 mm Armor Piercing M2</x:v>
      </x:c>
      <x:c r="F717" s="30" t="n">
        <x:v>1</x:v>
      </x:c>
      <x:c r="G717" s="30" t="str">
        <x:v>Present</x:v>
      </x:c>
      <x:c r="H717" s="30" t="str">
        <x:v>Present</x:v>
      </x:c>
      <x:c r="I717" s="30" t="str">
        <x:v>OK</x:v>
      </x:c>
    </x:row>
    <x:row r="718" ht="72" customHeight="1">
      <x:c r="A718" s="30" t="n">
        <x:v>6</x:v>
      </x:c>
      <x:c r="B718" s="30" t="str">
        <x:v>India</x:v>
      </x:c>
      <x:c r="C718" s="30" t="str">
        <x:v>SSS Defence</x:v>
      </x:c>
      <x:c r="D718" s="30" t="str">
        <x:v>Ammunition</x:v>
      </x:c>
      <x:c r="E718" s="30" t="str">
        <x:v>12.7×99 mm Ball M33</x:v>
      </x:c>
      <x:c r="F718" s="30" t="n">
        <x:v>1</x:v>
      </x:c>
      <x:c r="G718" s="30" t="str">
        <x:v>Present</x:v>
      </x:c>
      <x:c r="H718" s="30" t="str">
        <x:v>Present</x:v>
      </x:c>
      <x:c r="I718" s="30" t="str">
        <x:v>OK</x:v>
      </x:c>
    </x:row>
    <x:row r="719" ht="72" customHeight="1">
      <x:c r="A719" s="30" t="n">
        <x:v>6</x:v>
      </x:c>
      <x:c r="B719" s="30" t="str">
        <x:v>India</x:v>
      </x:c>
      <x:c r="C719" s="30" t="str">
        <x:v>SSS Defence</x:v>
      </x:c>
      <x:c r="D719" s="30" t="str">
        <x:v>Ammunition</x:v>
      </x:c>
      <x:c r="E719" s="30" t="str">
        <x:v>12.7×99 mm Tracer M17</x:v>
      </x:c>
      <x:c r="F719" s="30" t="n">
        <x:v>1</x:v>
      </x:c>
      <x:c r="G719" s="30" t="str">
        <x:v>Present</x:v>
      </x:c>
      <x:c r="H719" s="30" t="str">
        <x:v>Present</x:v>
      </x:c>
      <x:c r="I719" s="30" t="str">
        <x:v>OK</x:v>
      </x:c>
    </x:row>
    <x:row r="720" ht="72" customHeight="1">
      <x:c r="A720" s="30" t="n">
        <x:v>6</x:v>
      </x:c>
      <x:c r="B720" s="30" t="str">
        <x:v>India</x:v>
      </x:c>
      <x:c r="C720" s="30" t="str">
        <x:v>SSS Defence</x:v>
      </x:c>
      <x:c r="D720" s="30" t="str">
        <x:v>Ammunition</x:v>
      </x:c>
      <x:c r="E720" s="30" t="str">
        <x:v>5.56×45 mm NATO Ball M193</x:v>
      </x:c>
      <x:c r="F720" s="30" t="n">
        <x:v>1</x:v>
      </x:c>
      <x:c r="G720" s="30" t="str">
        <x:v>Present</x:v>
      </x:c>
      <x:c r="H720" s="30" t="str">
        <x:v>Present</x:v>
      </x:c>
      <x:c r="I720" s="30" t="str">
        <x:v>OK</x:v>
      </x:c>
    </x:row>
    <x:row r="721" ht="72" customHeight="1">
      <x:c r="A721" s="30" t="n">
        <x:v>6</x:v>
      </x:c>
      <x:c r="B721" s="30" t="str">
        <x:v>India</x:v>
      </x:c>
      <x:c r="C721" s="30" t="str">
        <x:v>SSS Defence</x:v>
      </x:c>
      <x:c r="D721" s="30" t="str">
        <x:v>Ammunition</x:v>
      </x:c>
      <x:c r="E721" s="30" t="str">
        <x:v>5.56×45 mm NATO Ball SS109</x:v>
      </x:c>
      <x:c r="F721" s="30" t="n">
        <x:v>1</x:v>
      </x:c>
      <x:c r="G721" s="30" t="str">
        <x:v>Present</x:v>
      </x:c>
      <x:c r="H721" s="30" t="str">
        <x:v>Present</x:v>
      </x:c>
      <x:c r="I721" s="30" t="str">
        <x:v>OK</x:v>
      </x:c>
    </x:row>
    <x:row r="722" ht="72" customHeight="1">
      <x:c r="A722" s="30" t="n">
        <x:v>6</x:v>
      </x:c>
      <x:c r="B722" s="30" t="str">
        <x:v>India</x:v>
      </x:c>
      <x:c r="C722" s="30" t="str">
        <x:v>SSS Defence</x:v>
      </x:c>
      <x:c r="D722" s="30" t="str">
        <x:v>Ammunition</x:v>
      </x:c>
      <x:c r="E722" s="30" t="str">
        <x:v>7.62×51 mm NATO Armor Piercing</x:v>
      </x:c>
      <x:c r="F722" s="30" t="n">
        <x:v>1</x:v>
      </x:c>
      <x:c r="G722" s="30" t="str">
        <x:v>Present</x:v>
      </x:c>
      <x:c r="H722" s="30" t="str">
        <x:v>Present</x:v>
      </x:c>
      <x:c r="I722" s="30" t="str">
        <x:v>OK</x:v>
      </x:c>
    </x:row>
    <x:row r="723" ht="72" customHeight="1">
      <x:c r="A723" s="30" t="n">
        <x:v>6</x:v>
      </x:c>
      <x:c r="B723" s="30" t="str">
        <x:v>India</x:v>
      </x:c>
      <x:c r="C723" s="30" t="str">
        <x:v>SSS Defence</x:v>
      </x:c>
      <x:c r="D723" s="30" t="str">
        <x:v>Ammunition</x:v>
      </x:c>
      <x:c r="E723" s="30" t="str">
        <x:v>7.62×51 mm NATO Ball</x:v>
      </x:c>
      <x:c r="F723" s="30" t="n">
        <x:v>1</x:v>
      </x:c>
      <x:c r="G723" s="30" t="str">
        <x:v>Present</x:v>
      </x:c>
      <x:c r="H723" s="30" t="str">
        <x:v>Present</x:v>
      </x:c>
      <x:c r="I723" s="30" t="str">
        <x:v>OK</x:v>
      </x:c>
    </x:row>
    <x:row r="724" ht="72" customHeight="1">
      <x:c r="A724" s="30" t="n">
        <x:v>6</x:v>
      </x:c>
      <x:c r="B724" s="30" t="str">
        <x:v>India</x:v>
      </x:c>
      <x:c r="C724" s="30" t="str">
        <x:v>SSS Defence</x:v>
      </x:c>
      <x:c r="D724" s="30" t="str">
        <x:v>Ammunition</x:v>
      </x:c>
      <x:c r="E724" s="30" t="str">
        <x:v>7.62×51 mm NATO Linked</x:v>
      </x:c>
      <x:c r="F724" s="30" t="n">
        <x:v>1</x:v>
      </x:c>
      <x:c r="G724" s="30" t="str">
        <x:v>Present</x:v>
      </x:c>
      <x:c r="H724" s="30" t="str">
        <x:v>Present</x:v>
      </x:c>
      <x:c r="I724" s="30" t="str">
        <x:v>OK</x:v>
      </x:c>
    </x:row>
    <x:row r="725" ht="72" customHeight="1">
      <x:c r="A725" s="30" t="n">
        <x:v>6</x:v>
      </x:c>
      <x:c r="B725" s="30" t="str">
        <x:v>India</x:v>
      </x:c>
      <x:c r="C725" s="30" t="str">
        <x:v>SSS Defence</x:v>
      </x:c>
      <x:c r="D725" s="30" t="str">
        <x:v>Ammunition</x:v>
      </x:c>
      <x:c r="E725" s="30" t="str">
        <x:v>7.62×51 mm NATO Match</x:v>
      </x:c>
      <x:c r="F725" s="30" t="n">
        <x:v>1</x:v>
      </x:c>
      <x:c r="G725" s="30" t="str">
        <x:v>Present</x:v>
      </x:c>
      <x:c r="H725" s="30" t="str">
        <x:v>Present</x:v>
      </x:c>
      <x:c r="I725" s="30" t="str">
        <x:v>OK</x:v>
      </x:c>
    </x:row>
    <x:row r="726" ht="72" customHeight="1">
      <x:c r="A726" s="30" t="n">
        <x:v>6</x:v>
      </x:c>
      <x:c r="B726" s="30" t="str">
        <x:v>India</x:v>
      </x:c>
      <x:c r="C726" s="30" t="str">
        <x:v>SSS Defence</x:v>
      </x:c>
      <x:c r="D726" s="30" t="str">
        <x:v>Ammunition</x:v>
      </x:c>
      <x:c r="E726" s="30" t="str">
        <x:v>7.62×51 mm NATO Tracer</x:v>
      </x:c>
      <x:c r="F726" s="30" t="n">
        <x:v>1</x:v>
      </x:c>
      <x:c r="G726" s="30" t="str">
        <x:v>Present</x:v>
      </x:c>
      <x:c r="H726" s="30" t="str">
        <x:v>Present</x:v>
      </x:c>
      <x:c r="I726" s="30" t="str">
        <x:v>OK</x:v>
      </x:c>
    </x:row>
    <x:row r="727" ht="72" customHeight="1">
      <x:c r="A727" s="30" t="n">
        <x:v>6</x:v>
      </x:c>
      <x:c r="B727" s="30" t="str">
        <x:v>India</x:v>
      </x:c>
      <x:c r="C727" s="30" t="str">
        <x:v>SSS Defence</x:v>
      </x:c>
      <x:c r="D727" s="30" t="str">
        <x:v>Ammunition</x:v>
      </x:c>
      <x:c r="E727" s="30" t="str">
        <x:v>9×19 mm Parabellum Ball 115 gr</x:v>
      </x:c>
      <x:c r="F727" s="30" t="n">
        <x:v>1</x:v>
      </x:c>
      <x:c r="G727" s="30" t="str">
        <x:v>Present</x:v>
      </x:c>
      <x:c r="H727" s="30" t="str">
        <x:v>Present</x:v>
      </x:c>
      <x:c r="I727" s="30" t="str">
        <x:v>OK</x:v>
      </x:c>
    </x:row>
    <x:row r="728" ht="72" customHeight="1">
      <x:c r="A728" s="30" t="n">
        <x:v>6</x:v>
      </x:c>
      <x:c r="B728" s="30" t="str">
        <x:v>India</x:v>
      </x:c>
      <x:c r="C728" s="30" t="str">
        <x:v>SSS Defence</x:v>
      </x:c>
      <x:c r="D728" s="30" t="str">
        <x:v>Ammunition</x:v>
      </x:c>
      <x:c r="E728" s="30" t="str">
        <x:v>9×19 mm Parabellum Ball 124 gr</x:v>
      </x:c>
      <x:c r="F728" s="30" t="n">
        <x:v>1</x:v>
      </x:c>
      <x:c r="G728" s="30" t="str">
        <x:v>Present</x:v>
      </x:c>
      <x:c r="H728" s="30" t="str">
        <x:v>Present</x:v>
      </x:c>
      <x:c r="I728" s="30" t="str">
        <x:v>OK</x:v>
      </x:c>
    </x:row>
    <x:row r="729" ht="72" customHeight="1">
      <x:c r="A729" s="30" t="n">
        <x:v>6</x:v>
      </x:c>
      <x:c r="B729" s="30" t="str">
        <x:v>India</x:v>
      </x:c>
      <x:c r="C729" s="30" t="str">
        <x:v>SSS Defence</x:v>
      </x:c>
      <x:c r="D729" s="30" t="str">
        <x:v>Ammunition</x:v>
      </x:c>
      <x:c r="E729" s="30" t="str">
        <x:v>9×19 mm Parabellum Subsonic</x:v>
      </x:c>
      <x:c r="F729" s="30" t="n">
        <x:v>1</x:v>
      </x:c>
      <x:c r="G729" s="30" t="str">
        <x:v>Present</x:v>
      </x:c>
      <x:c r="H729" s="30" t="str">
        <x:v>Present</x:v>
      </x:c>
      <x:c r="I729" s="30" t="str">
        <x:v>OK</x:v>
      </x:c>
    </x:row>
    <x:row r="730" ht="72" customHeight="1">
      <x:c r="A730" s="30" t="n">
        <x:v>6</x:v>
      </x:c>
      <x:c r="B730" s="30" t="str">
        <x:v>India</x:v>
      </x:c>
      <x:c r="C730" s="30" t="str">
        <x:v>SSS Defence</x:v>
      </x:c>
      <x:c r="D730" s="30" t="str">
        <x:v>Small Arms</x:v>
      </x:c>
      <x:c r="E730" s="30" t="str">
        <x:v>300 RAPTOR</x:v>
      </x:c>
      <x:c r="F730" s="30" t="n">
        <x:v>4</x:v>
      </x:c>
      <x:c r="G730" s="30" t="str">
        <x:v>Present</x:v>
      </x:c>
      <x:c r="H730" s="30" t="str">
        <x:v>Present</x:v>
      </x:c>
      <x:c r="I730" s="30" t="str">
        <x:v>OK</x:v>
      </x:c>
    </x:row>
    <x:row r="731" ht="72" customHeight="1">
      <x:c r="A731" s="30" t="n">
        <x:v>6</x:v>
      </x:c>
      <x:c r="B731" s="30" t="str">
        <x:v>India</x:v>
      </x:c>
      <x:c r="C731" s="30" t="str">
        <x:v>SSS Defence</x:v>
      </x:c>
      <x:c r="D731" s="30" t="str">
        <x:v>Small Arms</x:v>
      </x:c>
      <x:c r="E731" s="30" t="str">
        <x:v>308 Viper</x:v>
      </x:c>
      <x:c r="F731" s="30" t="n">
        <x:v>4</x:v>
      </x:c>
      <x:c r="G731" s="30" t="str">
        <x:v>Present</x:v>
      </x:c>
      <x:c r="H731" s="30" t="str">
        <x:v>Present</x:v>
      </x:c>
      <x:c r="I731" s="30" t="str">
        <x:v>OK</x:v>
      </x:c>
    </x:row>
    <x:row r="732" ht="72" customHeight="1">
      <x:c r="A732" s="30" t="n">
        <x:v>6</x:v>
      </x:c>
      <x:c r="B732" s="30" t="str">
        <x:v>India</x:v>
      </x:c>
      <x:c r="C732" s="30" t="str">
        <x:v>SSS Defence</x:v>
      </x:c>
      <x:c r="D732" s="30" t="str">
        <x:v>Small Arms</x:v>
      </x:c>
      <x:c r="E732" s="30" t="str">
        <x:v>338 Saber</x:v>
      </x:c>
      <x:c r="F732" s="30" t="n">
        <x:v>5</x:v>
      </x:c>
      <x:c r="G732" s="30" t="str">
        <x:v>Present</x:v>
      </x:c>
      <x:c r="H732" s="30" t="str">
        <x:v>Present</x:v>
      </x:c>
      <x:c r="I732" s="30" t="str">
        <x:v>OK</x:v>
      </x:c>
    </x:row>
    <x:row r="733" ht="72" customHeight="1">
      <x:c r="A733" s="30" t="n">
        <x:v>6</x:v>
      </x:c>
      <x:c r="B733" s="30" t="str">
        <x:v>India</x:v>
      </x:c>
      <x:c r="C733" s="30" t="str">
        <x:v>SSS Defence</x:v>
      </x:c>
      <x:c r="D733" s="30" t="str">
        <x:v>Small Arms</x:v>
      </x:c>
      <x:c r="E733" s="30" t="str">
        <x:v>G72 CSMG</x:v>
      </x:c>
      <x:c r="F733" s="30" t="n">
        <x:v>3</x:v>
      </x:c>
      <x:c r="G733" s="30" t="str">
        <x:v>Present</x:v>
      </x:c>
      <x:c r="H733" s="30" t="str">
        <x:v>Present</x:v>
      </x:c>
      <x:c r="I733" s="30" t="str">
        <x:v>OK</x:v>
      </x:c>
    </x:row>
    <x:row r="734" ht="72" customHeight="1">
      <x:c r="A734" s="30" t="n">
        <x:v>6</x:v>
      </x:c>
      <x:c r="B734" s="30" t="str">
        <x:v>India</x:v>
      </x:c>
      <x:c r="C734" s="30" t="str">
        <x:v>SSS Defence</x:v>
      </x:c>
      <x:c r="D734" s="30" t="str">
        <x:v>Small Arms</x:v>
      </x:c>
      <x:c r="E734" s="30" t="str">
        <x:v>G72 P</x:v>
      </x:c>
      <x:c r="F734" s="30" t="n">
        <x:v>4</x:v>
      </x:c>
      <x:c r="G734" s="30" t="str">
        <x:v>Present</x:v>
      </x:c>
      <x:c r="H734" s="30" t="str">
        <x:v>Present</x:v>
      </x:c>
      <x:c r="I734" s="30" t="str">
        <x:v>OK</x:v>
      </x:c>
    </x:row>
    <x:row r="735" ht="72" customHeight="1">
      <x:c r="A735" s="30" t="n">
        <x:v>6</x:v>
      </x:c>
      <x:c r="B735" s="30" t="str">
        <x:v>India</x:v>
      </x:c>
      <x:c r="C735" s="30" t="str">
        <x:v>SSS Defence</x:v>
      </x:c>
      <x:c r="D735" s="30" t="str">
        <x:v>Small Arms</x:v>
      </x:c>
      <x:c r="E735" s="30" t="str">
        <x:v>G72 SMG</x:v>
      </x:c>
      <x:c r="F735" s="30" t="n">
        <x:v>3</x:v>
      </x:c>
      <x:c r="G735" s="30" t="str">
        <x:v>Present</x:v>
      </x:c>
      <x:c r="H735" s="30" t="str">
        <x:v>Present</x:v>
      </x:c>
      <x:c r="I735" s="30" t="str">
        <x:v>OK</x:v>
      </x:c>
    </x:row>
    <x:row r="736" ht="72" customHeight="1">
      <x:c r="A736" s="30" t="n">
        <x:v>6</x:v>
      </x:c>
      <x:c r="B736" s="30" t="str">
        <x:v>India</x:v>
      </x:c>
      <x:c r="C736" s="30" t="str">
        <x:v>SSS Defence</x:v>
      </x:c>
      <x:c r="D736" s="30" t="str">
        <x:v>Small Arms</x:v>
      </x:c>
      <x:c r="E736" s="30" t="str">
        <x:v>M72</x:v>
      </x:c>
      <x:c r="F736" s="30" t="n">
        <x:v>3</x:v>
      </x:c>
      <x:c r="G736" s="30" t="str">
        <x:v>Present</x:v>
      </x:c>
      <x:c r="H736" s="30" t="str">
        <x:v>Present</x:v>
      </x:c>
      <x:c r="I736" s="30" t="str">
        <x:v>OK</x:v>
      </x:c>
    </x:row>
    <x:row r="737" ht="72" customHeight="1">
      <x:c r="A737" s="30" t="n">
        <x:v>6</x:v>
      </x:c>
      <x:c r="B737" s="30" t="str">
        <x:v>India</x:v>
      </x:c>
      <x:c r="C737" s="30" t="str">
        <x:v>SSS Defence</x:v>
      </x:c>
      <x:c r="D737" s="30" t="str">
        <x:v>Small Arms</x:v>
      </x:c>
      <x:c r="E737" s="30" t="str">
        <x:v>M72 LMG</x:v>
      </x:c>
      <x:c r="F737" s="30" t="n">
        <x:v>1</x:v>
      </x:c>
      <x:c r="G737" s="30" t="str">
        <x:v>Present</x:v>
      </x:c>
      <x:c r="H737" s="30" t="str">
        <x:v>Present</x:v>
      </x:c>
      <x:c r="I737" s="30" t="str">
        <x:v>OK</x:v>
      </x:c>
    </x:row>
    <x:row r="738" ht="72" customHeight="1">
      <x:c r="A738" s="30" t="n">
        <x:v>6</x:v>
      </x:c>
      <x:c r="B738" s="30" t="str">
        <x:v>India</x:v>
      </x:c>
      <x:c r="C738" s="30" t="str">
        <x:v>SSS Defence</x:v>
      </x:c>
      <x:c r="D738" s="30" t="str">
        <x:v>Small Arms</x:v>
      </x:c>
      <x:c r="E738" s="30" t="str">
        <x:v>M72-I</x:v>
      </x:c>
      <x:c r="F738" s="30" t="n">
        <x:v>3</x:v>
      </x:c>
      <x:c r="G738" s="30" t="str">
        <x:v>Present</x:v>
      </x:c>
      <x:c r="H738" s="30" t="str">
        <x:v>Present</x:v>
      </x:c>
      <x:c r="I738" s="30" t="str">
        <x:v>OK</x:v>
      </x:c>
    </x:row>
    <x:row r="739" ht="72" customHeight="1">
      <x:c r="A739" s="30" t="n">
        <x:v>6</x:v>
      </x:c>
      <x:c r="B739" s="30" t="str">
        <x:v>India</x:v>
      </x:c>
      <x:c r="C739" s="30" t="str">
        <x:v>SSS Defence</x:v>
      </x:c>
      <x:c r="D739" s="30" t="str">
        <x:v>Small Arms</x:v>
      </x:c>
      <x:c r="E739" s="30" t="str">
        <x:v>P72 AR</x:v>
      </x:c>
      <x:c r="F739" s="30" t="n">
        <x:v>3</x:v>
      </x:c>
      <x:c r="G739" s="30" t="str">
        <x:v>Present</x:v>
      </x:c>
      <x:c r="H739" s="30" t="str">
        <x:v>Present</x:v>
      </x:c>
      <x:c r="I739" s="30" t="str">
        <x:v>OK</x:v>
      </x:c>
    </x:row>
    <x:row r="740" ht="72" customHeight="1">
      <x:c r="A740" s="30" t="n">
        <x:v>6</x:v>
      </x:c>
      <x:c r="B740" s="30" t="str">
        <x:v>India</x:v>
      </x:c>
      <x:c r="C740" s="30" t="str">
        <x:v>SSS Defence</x:v>
      </x:c>
      <x:c r="D740" s="30" t="str">
        <x:v>Small Arms</x:v>
      </x:c>
      <x:c r="E740" s="30" t="str">
        <x:v>T12</x:v>
      </x:c>
      <x:c r="F740" s="30" t="n">
        <x:v>4</x:v>
      </x:c>
      <x:c r="G740" s="30" t="str">
        <x:v>Present</x:v>
      </x:c>
      <x:c r="H740" s="30" t="str">
        <x:v>Present</x:v>
      </x:c>
      <x:c r="I740" s="30" t="str">
        <x:v>Limited/configuration-dependent public specifications</x:v>
      </x:c>
    </x:row>
    <x:row r="741" ht="72" customHeight="1">
      <x:c r="A741" s="30" t="n">
        <x:v>6</x:v>
      </x:c>
      <x:c r="B741" s="30" t="str">
        <x:v>India</x:v>
      </x:c>
      <x:c r="C741" s="30" t="str">
        <x:v>SSS Defence</x:v>
      </x:c>
      <x:c r="D741" s="30" t="str">
        <x:v>Small Arms</x:v>
      </x:c>
      <x:c r="E741" s="30" t="str">
        <x:v>T72 AR</x:v>
      </x:c>
      <x:c r="F741" s="30" t="n">
        <x:v>3</x:v>
      </x:c>
      <x:c r="G741" s="30" t="str">
        <x:v>Present</x:v>
      </x:c>
      <x:c r="H741" s="30" t="str">
        <x:v>Present</x:v>
      </x:c>
      <x:c r="I741" s="30" t="str">
        <x:v>OK</x:v>
      </x:c>
    </x:row>
    <x:row r="742" ht="72" customHeight="1">
      <x:c r="A742" s="30" t="n">
        <x:v>6</x:v>
      </x:c>
      <x:c r="B742" s="30" t="str">
        <x:v>India</x:v>
      </x:c>
      <x:c r="C742" s="30" t="str">
        <x:v>SSS Defence</x:v>
      </x:c>
      <x:c r="D742" s="30" t="str">
        <x:v>Small Arms</x:v>
      </x:c>
      <x:c r="E742" s="30" t="str">
        <x:v>T72 DMR</x:v>
      </x:c>
      <x:c r="F742" s="30" t="n">
        <x:v>3</x:v>
      </x:c>
      <x:c r="G742" s="30" t="str">
        <x:v>Present</x:v>
      </x:c>
      <x:c r="H742" s="30" t="str">
        <x:v>Present</x:v>
      </x:c>
      <x:c r="I742" s="30" t="str">
        <x:v>OK</x:v>
      </x:c>
    </x:row>
    <x:row r="743" ht="72" customHeight="1">
      <x:c r="A743" s="30" t="n">
        <x:v>6</x:v>
      </x:c>
      <x:c r="B743" s="30" t="str">
        <x:v>India</x:v>
      </x:c>
      <x:c r="C743" s="30" t="str">
        <x:v>SSS Defence</x:v>
      </x:c>
      <x:c r="D743" s="30" t="str">
        <x:v>Small Arms</x:v>
      </x:c>
      <x:c r="E743" s="30" t="str">
        <x:v>TYTO / .300 Blackout Sniper</x:v>
      </x:c>
      <x:c r="F743" s="30" t="n">
        <x:v>7</x:v>
      </x:c>
      <x:c r="G743" s="30" t="str">
        <x:v>Present</x:v>
      </x:c>
      <x:c r="H743" s="30" t="str">
        <x:v>Present</x:v>
      </x:c>
      <x:c r="I743" s="30" t="str">
        <x:v>OK</x:v>
      </x:c>
    </x:row>
    <x:row r="744" ht="72" customHeight="1">
      <x:c r="A744" s="30" t="n">
        <x:v>6</x:v>
      </x:c>
      <x:c r="B744" s="30" t="str">
        <x:v>India</x:v>
      </x:c>
      <x:c r="C744" s="30" t="str">
        <x:v>SSS Defence</x:v>
      </x:c>
      <x:c r="D744" s="30" t="str">
        <x:v>UAVs/Drones</x:v>
      </x:c>
      <x:c r="E744" s="30" t="str">
        <x:v>Varaha</x:v>
      </x:c>
      <x:c r="F744" s="30" t="n">
        <x:v>3</x:v>
      </x:c>
      <x:c r="G744" s="30" t="str">
        <x:v>Present</x:v>
      </x:c>
      <x:c r="H744" s="30" t="str">
        <x:v>Present</x:v>
      </x:c>
      <x:c r="I744" s="30" t="str">
        <x:v>OK</x:v>
      </x:c>
    </x:row>
    <x:row r="745" ht="72" customHeight="1">
      <x:c r="A745" s="30" t="n">
        <x:v>6</x:v>
      </x:c>
      <x:c r="B745" s="30" t="str">
        <x:v>Israel</x:v>
      </x:c>
      <x:c r="C745" s="30" t="str">
        <x:v>Rafael Advanced Defense Systems</x:v>
      </x:c>
      <x:c r="D745" s="30" t="str">
        <x:v>Protected Vehicles</x:v>
      </x:c>
      <x:c r="E745" s="30" t="str">
        <x:v>REA Reactive Defense System</x:v>
      </x:c>
      <x:c r="F745" s="30" t="n">
        <x:v>2</x:v>
      </x:c>
      <x:c r="G745" s="30" t="str">
        <x:v>Present</x:v>
      </x:c>
      <x:c r="H745" s="30" t="str">
        <x:v>Present</x:v>
      </x:c>
      <x:c r="I745" s="30" t="str">
        <x:v>Family/system/component-level entry — review if exact-model-only view is needed</x:v>
      </x:c>
    </x:row>
    <x:row r="746" ht="72" customHeight="1">
      <x:c r="A746" s="30" t="n">
        <x:v>6</x:v>
      </x:c>
      <x:c r="B746" s="30" t="str">
        <x:v>Israel</x:v>
      </x:c>
      <x:c r="C746" s="30" t="str">
        <x:v>Rafael Advanced Defense Systems</x:v>
      </x:c>
      <x:c r="D746" s="30" t="str">
        <x:v>Protected Vehicles</x:v>
      </x:c>
      <x:c r="E746" s="30" t="str">
        <x:v>SAMSON Remote Weapon Station Family</x:v>
      </x:c>
      <x:c r="F746" s="30" t="n">
        <x:v>6</x:v>
      </x:c>
      <x:c r="G746" s="30" t="str">
        <x:v>Present</x:v>
      </x:c>
      <x:c r="H746" s="30" t="str">
        <x:v>Present</x:v>
      </x:c>
      <x:c r="I746" s="30" t="str">
        <x:v>Family/system/component-level entry — review if exact-model-only view is needed</x:v>
      </x:c>
    </x:row>
    <x:row r="747" ht="72" customHeight="1">
      <x:c r="A747" s="30" t="n">
        <x:v>6</x:v>
      </x:c>
      <x:c r="B747" s="30" t="str">
        <x:v>Israel</x:v>
      </x:c>
      <x:c r="C747" s="30" t="str">
        <x:v>Rafael Advanced Defense Systems</x:v>
      </x:c>
      <x:c r="D747" s="30" t="str">
        <x:v>Protected Vehicles</x:v>
      </x:c>
      <x:c r="E747" s="30" t="str">
        <x:v>TopLite EOS Family</x:v>
      </x:c>
      <x:c r="F747" s="30" t="n">
        <x:v>6</x:v>
      </x:c>
      <x:c r="G747" s="30" t="str">
        <x:v>Present</x:v>
      </x:c>
      <x:c r="H747" s="30" t="str">
        <x:v>Present</x:v>
      </x:c>
      <x:c r="I747" s="30" t="str">
        <x:v>Family/system/component-level entry — review if exact-model-only view is needed</x:v>
      </x:c>
    </x:row>
    <x:row r="748" ht="72" customHeight="1">
      <x:c r="A748" s="30" t="n">
        <x:v>6</x:v>
      </x:c>
      <x:c r="B748" s="30" t="str">
        <x:v>Israel</x:v>
      </x:c>
      <x:c r="C748" s="30" t="str">
        <x:v>Rafael Advanced Defense Systems</x:v>
      </x:c>
      <x:c r="D748" s="30" t="str">
        <x:v>Marine/Naval</x:v>
      </x:c>
      <x:c r="E748" s="30" t="str">
        <x:v>Naval SPIKE NLOS</x:v>
      </x:c>
      <x:c r="F748" s="30" t="n">
        <x:v>2</x:v>
      </x:c>
      <x:c r="G748" s="30" t="str">
        <x:v>Present</x:v>
      </x:c>
      <x:c r="H748" s="30" t="str">
        <x:v>Present</x:v>
      </x:c>
      <x:c r="I748" s="30" t="str">
        <x:v>OK</x:v>
      </x:c>
    </x:row>
    <x:row r="749" ht="72" customHeight="1">
      <x:c r="A749" s="30" t="n">
        <x:v>6</x:v>
      </x:c>
      <x:c r="B749" s="30" t="str">
        <x:v>Israel</x:v>
      </x:c>
      <x:c r="C749" s="30" t="str">
        <x:v>Rafael Advanced Defense Systems</x:v>
      </x:c>
      <x:c r="D749" s="30" t="str">
        <x:v>Marine/Naval</x:v>
      </x:c>
      <x:c r="E749" s="30" t="str">
        <x:v>PROTECTOR Unmanned Surface Vehicle</x:v>
      </x:c>
      <x:c r="F749" s="30" t="n">
        <x:v>1</x:v>
      </x:c>
      <x:c r="G749" s="30" t="str">
        <x:v>Present</x:v>
      </x:c>
      <x:c r="H749" s="30" t="str">
        <x:v>Present</x:v>
      </x:c>
      <x:c r="I749" s="30" t="str">
        <x:v>OK</x:v>
      </x:c>
    </x:row>
    <x:row r="750" ht="72" customHeight="1">
      <x:c r="A750" s="30" t="n">
        <x:v>6</x:v>
      </x:c>
      <x:c r="B750" s="30" t="str">
        <x:v>Israel</x:v>
      </x:c>
      <x:c r="C750" s="30" t="str">
        <x:v>Rafael Advanced Defense Systems</x:v>
      </x:c>
      <x:c r="D750" s="30" t="str">
        <x:v>Marine/Naval</x:v>
      </x:c>
      <x:c r="E750" s="30" t="str">
        <x:v>TYPHOON Mk 30-c</x:v>
      </x:c>
      <x:c r="F750" s="30" t="n">
        <x:v>1</x:v>
      </x:c>
      <x:c r="G750" s="30" t="str">
        <x:v>Present</x:v>
      </x:c>
      <x:c r="H750" s="30" t="str">
        <x:v>Present</x:v>
      </x:c>
      <x:c r="I750" s="30" t="str">
        <x:v>OK</x:v>
      </x:c>
    </x:row>
    <x:row r="751" ht="72" customHeight="1">
      <x:c r="A751" s="30" t="n">
        <x:v>6</x:v>
      </x:c>
      <x:c r="B751" s="30" t="str">
        <x:v>Israel</x:v>
      </x:c>
      <x:c r="C751" s="30" t="str">
        <x:v>Rafael Advanced Defense Systems</x:v>
      </x:c>
      <x:c r="D751" s="30" t="str">
        <x:v>Marine/Naval</x:v>
      </x:c>
      <x:c r="E751" s="30" t="str">
        <x:v>TYPHOON Remote Weapon Station</x:v>
      </x:c>
      <x:c r="F751" s="30" t="n">
        <x:v>2</x:v>
      </x:c>
      <x:c r="G751" s="30" t="str">
        <x:v>Present</x:v>
      </x:c>
      <x:c r="H751" s="30" t="str">
        <x:v>Present</x:v>
      </x:c>
      <x:c r="I751" s="30" t="str">
        <x:v>OK</x:v>
      </x:c>
    </x:row>
    <x:row r="752" ht="72" customHeight="1">
      <x:c r="A752" s="30" t="n">
        <x:v>6</x:v>
      </x:c>
      <x:c r="B752" s="30" t="str">
        <x:v>Israel</x:v>
      </x:c>
      <x:c r="C752" s="30" t="str">
        <x:v>Rafael Advanced Defense Systems</x:v>
      </x:c>
      <x:c r="D752" s="30" t="str">
        <x:v>Missiles</x:v>
      </x:c>
      <x:c r="E752" s="30" t="str">
        <x:v>C-DOME Naval Air Defense</x:v>
      </x:c>
      <x:c r="F752" s="30" t="n">
        <x:v>7</x:v>
      </x:c>
      <x:c r="G752" s="30" t="str">
        <x:v>Present</x:v>
      </x:c>
      <x:c r="H752" s="30" t="str">
        <x:v>Present</x:v>
      </x:c>
      <x:c r="I752" s="30" t="str">
        <x:v>OK</x:v>
      </x:c>
    </x:row>
    <x:row r="753" ht="72" customHeight="1">
      <x:c r="A753" s="30" t="n">
        <x:v>6</x:v>
      </x:c>
      <x:c r="B753" s="30" t="str">
        <x:v>Israel</x:v>
      </x:c>
      <x:c r="C753" s="30" t="str">
        <x:v>Rafael Advanced Defense Systems</x:v>
      </x:c>
      <x:c r="D753" s="30" t="str">
        <x:v>Missiles</x:v>
      </x:c>
      <x:c r="E753" s="30" t="str">
        <x:v>David's Sling</x:v>
      </x:c>
      <x:c r="F753" s="30" t="n">
        <x:v>2</x:v>
      </x:c>
      <x:c r="G753" s="30" t="str">
        <x:v>Present</x:v>
      </x:c>
      <x:c r="H753" s="30" t="str">
        <x:v>Present</x:v>
      </x:c>
      <x:c r="I753" s="30" t="str">
        <x:v>OK</x:v>
      </x:c>
    </x:row>
    <x:row r="754" ht="72" customHeight="1">
      <x:c r="A754" s="30" t="n">
        <x:v>6</x:v>
      </x:c>
      <x:c r="B754" s="30" t="str">
        <x:v>Israel</x:v>
      </x:c>
      <x:c r="C754" s="30" t="str">
        <x:v>Rafael Advanced Defense Systems</x:v>
      </x:c>
      <x:c r="D754" s="30" t="str">
        <x:v>Missiles</x:v>
      </x:c>
      <x:c r="E754" s="30" t="str">
        <x:v>I-DERBY</x:v>
      </x:c>
      <x:c r="F754" s="30" t="n">
        <x:v>5</x:v>
      </x:c>
      <x:c r="G754" s="30" t="str">
        <x:v>Present</x:v>
      </x:c>
      <x:c r="H754" s="30" t="str">
        <x:v>Present</x:v>
      </x:c>
      <x:c r="I754" s="30" t="str">
        <x:v>OK</x:v>
      </x:c>
    </x:row>
    <x:row r="755" ht="72" customHeight="1">
      <x:c r="A755" s="30" t="n">
        <x:v>6</x:v>
      </x:c>
      <x:c r="B755" s="30" t="str">
        <x:v>Israel</x:v>
      </x:c>
      <x:c r="C755" s="30" t="str">
        <x:v>Rafael Advanced Defense Systems</x:v>
      </x:c>
      <x:c r="D755" s="30" t="str">
        <x:v>Missiles</x:v>
      </x:c>
      <x:c r="E755" s="30" t="str">
        <x:v>I-DERBY ER</x:v>
      </x:c>
      <x:c r="F755" s="30" t="n">
        <x:v>5</x:v>
      </x:c>
      <x:c r="G755" s="30" t="str">
        <x:v>Present</x:v>
      </x:c>
      <x:c r="H755" s="30" t="str">
        <x:v>Present</x:v>
      </x:c>
      <x:c r="I755" s="30" t="str">
        <x:v>OK</x:v>
      </x:c>
    </x:row>
    <x:row r="756" ht="72" customHeight="1">
      <x:c r="A756" s="30" t="n">
        <x:v>6</x:v>
      </x:c>
      <x:c r="B756" s="30" t="str">
        <x:v>Israel</x:v>
      </x:c>
      <x:c r="C756" s="30" t="str">
        <x:v>Rafael Advanced Defense Systems</x:v>
      </x:c>
      <x:c r="D756" s="30" t="str">
        <x:v>Missiles</x:v>
      </x:c>
      <x:c r="E756" s="30" t="str">
        <x:v>IRON BEAM</x:v>
      </x:c>
      <x:c r="F756" s="30" t="n">
        <x:v>2</x:v>
      </x:c>
      <x:c r="G756" s="30" t="str">
        <x:v>Present</x:v>
      </x:c>
      <x:c r="H756" s="30" t="str">
        <x:v>Present</x:v>
      </x:c>
      <x:c r="I756" s="30" t="str">
        <x:v>OK</x:v>
      </x:c>
    </x:row>
    <x:row r="757" ht="72" customHeight="1">
      <x:c r="A757" s="30" t="n">
        <x:v>6</x:v>
      </x:c>
      <x:c r="B757" s="30" t="str">
        <x:v>Israel</x:v>
      </x:c>
      <x:c r="C757" s="30" t="str">
        <x:v>Rafael Advanced Defense Systems</x:v>
      </x:c>
      <x:c r="D757" s="30" t="str">
        <x:v>Missiles</x:v>
      </x:c>
      <x:c r="E757" s="30" t="str">
        <x:v>Iron Dome</x:v>
      </x:c>
      <x:c r="F757" s="30" t="n">
        <x:v>3</x:v>
      </x:c>
      <x:c r="G757" s="30" t="str">
        <x:v>Present</x:v>
      </x:c>
      <x:c r="H757" s="30" t="str">
        <x:v>Present</x:v>
      </x:c>
      <x:c r="I757" s="30" t="str">
        <x:v>OK</x:v>
      </x:c>
    </x:row>
    <x:row r="758" ht="72" customHeight="1">
      <x:c r="A758" s="30" t="n">
        <x:v>6</x:v>
      </x:c>
      <x:c r="B758" s="30" t="str">
        <x:v>Israel</x:v>
      </x:c>
      <x:c r="C758" s="30" t="str">
        <x:v>Rafael Advanced Defense Systems</x:v>
      </x:c>
      <x:c r="D758" s="30" t="str">
        <x:v>Missiles</x:v>
      </x:c>
      <x:c r="E758" s="30" t="str">
        <x:v>L-SPIKE</x:v>
      </x:c>
      <x:c r="F758" s="30" t="n">
        <x:v>1</x:v>
      </x:c>
      <x:c r="G758" s="30" t="str">
        <x:v>Present</x:v>
      </x:c>
      <x:c r="H758" s="30" t="str">
        <x:v>Present</x:v>
      </x:c>
      <x:c r="I758" s="30" t="str">
        <x:v>OK</x:v>
      </x:c>
    </x:row>
    <x:row r="759" ht="72" customHeight="1">
      <x:c r="A759" s="30" t="n">
        <x:v>6</x:v>
      </x:c>
      <x:c r="B759" s="30" t="str">
        <x:v>Israel</x:v>
      </x:c>
      <x:c r="C759" s="30" t="str">
        <x:v>Rafael Advanced Defense Systems</x:v>
      </x:c>
      <x:c r="D759" s="30" t="str">
        <x:v>Missiles</x:v>
      </x:c>
      <x:c r="E759" s="30" t="str">
        <x:v>Python-5</x:v>
      </x:c>
      <x:c r="F759" s="30" t="n">
        <x:v>6</x:v>
      </x:c>
      <x:c r="G759" s="30" t="str">
        <x:v>Present</x:v>
      </x:c>
      <x:c r="H759" s="30" t="str">
        <x:v>Present</x:v>
      </x:c>
      <x:c r="I759" s="30" t="str">
        <x:v>OK</x:v>
      </x:c>
    </x:row>
    <x:row r="760" ht="72" customHeight="1">
      <x:c r="A760" s="30" t="n">
        <x:v>6</x:v>
      </x:c>
      <x:c r="B760" s="30" t="str">
        <x:v>Israel</x:v>
      </x:c>
      <x:c r="C760" s="30" t="str">
        <x:v>Rafael Advanced Defense Systems</x:v>
      </x:c>
      <x:c r="D760" s="30" t="str">
        <x:v>Missiles</x:v>
      </x:c>
      <x:c r="E760" s="30" t="str">
        <x:v>Sea Breaker</x:v>
      </x:c>
      <x:c r="F760" s="30" t="n">
        <x:v>5</x:v>
      </x:c>
      <x:c r="G760" s="30" t="str">
        <x:v>Present</x:v>
      </x:c>
      <x:c r="H760" s="30" t="str">
        <x:v>Present</x:v>
      </x:c>
      <x:c r="I760" s="30" t="str">
        <x:v>OK</x:v>
      </x:c>
    </x:row>
    <x:row r="761" ht="72" customHeight="1">
      <x:c r="A761" s="30" t="n">
        <x:v>6</x:v>
      </x:c>
      <x:c r="B761" s="30" t="str">
        <x:v>Israel</x:v>
      </x:c>
      <x:c r="C761" s="30" t="str">
        <x:v>Rafael Advanced Defense Systems</x:v>
      </x:c>
      <x:c r="D761" s="30" t="str">
        <x:v>Missiles</x:v>
      </x:c>
      <x:c r="E761" s="30" t="str">
        <x:v>SkyCeptor</x:v>
      </x:c>
      <x:c r="F761" s="30" t="n">
        <x:v>4</x:v>
      </x:c>
      <x:c r="G761" s="30" t="str">
        <x:v>Present</x:v>
      </x:c>
      <x:c r="H761" s="30" t="str">
        <x:v>Present</x:v>
      </x:c>
      <x:c r="I761" s="30" t="str">
        <x:v>OK</x:v>
      </x:c>
    </x:row>
    <x:row r="762" ht="72" customHeight="1">
      <x:c r="A762" s="30" t="n">
        <x:v>6</x:v>
      </x:c>
      <x:c r="B762" s="30" t="str">
        <x:v>Israel</x:v>
      </x:c>
      <x:c r="C762" s="30" t="str">
        <x:v>Rafael Advanced Defense Systems</x:v>
      </x:c>
      <x:c r="D762" s="30" t="str">
        <x:v>Missiles</x:v>
      </x:c>
      <x:c r="E762" s="30" t="str">
        <x:v>SPIKE ER2</x:v>
      </x:c>
      <x:c r="F762" s="30" t="n">
        <x:v>6</x:v>
      </x:c>
      <x:c r="G762" s="30" t="str">
        <x:v>Present</x:v>
      </x:c>
      <x:c r="H762" s="30" t="str">
        <x:v>Present</x:v>
      </x:c>
      <x:c r="I762" s="30" t="str">
        <x:v>OK</x:v>
      </x:c>
    </x:row>
    <x:row r="763" ht="72" customHeight="1">
      <x:c r="A763" s="30" t="n">
        <x:v>6</x:v>
      </x:c>
      <x:c r="B763" s="30" t="str">
        <x:v>Israel</x:v>
      </x:c>
      <x:c r="C763" s="30" t="str">
        <x:v>Rafael Advanced Defense Systems</x:v>
      </x:c>
      <x:c r="D763" s="30" t="str">
        <x:v>Missiles</x:v>
      </x:c>
      <x:c r="E763" s="30" t="str">
        <x:v>SPIKE FireFly</x:v>
      </x:c>
      <x:c r="F763" s="30" t="n">
        <x:v>6</x:v>
      </x:c>
      <x:c r="G763" s="30" t="str">
        <x:v>Present</x:v>
      </x:c>
      <x:c r="H763" s="30" t="str">
        <x:v>Present</x:v>
      </x:c>
      <x:c r="I763" s="30" t="str">
        <x:v>OK</x:v>
      </x:c>
    </x:row>
    <x:row r="764" ht="72" customHeight="1">
      <x:c r="A764" s="30" t="n">
        <x:v>6</x:v>
      </x:c>
      <x:c r="B764" s="30" t="str">
        <x:v>Israel</x:v>
      </x:c>
      <x:c r="C764" s="30" t="str">
        <x:v>Rafael Advanced Defense Systems</x:v>
      </x:c>
      <x:c r="D764" s="30" t="str">
        <x:v>Missiles</x:v>
      </x:c>
      <x:c r="E764" s="30" t="str">
        <x:v>SPIKE LR2</x:v>
      </x:c>
      <x:c r="F764" s="30" t="n">
        <x:v>6</x:v>
      </x:c>
      <x:c r="G764" s="30" t="str">
        <x:v>Present</x:v>
      </x:c>
      <x:c r="H764" s="30" t="str">
        <x:v>Present</x:v>
      </x:c>
      <x:c r="I764" s="30" t="str">
        <x:v>OK</x:v>
      </x:c>
    </x:row>
    <x:row r="765" ht="72" customHeight="1">
      <x:c r="A765" s="30" t="n">
        <x:v>6</x:v>
      </x:c>
      <x:c r="B765" s="30" t="str">
        <x:v>Israel</x:v>
      </x:c>
      <x:c r="C765" s="30" t="str">
        <x:v>Rafael Advanced Defense Systems</x:v>
      </x:c>
      <x:c r="D765" s="30" t="str">
        <x:v>Missiles</x:v>
      </x:c>
      <x:c r="E765" s="30" t="str">
        <x:v>SPIKE NLOS</x:v>
      </x:c>
      <x:c r="F765" s="30" t="n">
        <x:v>6</x:v>
      </x:c>
      <x:c r="G765" s="30" t="str">
        <x:v>Present</x:v>
      </x:c>
      <x:c r="H765" s="30" t="str">
        <x:v>Present</x:v>
      </x:c>
      <x:c r="I765" s="30" t="str">
        <x:v>OK</x:v>
      </x:c>
    </x:row>
    <x:row r="766" ht="72" customHeight="1">
      <x:c r="A766" s="30" t="n">
        <x:v>6</x:v>
      </x:c>
      <x:c r="B766" s="30" t="str">
        <x:v>Israel</x:v>
      </x:c>
      <x:c r="C766" s="30" t="str">
        <x:v>Rafael Advanced Defense Systems</x:v>
      </x:c>
      <x:c r="D766" s="30" t="str">
        <x:v>Missiles</x:v>
      </x:c>
      <x:c r="E766" s="30" t="str">
        <x:v>SPIKE SR</x:v>
      </x:c>
      <x:c r="F766" s="30" t="n">
        <x:v>5</x:v>
      </x:c>
      <x:c r="G766" s="30" t="str">
        <x:v>Present</x:v>
      </x:c>
      <x:c r="H766" s="30" t="str">
        <x:v>Present</x:v>
      </x:c>
      <x:c r="I766" s="30" t="str">
        <x:v>OK</x:v>
      </x:c>
    </x:row>
    <x:row r="767" ht="72" customHeight="1">
      <x:c r="A767" s="30" t="n">
        <x:v>6</x:v>
      </x:c>
      <x:c r="B767" s="30" t="str">
        <x:v>Israel</x:v>
      </x:c>
      <x:c r="C767" s="30" t="str">
        <x:v>Rafael Advanced Defense Systems</x:v>
      </x:c>
      <x:c r="D767" s="30" t="str">
        <x:v>Missiles</x:v>
      </x:c>
      <x:c r="E767" s="30" t="str">
        <x:v>SPYDER All-in-One</x:v>
      </x:c>
      <x:c r="F767" s="30" t="n">
        <x:v>1</x:v>
      </x:c>
      <x:c r="G767" s="30" t="str">
        <x:v>Present</x:v>
      </x:c>
      <x:c r="H767" s="30" t="str">
        <x:v>Present</x:v>
      </x:c>
      <x:c r="I767" s="30" t="str">
        <x:v>OK</x:v>
      </x:c>
    </x:row>
    <x:row r="768" ht="72" customHeight="1">
      <x:c r="A768" s="30" t="n">
        <x:v>6</x:v>
      </x:c>
      <x:c r="B768" s="30" t="str">
        <x:v>Israel</x:v>
      </x:c>
      <x:c r="C768" s="30" t="str">
        <x:v>Rafael Advanced Defense Systems</x:v>
      </x:c>
      <x:c r="D768" s="30" t="str">
        <x:v>Missiles</x:v>
      </x:c>
      <x:c r="E768" s="30" t="str">
        <x:v>SPYDER SR / ER / MR / LR Family</x:v>
      </x:c>
      <x:c r="F768" s="30" t="n">
        <x:v>2</x:v>
      </x:c>
      <x:c r="G768" s="30" t="str">
        <x:v>Present</x:v>
      </x:c>
      <x:c r="H768" s="30" t="str">
        <x:v>Present</x:v>
      </x:c>
      <x:c r="I768" s="30" t="str">
        <x:v>Family/system/component-level entry — review if exact-model-only view is needed</x:v>
      </x:c>
    </x:row>
    <x:row r="769" ht="72" customHeight="1">
      <x:c r="A769" s="30" t="n">
        <x:v>6</x:v>
      </x:c>
      <x:c r="B769" s="30" t="str">
        <x:v>Israel</x:v>
      </x:c>
      <x:c r="C769" s="30" t="str">
        <x:v>Rafael Advanced Defense Systems</x:v>
      </x:c>
      <x:c r="D769" s="30" t="str">
        <x:v>Missiles</x:v>
      </x:c>
      <x:c r="E769" s="30" t="str">
        <x:v>Stunner</x:v>
      </x:c>
      <x:c r="F769" s="30" t="n">
        <x:v>4</x:v>
      </x:c>
      <x:c r="G769" s="30" t="str">
        <x:v>Present</x:v>
      </x:c>
      <x:c r="H769" s="30" t="str">
        <x:v>Present</x:v>
      </x:c>
      <x:c r="I769" s="30" t="str">
        <x:v>OK</x:v>
      </x:c>
    </x:row>
    <x:row r="770" ht="72" customHeight="1">
      <x:c r="A770" s="30" t="n">
        <x:v>7</x:v>
      </x:c>
      <x:c r="B770" s="30" t="str">
        <x:v>Norway</x:v>
      </x:c>
      <x:c r="C770" s="30" t="str">
        <x:v>KONGSBERG</x:v>
      </x:c>
      <x:c r="D770" s="30" t="str">
        <x:v>Protected Vehicles</x:v>
      </x:c>
      <x:c r="E770" s="30" t="str">
        <x:v>CROWS</x:v>
      </x:c>
      <x:c r="F770" s="30" t="n">
        <x:v>7</x:v>
      </x:c>
      <x:c r="G770" s="30" t="str">
        <x:v>Present</x:v>
      </x:c>
      <x:c r="H770" s="30" t="str">
        <x:v>Present</x:v>
      </x:c>
      <x:c r="I770" s="30" t="str">
        <x:v>OK</x:v>
      </x:c>
    </x:row>
    <x:row r="771" ht="72" customHeight="1">
      <x:c r="A771" s="30" t="n">
        <x:v>7</x:v>
      </x:c>
      <x:c r="B771" s="30" t="str">
        <x:v>Norway</x:v>
      </x:c>
      <x:c r="C771" s="30" t="str">
        <x:v>KONGSBERG</x:v>
      </x:c>
      <x:c r="D771" s="30" t="str">
        <x:v>Marine/Naval</x:v>
      </x:c>
      <x:c r="E771" s="30" t="str">
        <x:v>MSI-90U / Submarine Combat System</x:v>
      </x:c>
      <x:c r="F771" s="30" t="n">
        <x:v>4</x:v>
      </x:c>
      <x:c r="G771" s="30" t="str">
        <x:v>Present</x:v>
      </x:c>
      <x:c r="H771" s="30" t="str">
        <x:v>Present</x:v>
      </x:c>
      <x:c r="I771" s="30" t="str">
        <x:v>Family/system/component-level entry — review if exact-model-only view is needed</x:v>
      </x:c>
    </x:row>
    <x:row r="772" ht="72" customHeight="1">
      <x:c r="A772" s="30" t="n">
        <x:v>7</x:v>
      </x:c>
      <x:c r="B772" s="30" t="str">
        <x:v>Norway</x:v>
      </x:c>
      <x:c r="C772" s="30" t="str">
        <x:v>KONGSBERG</x:v>
      </x:c>
      <x:c r="D772" s="30" t="str">
        <x:v>Marine/Naval</x:v>
      </x:c>
      <x:c r="E772" s="30" t="str">
        <x:v>Naval Sonars</x:v>
      </x:c>
      <x:c r="F772" s="30" t="n">
        <x:v>4</x:v>
      </x:c>
      <x:c r="G772" s="30" t="str">
        <x:v>Present</x:v>
      </x:c>
      <x:c r="H772" s="30" t="str">
        <x:v>Present</x:v>
      </x:c>
      <x:c r="I772" s="30" t="str">
        <x:v>OK</x:v>
      </x:c>
    </x:row>
    <x:row r="773" ht="72" customHeight="1">
      <x:c r="A773" s="30" t="n">
        <x:v>7</x:v>
      </x:c>
      <x:c r="B773" s="30" t="str">
        <x:v>Norway</x:v>
      </x:c>
      <x:c r="C773" s="30" t="str">
        <x:v>KONGSBERG</x:v>
      </x:c>
      <x:c r="D773" s="30" t="str">
        <x:v>Marine/Naval</x:v>
      </x:c>
      <x:c r="E773" s="30" t="str">
        <x:v>PHAROX Modular Multisensor System</x:v>
      </x:c>
      <x:c r="F773" s="30" t="n">
        <x:v>4</x:v>
      </x:c>
      <x:c r="G773" s="30" t="str">
        <x:v>Present</x:v>
      </x:c>
      <x:c r="H773" s="30" t="str">
        <x:v>Present</x:v>
      </x:c>
      <x:c r="I773" s="30" t="str">
        <x:v>Family/system/component-level entry — review if exact-model-only view is needed</x:v>
      </x:c>
    </x:row>
    <x:row r="774" ht="72" customHeight="1">
      <x:c r="A774" s="30" t="n">
        <x:v>7</x:v>
      </x:c>
      <x:c r="B774" s="30" t="str">
        <x:v>Norway</x:v>
      </x:c>
      <x:c r="C774" s="30" t="str">
        <x:v>KONGSBERG</x:v>
      </x:c>
      <x:c r="D774" s="30" t="str">
        <x:v>Marine/Naval</x:v>
      </x:c>
      <x:c r="E774" s="30" t="str">
        <x:v>Sea PROTECTOR RS4</x:v>
      </x:c>
      <x:c r="F774" s="30" t="n">
        <x:v>1</x:v>
      </x:c>
      <x:c r="G774" s="30" t="str">
        <x:v>Present</x:v>
      </x:c>
      <x:c r="H774" s="30" t="str">
        <x:v>Present</x:v>
      </x:c>
      <x:c r="I774" s="30" t="str">
        <x:v>OK</x:v>
      </x:c>
    </x:row>
    <x:row r="775" ht="72" customHeight="1">
      <x:c r="A775" s="30" t="n">
        <x:v>7</x:v>
      </x:c>
      <x:c r="B775" s="30" t="str">
        <x:v>Norway</x:v>
      </x:c>
      <x:c r="C775" s="30" t="str">
        <x:v>KONGSBERG</x:v>
      </x:c>
      <x:c r="D775" s="30" t="str">
        <x:v>Marine/Naval</x:v>
      </x:c>
      <x:c r="E775" s="30" t="str">
        <x:v>VANGUARD Unmanned Surface Vehicle</x:v>
      </x:c>
      <x:c r="F775" s="30" t="n">
        <x:v>4</x:v>
      </x:c>
      <x:c r="G775" s="30" t="str">
        <x:v>Present</x:v>
      </x:c>
      <x:c r="H775" s="30" t="str">
        <x:v>Present</x:v>
      </x:c>
      <x:c r="I775" s="30" t="str">
        <x:v>OK</x:v>
      </x:c>
    </x:row>
    <x:row r="776" ht="72" customHeight="1">
      <x:c r="A776" s="30" t="n">
        <x:v>7</x:v>
      </x:c>
      <x:c r="B776" s="30" t="str">
        <x:v>Norway</x:v>
      </x:c>
      <x:c r="C776" s="30" t="str">
        <x:v>KONGSBERG</x:v>
      </x:c>
      <x:c r="D776" s="30" t="str">
        <x:v>Missiles</x:v>
      </x:c>
      <x:c r="E776" s="30" t="str">
        <x:v>3SM Tyrfing / Super Sonic Strike Missile</x:v>
      </x:c>
      <x:c r="F776" s="30" t="n">
        <x:v>1</x:v>
      </x:c>
      <x:c r="G776" s="30" t="str">
        <x:v>Present</x:v>
      </x:c>
      <x:c r="H776" s="30" t="str">
        <x:v>Present</x:v>
      </x:c>
      <x:c r="I776" s="30" t="str">
        <x:v>OK</x:v>
      </x:c>
    </x:row>
    <x:row r="777" ht="72" customHeight="1">
      <x:c r="A777" s="30" t="n">
        <x:v>7</x:v>
      </x:c>
      <x:c r="B777" s="30" t="str">
        <x:v>Norway</x:v>
      </x:c>
      <x:c r="C777" s="30" t="str">
        <x:v>KONGSBERG</x:v>
      </x:c>
      <x:c r="D777" s="30" t="str">
        <x:v>Missiles</x:v>
      </x:c>
      <x:c r="E777" s="30" t="str">
        <x:v>Joint Strike Missile (JSM)</x:v>
      </x:c>
      <x:c r="F777" s="30" t="n">
        <x:v>6</x:v>
      </x:c>
      <x:c r="G777" s="30" t="str">
        <x:v>Present</x:v>
      </x:c>
      <x:c r="H777" s="30" t="str">
        <x:v>Present</x:v>
      </x:c>
      <x:c r="I777" s="30" t="str">
        <x:v>Limited/configuration-dependent public specifications</x:v>
      </x:c>
    </x:row>
    <x:row r="778" ht="72" customHeight="1">
      <x:c r="A778" s="30" t="n">
        <x:v>7</x:v>
      </x:c>
      <x:c r="B778" s="30" t="str">
        <x:v>Norway</x:v>
      </x:c>
      <x:c r="C778" s="30" t="str">
        <x:v>KONGSBERG</x:v>
      </x:c>
      <x:c r="D778" s="30" t="str">
        <x:v>Missiles</x:v>
      </x:c>
      <x:c r="E778" s="30" t="str">
        <x:v>NASAMS Air Defence System</x:v>
      </x:c>
      <x:c r="F778" s="30" t="n">
        <x:v>2</x:v>
      </x:c>
      <x:c r="G778" s="30" t="str">
        <x:v>Present</x:v>
      </x:c>
      <x:c r="H778" s="30" t="str">
        <x:v>Present</x:v>
      </x:c>
      <x:c r="I778" s="30" t="str">
        <x:v>Family/system/component-level entry — review if exact-model-only view is needed</x:v>
      </x:c>
    </x:row>
    <x:row r="779" ht="72" customHeight="1">
      <x:c r="A779" s="30" t="n">
        <x:v>7</x:v>
      </x:c>
      <x:c r="B779" s="30" t="str">
        <x:v>Norway</x:v>
      </x:c>
      <x:c r="C779" s="30" t="str">
        <x:v>KONGSBERG</x:v>
      </x:c>
      <x:c r="D779" s="30" t="str">
        <x:v>Missiles</x:v>
      </x:c>
      <x:c r="E779" s="30" t="str">
        <x:v>NASAMS Multi-Missile Launcher</x:v>
      </x:c>
      <x:c r="F779" s="30" t="n">
        <x:v>1</x:v>
      </x:c>
      <x:c r="G779" s="30" t="str">
        <x:v>Present</x:v>
      </x:c>
      <x:c r="H779" s="30" t="str">
        <x:v>Present</x:v>
      </x:c>
      <x:c r="I779" s="30" t="str">
        <x:v>OK</x:v>
      </x:c>
    </x:row>
    <x:row r="780" ht="72" customHeight="1">
      <x:c r="A780" s="30" t="n">
        <x:v>7</x:v>
      </x:c>
      <x:c r="B780" s="30" t="str">
        <x:v>Norway</x:v>
      </x:c>
      <x:c r="C780" s="30" t="str">
        <x:v>KONGSBERG</x:v>
      </x:c>
      <x:c r="D780" s="30" t="str">
        <x:v>Missiles</x:v>
      </x:c>
      <x:c r="E780" s="30" t="str">
        <x:v>NOMADS</x:v>
      </x:c>
      <x:c r="F780" s="30" t="n">
        <x:v>2</x:v>
      </x:c>
      <x:c r="G780" s="30" t="str">
        <x:v>Present</x:v>
      </x:c>
      <x:c r="H780" s="30" t="str">
        <x:v>Present</x:v>
      </x:c>
      <x:c r="I780" s="30" t="str">
        <x:v>OK</x:v>
      </x:c>
    </x:row>
    <x:row r="781" ht="72" customHeight="1">
      <x:c r="A781" s="30" t="n">
        <x:v>7</x:v>
      </x:c>
      <x:c r="B781" s="30" t="str">
        <x:v>Norway</x:v>
      </x:c>
      <x:c r="C781" s="30" t="str">
        <x:v>KONGSBERG</x:v>
      </x:c>
      <x:c r="D781" s="30" t="str">
        <x:v>Missiles</x:v>
      </x:c>
      <x:c r="E781" s="30" t="str">
        <x:v>NSM Coastal Defence System</x:v>
      </x:c>
      <x:c r="F781" s="30" t="n">
        <x:v>4</x:v>
      </x:c>
      <x:c r="G781" s="30" t="str">
        <x:v>Present</x:v>
      </x:c>
      <x:c r="H781" s="30" t="str">
        <x:v>Present</x:v>
      </x:c>
      <x:c r="I781" s="30" t="str">
        <x:v>Family/system/component-level entry — review if exact-model-only view is needed</x:v>
      </x:c>
    </x:row>
    <x:row r="782" ht="72" customHeight="1">
      <x:c r="A782" s="30" t="n">
        <x:v>7</x:v>
      </x:c>
      <x:c r="B782" s="30" t="str">
        <x:v>Norway</x:v>
      </x:c>
      <x:c r="C782" s="30" t="str">
        <x:v>KONGSBERG</x:v>
      </x:c>
      <x:c r="D782" s="30" t="str">
        <x:v>Missiles</x:v>
      </x:c>
      <x:c r="E782" s="30" t="str">
        <x:v>NSM Naval Strike Missile</x:v>
      </x:c>
      <x:c r="F782" s="30" t="n">
        <x:v>5</x:v>
      </x:c>
      <x:c r="G782" s="30" t="str">
        <x:v>Present</x:v>
      </x:c>
      <x:c r="H782" s="30" t="str">
        <x:v>Present</x:v>
      </x:c>
      <x:c r="I782" s="30" t="str">
        <x:v>OK</x:v>
      </x:c>
    </x:row>
    <x:row r="783" ht="72" customHeight="1">
      <x:c r="A783" s="30" t="n">
        <x:v>7</x:v>
      </x:c>
      <x:c r="B783" s="30" t="str">
        <x:v>Europe</x:v>
      </x:c>
      <x:c r="C783" s="30" t="str">
        <x:v>MBDA</x:v>
      </x:c>
      <x:c r="D783" s="30" t="str">
        <x:v>Marine/Naval</x:v>
      </x:c>
      <x:c r="E783" s="30" t="str">
        <x:v>EXOCET Mobile Coastal Defence System</x:v>
      </x:c>
      <x:c r="F783" s="30" t="n">
        <x:v>5</x:v>
      </x:c>
      <x:c r="G783" s="30" t="str">
        <x:v>Present</x:v>
      </x:c>
      <x:c r="H783" s="30" t="str">
        <x:v>Present</x:v>
      </x:c>
      <x:c r="I783" s="30" t="str">
        <x:v>Family/system/component-level entry — review if exact-model-only view is needed</x:v>
      </x:c>
    </x:row>
    <x:row r="784" ht="72" customHeight="1">
      <x:c r="A784" s="30" t="n">
        <x:v>7</x:v>
      </x:c>
      <x:c r="B784" s="30" t="str">
        <x:v>Europe</x:v>
      </x:c>
      <x:c r="C784" s="30" t="str">
        <x:v>MBDA</x:v>
      </x:c>
      <x:c r="D784" s="30" t="str">
        <x:v>Marine/Naval</x:v>
      </x:c>
      <x:c r="E784" s="30" t="str">
        <x:v>MARTE MK2/N</x:v>
      </x:c>
      <x:c r="F784" s="30" t="n">
        <x:v>1</x:v>
      </x:c>
      <x:c r="G784" s="30" t="str">
        <x:v>Present</x:v>
      </x:c>
      <x:c r="H784" s="30" t="str">
        <x:v>Present</x:v>
      </x:c>
      <x:c r="I784" s="30" t="str">
        <x:v>OK</x:v>
      </x:c>
    </x:row>
    <x:row r="785" ht="72" customHeight="1">
      <x:c r="A785" s="30" t="n">
        <x:v>7</x:v>
      </x:c>
      <x:c r="B785" s="30" t="str">
        <x:v>Europe</x:v>
      </x:c>
      <x:c r="C785" s="30" t="str">
        <x:v>MBDA</x:v>
      </x:c>
      <x:c r="D785" s="30" t="str">
        <x:v>Marine/Naval</x:v>
      </x:c>
      <x:c r="E785" s="30" t="str">
        <x:v>SEA CEPTOR</x:v>
      </x:c>
      <x:c r="F785" s="30" t="n">
        <x:v>3</x:v>
      </x:c>
      <x:c r="G785" s="30" t="str">
        <x:v>Present</x:v>
      </x:c>
      <x:c r="H785" s="30" t="str">
        <x:v>Present</x:v>
      </x:c>
      <x:c r="I785" s="30" t="str">
        <x:v>OK</x:v>
      </x:c>
    </x:row>
    <x:row r="786" ht="72" customHeight="1">
      <x:c r="A786" s="30" t="n">
        <x:v>7</x:v>
      </x:c>
      <x:c r="B786" s="30" t="str">
        <x:v>Europe</x:v>
      </x:c>
      <x:c r="C786" s="30" t="str">
        <x:v>MBDA</x:v>
      </x:c>
      <x:c r="D786" s="30" t="str">
        <x:v>Marine/Naval</x:v>
      </x:c>
      <x:c r="E786" s="30" t="str">
        <x:v>SEA VIPER</x:v>
      </x:c>
      <x:c r="F786" s="30" t="n">
        <x:v>5</x:v>
      </x:c>
      <x:c r="G786" s="30" t="str">
        <x:v>Present</x:v>
      </x:c>
      <x:c r="H786" s="30" t="str">
        <x:v>Present</x:v>
      </x:c>
      <x:c r="I786" s="30" t="str">
        <x:v>OK</x:v>
      </x:c>
    </x:row>
    <x:row r="787" ht="72" customHeight="1">
      <x:c r="A787" s="30" t="n">
        <x:v>7</x:v>
      </x:c>
      <x:c r="B787" s="30" t="str">
        <x:v>Europe</x:v>
      </x:c>
      <x:c r="C787" s="30" t="str">
        <x:v>MBDA</x:v>
      </x:c>
      <x:c r="D787" s="30" t="str">
        <x:v>UAVs/Drones</x:v>
      </x:c>
      <x:c r="E787" s="30" t="str">
        <x:v>AKERON RCH170 Loitering Munition</x:v>
      </x:c>
      <x:c r="F787" s="30" t="n">
        <x:v>1</x:v>
      </x:c>
      <x:c r="G787" s="30" t="str">
        <x:v>Present</x:v>
      </x:c>
      <x:c r="H787" s="30" t="str">
        <x:v>Present</x:v>
      </x:c>
      <x:c r="I787" s="30" t="str">
        <x:v>OK</x:v>
      </x:c>
    </x:row>
    <x:row r="788" ht="72" customHeight="1">
      <x:c r="A788" s="30" t="n">
        <x:v>7</x:v>
      </x:c>
      <x:c r="B788" s="30" t="str">
        <x:v>Europe</x:v>
      </x:c>
      <x:c r="C788" s="30" t="str">
        <x:v>MBDA</x:v>
      </x:c>
      <x:c r="D788" s="30" t="str">
        <x:v>Missiles</x:v>
      </x:c>
      <x:c r="E788" s="30" t="str">
        <x:v>AKERON LP</x:v>
      </x:c>
      <x:c r="F788" s="30" t="n">
        <x:v>1</x:v>
      </x:c>
      <x:c r="G788" s="30" t="str">
        <x:v>Present</x:v>
      </x:c>
      <x:c r="H788" s="30" t="str">
        <x:v>Present</x:v>
      </x:c>
      <x:c r="I788" s="30" t="str">
        <x:v>OK</x:v>
      </x:c>
    </x:row>
    <x:row r="789" ht="72" customHeight="1">
      <x:c r="A789" s="30" t="n">
        <x:v>7</x:v>
      </x:c>
      <x:c r="B789" s="30" t="str">
        <x:v>Europe</x:v>
      </x:c>
      <x:c r="C789" s="30" t="str">
        <x:v>MBDA</x:v>
      </x:c>
      <x:c r="D789" s="30" t="str">
        <x:v>Missiles</x:v>
      </x:c>
      <x:c r="E789" s="30" t="str">
        <x:v>AKERON MP</x:v>
      </x:c>
      <x:c r="F789" s="30" t="n">
        <x:v>6</x:v>
      </x:c>
      <x:c r="G789" s="30" t="str">
        <x:v>Present</x:v>
      </x:c>
      <x:c r="H789" s="30" t="str">
        <x:v>Present</x:v>
      </x:c>
      <x:c r="I789" s="30" t="str">
        <x:v>OK</x:v>
      </x:c>
    </x:row>
    <x:row r="790" ht="72" customHeight="1">
      <x:c r="A790" s="30" t="n">
        <x:v>7</x:v>
      </x:c>
      <x:c r="B790" s="30" t="str">
        <x:v>Europe</x:v>
      </x:c>
      <x:c r="C790" s="30" t="str">
        <x:v>MBDA</x:v>
      </x:c>
      <x:c r="D790" s="30" t="str">
        <x:v>Missiles</x:v>
      </x:c>
      <x:c r="E790" s="30" t="str">
        <x:v>ASTER 15/30 Family</x:v>
      </x:c>
      <x:c r="F790" s="30" t="n">
        <x:v>5</x:v>
      </x:c>
      <x:c r="G790" s="30" t="str">
        <x:v>Present</x:v>
      </x:c>
      <x:c r="H790" s="30" t="str">
        <x:v>Present</x:v>
      </x:c>
      <x:c r="I790" s="30" t="str">
        <x:v>Family/system/component-level entry — review if exact-model-only view is needed</x:v>
      </x:c>
    </x:row>
    <x:row r="791" ht="72" customHeight="1">
      <x:c r="A791" s="30" t="n">
        <x:v>7</x:v>
      </x:c>
      <x:c r="B791" s="30" t="str">
        <x:v>Europe</x:v>
      </x:c>
      <x:c r="C791" s="30" t="str">
        <x:v>MBDA</x:v>
      </x:c>
      <x:c r="D791" s="30" t="str">
        <x:v>Missiles</x:v>
      </x:c>
      <x:c r="E791" s="30" t="str">
        <x:v>ASTER 30 B1NT</x:v>
      </x:c>
      <x:c r="F791" s="30" t="n">
        <x:v>5</x:v>
      </x:c>
      <x:c r="G791" s="30" t="str">
        <x:v>Present</x:v>
      </x:c>
      <x:c r="H791" s="30" t="str">
        <x:v>Present</x:v>
      </x:c>
      <x:c r="I791" s="30" t="str">
        <x:v>OK</x:v>
      </x:c>
    </x:row>
    <x:row r="792" ht="72" customHeight="1">
      <x:c r="A792" s="30" t="n">
        <x:v>7</x:v>
      </x:c>
      <x:c r="B792" s="30" t="str">
        <x:v>Europe</x:v>
      </x:c>
      <x:c r="C792" s="30" t="str">
        <x:v>MBDA</x:v>
      </x:c>
      <x:c r="D792" s="30" t="str">
        <x:v>Missiles</x:v>
      </x:c>
      <x:c r="E792" s="30" t="str">
        <x:v>BRIMSTONE</x:v>
      </x:c>
      <x:c r="F792" s="30" t="n">
        <x:v>6</x:v>
      </x:c>
      <x:c r="G792" s="30" t="str">
        <x:v>Present</x:v>
      </x:c>
      <x:c r="H792" s="30" t="str">
        <x:v>Present</x:v>
      </x:c>
      <x:c r="I792" s="30" t="str">
        <x:v>OK</x:v>
      </x:c>
    </x:row>
    <x:row r="793" ht="72" customHeight="1">
      <x:c r="A793" s="30" t="n">
        <x:v>7</x:v>
      </x:c>
      <x:c r="B793" s="30" t="str">
        <x:v>Europe</x:v>
      </x:c>
      <x:c r="C793" s="30" t="str">
        <x:v>MBDA</x:v>
      </x:c>
      <x:c r="D793" s="30" t="str">
        <x:v>Missiles</x:v>
      </x:c>
      <x:c r="E793" s="30" t="str">
        <x:v>CAMM</x:v>
      </x:c>
      <x:c r="F793" s="30" t="n">
        <x:v>7</x:v>
      </x:c>
      <x:c r="G793" s="30" t="str">
        <x:v>Present</x:v>
      </x:c>
      <x:c r="H793" s="30" t="str">
        <x:v>Present</x:v>
      </x:c>
      <x:c r="I793" s="30" t="str">
        <x:v>OK</x:v>
      </x:c>
    </x:row>
    <x:row r="794" ht="72" customHeight="1">
      <x:c r="A794" s="30" t="n">
        <x:v>7</x:v>
      </x:c>
      <x:c r="B794" s="30" t="str">
        <x:v>Europe</x:v>
      </x:c>
      <x:c r="C794" s="30" t="str">
        <x:v>MBDA</x:v>
      </x:c>
      <x:c r="D794" s="30" t="str">
        <x:v>Missiles</x:v>
      </x:c>
      <x:c r="E794" s="30" t="str">
        <x:v>CAMM-ER</x:v>
      </x:c>
      <x:c r="F794" s="30" t="n">
        <x:v>7</x:v>
      </x:c>
      <x:c r="G794" s="30" t="str">
        <x:v>Present</x:v>
      </x:c>
      <x:c r="H794" s="30" t="str">
        <x:v>Present</x:v>
      </x:c>
      <x:c r="I794" s="30" t="str">
        <x:v>OK</x:v>
      </x:c>
    </x:row>
    <x:row r="795" ht="72" customHeight="1">
      <x:c r="A795" s="30" t="n">
        <x:v>7</x:v>
      </x:c>
      <x:c r="B795" s="30" t="str">
        <x:v>Europe</x:v>
      </x:c>
      <x:c r="C795" s="30" t="str">
        <x:v>MBDA</x:v>
      </x:c>
      <x:c r="D795" s="30" t="str">
        <x:v>Missiles</x:v>
      </x:c>
      <x:c r="E795" s="30" t="str">
        <x:v>Deep Strike / Crossbow</x:v>
      </x:c>
      <x:c r="F795" s="30" t="n">
        <x:v>2</x:v>
      </x:c>
      <x:c r="G795" s="30" t="str">
        <x:v>Present</x:v>
      </x:c>
      <x:c r="H795" s="30" t="str">
        <x:v>Present</x:v>
      </x:c>
      <x:c r="I795" s="30" t="str">
        <x:v>OK</x:v>
      </x:c>
    </x:row>
    <x:row r="796" ht="72" customHeight="1">
      <x:c r="A796" s="30" t="n">
        <x:v>7</x:v>
      </x:c>
      <x:c r="B796" s="30" t="str">
        <x:v>Europe</x:v>
      </x:c>
      <x:c r="C796" s="30" t="str">
        <x:v>MBDA</x:v>
      </x:c>
      <x:c r="D796" s="30" t="str">
        <x:v>Missiles</x:v>
      </x:c>
      <x:c r="E796" s="30" t="str">
        <x:v>ENFORCER</x:v>
      </x:c>
      <x:c r="F796" s="30" t="n">
        <x:v>5</x:v>
      </x:c>
      <x:c r="G796" s="30" t="str">
        <x:v>Present</x:v>
      </x:c>
      <x:c r="H796" s="30" t="str">
        <x:v>Present</x:v>
      </x:c>
      <x:c r="I796" s="30" t="str">
        <x:v>OK</x:v>
      </x:c>
    </x:row>
    <x:row r="797" ht="72" customHeight="1">
      <x:c r="A797" s="30" t="n">
        <x:v>7</x:v>
      </x:c>
      <x:c r="B797" s="30" t="str">
        <x:v>Europe</x:v>
      </x:c>
      <x:c r="C797" s="30" t="str">
        <x:v>MBDA</x:v>
      </x:c>
      <x:c r="D797" s="30" t="str">
        <x:v>Missiles</x:v>
      </x:c>
      <x:c r="E797" s="30" t="str">
        <x:v>ENFORCER X</x:v>
      </x:c>
      <x:c r="F797" s="30" t="n">
        <x:v>5</x:v>
      </x:c>
      <x:c r="G797" s="30" t="str">
        <x:v>Present</x:v>
      </x:c>
      <x:c r="H797" s="30" t="str">
        <x:v>Present</x:v>
      </x:c>
      <x:c r="I797" s="30" t="str">
        <x:v>OK</x:v>
      </x:c>
    </x:row>
    <x:row r="798" ht="72" customHeight="1">
      <x:c r="A798" s="30" t="n">
        <x:v>7</x:v>
      </x:c>
      <x:c r="B798" s="30" t="str">
        <x:v>Europe</x:v>
      </x:c>
      <x:c r="C798" s="30" t="str">
        <x:v>MBDA</x:v>
      </x:c>
      <x:c r="D798" s="30" t="str">
        <x:v>Missiles</x:v>
      </x:c>
      <x:c r="E798" s="30" t="str">
        <x:v>EXOCET AM39</x:v>
      </x:c>
      <x:c r="F798" s="30" t="n">
        <x:v>5</x:v>
      </x:c>
      <x:c r="G798" s="30" t="str">
        <x:v>Present</x:v>
      </x:c>
      <x:c r="H798" s="30" t="str">
        <x:v>Present</x:v>
      </x:c>
      <x:c r="I798" s="30" t="str">
        <x:v>OK</x:v>
      </x:c>
    </x:row>
    <x:row r="799" ht="72" customHeight="1">
      <x:c r="A799" s="30" t="n">
        <x:v>7</x:v>
      </x:c>
      <x:c r="B799" s="30" t="str">
        <x:v>Europe</x:v>
      </x:c>
      <x:c r="C799" s="30" t="str">
        <x:v>MBDA</x:v>
      </x:c>
      <x:c r="D799" s="30" t="str">
        <x:v>Missiles</x:v>
      </x:c>
      <x:c r="E799" s="30" t="str">
        <x:v>EXOCET MM40 Block 3C</x:v>
      </x:c>
      <x:c r="F799" s="30" t="n">
        <x:v>2</x:v>
      </x:c>
      <x:c r="G799" s="30" t="str">
        <x:v>Present</x:v>
      </x:c>
      <x:c r="H799" s="30" t="str">
        <x:v>Present</x:v>
      </x:c>
      <x:c r="I799" s="30" t="str">
        <x:v>OK</x:v>
      </x:c>
    </x:row>
    <x:row r="800" ht="72" customHeight="1">
      <x:c r="A800" s="30" t="n">
        <x:v>7</x:v>
      </x:c>
      <x:c r="B800" s="30" t="str">
        <x:v>Europe</x:v>
      </x:c>
      <x:c r="C800" s="30" t="str">
        <x:v>MBDA</x:v>
      </x:c>
      <x:c r="D800" s="30" t="str">
        <x:v>Missiles</x:v>
      </x:c>
      <x:c r="E800" s="30" t="str">
        <x:v>EXOCET SM39</x:v>
      </x:c>
      <x:c r="F800" s="30" t="n">
        <x:v>5</x:v>
      </x:c>
      <x:c r="G800" s="30" t="str">
        <x:v>Present</x:v>
      </x:c>
      <x:c r="H800" s="30" t="str">
        <x:v>Present</x:v>
      </x:c>
      <x:c r="I800" s="30" t="str">
        <x:v>OK</x:v>
      </x:c>
    </x:row>
    <x:row r="801" ht="72" customHeight="1">
      <x:c r="A801" s="30" t="n">
        <x:v>7</x:v>
      </x:c>
      <x:c r="B801" s="30" t="str">
        <x:v>Europe</x:v>
      </x:c>
      <x:c r="C801" s="30" t="str">
        <x:v>MBDA</x:v>
      </x:c>
      <x:c r="D801" s="30" t="str">
        <x:v>Missiles</x:v>
      </x:c>
      <x:c r="E801" s="30" t="str">
        <x:v>EXOCET SM40</x:v>
      </x:c>
      <x:c r="F801" s="30" t="n">
        <x:v>5</x:v>
      </x:c>
      <x:c r="G801" s="30" t="str">
        <x:v>Present</x:v>
      </x:c>
      <x:c r="H801" s="30" t="str">
        <x:v>Present</x:v>
      </x:c>
      <x:c r="I801" s="30" t="str">
        <x:v>OK</x:v>
      </x:c>
    </x:row>
    <x:row r="802" ht="72" customHeight="1">
      <x:c r="A802" s="30" t="n">
        <x:v>7</x:v>
      </x:c>
      <x:c r="B802" s="30" t="str">
        <x:v>Europe</x:v>
      </x:c>
      <x:c r="C802" s="30" t="str">
        <x:v>MBDA</x:v>
      </x:c>
      <x:c r="D802" s="30" t="str">
        <x:v>Missiles</x:v>
      </x:c>
      <x:c r="E802" s="30" t="str">
        <x:v>MARTE ER</x:v>
      </x:c>
      <x:c r="F802" s="30" t="n">
        <x:v>1</x:v>
      </x:c>
      <x:c r="G802" s="30" t="str">
        <x:v>Present</x:v>
      </x:c>
      <x:c r="H802" s="30" t="str">
        <x:v>Present</x:v>
      </x:c>
      <x:c r="I802" s="30" t="str">
        <x:v>OK</x:v>
      </x:c>
    </x:row>
    <x:row r="803" ht="72" customHeight="1">
      <x:c r="A803" s="30" t="n">
        <x:v>7</x:v>
      </x:c>
      <x:c r="B803" s="30" t="str">
        <x:v>Europe</x:v>
      </x:c>
      <x:c r="C803" s="30" t="str">
        <x:v>MBDA</x:v>
      </x:c>
      <x:c r="D803" s="30" t="str">
        <x:v>Missiles</x:v>
      </x:c>
      <x:c r="E803" s="30" t="str">
        <x:v>MARTE MK2/S</x:v>
      </x:c>
      <x:c r="F803" s="30" t="n">
        <x:v>1</x:v>
      </x:c>
      <x:c r="G803" s="30" t="str">
        <x:v>Present</x:v>
      </x:c>
      <x:c r="H803" s="30" t="str">
        <x:v>Present</x:v>
      </x:c>
      <x:c r="I803" s="30" t="str">
        <x:v>OK</x:v>
      </x:c>
    </x:row>
    <x:row r="804" ht="72" customHeight="1">
      <x:c r="A804" s="30" t="n">
        <x:v>7</x:v>
      </x:c>
      <x:c r="B804" s="30" t="str">
        <x:v>Europe</x:v>
      </x:c>
      <x:c r="C804" s="30" t="str">
        <x:v>MBDA</x:v>
      </x:c>
      <x:c r="D804" s="30" t="str">
        <x:v>Missiles</x:v>
      </x:c>
      <x:c r="E804" s="30" t="str">
        <x:v>MARTE Mobile Coastal Defence System</x:v>
      </x:c>
      <x:c r="F804" s="30" t="n">
        <x:v>1</x:v>
      </x:c>
      <x:c r="G804" s="30" t="str">
        <x:v>Present</x:v>
      </x:c>
      <x:c r="H804" s="30" t="str">
        <x:v>Present</x:v>
      </x:c>
      <x:c r="I804" s="30" t="str">
        <x:v>Family/system/component-level entry — review if exact-model-only view is needed</x:v>
      </x:c>
    </x:row>
    <x:row r="805" ht="72" customHeight="1">
      <x:c r="A805" s="30" t="n">
        <x:v>7</x:v>
      </x:c>
      <x:c r="B805" s="30" t="str">
        <x:v>Europe</x:v>
      </x:c>
      <x:c r="C805" s="30" t="str">
        <x:v>MBDA</x:v>
      </x:c>
      <x:c r="D805" s="30" t="str">
        <x:v>Missiles</x:v>
      </x:c>
      <x:c r="E805" s="30" t="str">
        <x:v>MdCN / NCM</x:v>
      </x:c>
      <x:c r="F805" s="30" t="n">
        <x:v>5</x:v>
      </x:c>
      <x:c r="G805" s="30" t="str">
        <x:v>Present</x:v>
      </x:c>
      <x:c r="H805" s="30" t="str">
        <x:v>Present</x:v>
      </x:c>
      <x:c r="I805" s="30" t="str">
        <x:v>OK</x:v>
      </x:c>
    </x:row>
    <x:row r="806" ht="72" customHeight="1">
      <x:c r="A806" s="30" t="n">
        <x:v>7</x:v>
      </x:c>
      <x:c r="B806" s="30" t="str">
        <x:v>Europe</x:v>
      </x:c>
      <x:c r="C806" s="30" t="str">
        <x:v>MBDA</x:v>
      </x:c>
      <x:c r="D806" s="30" t="str">
        <x:v>Missiles</x:v>
      </x:c>
      <x:c r="E806" s="30" t="str">
        <x:v>METEOR BVRAAM</x:v>
      </x:c>
      <x:c r="F806" s="30" t="n">
        <x:v>7</x:v>
      </x:c>
      <x:c r="G806" s="30" t="str">
        <x:v>Present</x:v>
      </x:c>
      <x:c r="H806" s="30" t="str">
        <x:v>Present</x:v>
      </x:c>
      <x:c r="I806" s="30" t="str">
        <x:v>OK</x:v>
      </x:c>
    </x:row>
    <x:row r="807" ht="72" customHeight="1">
      <x:c r="A807" s="30" t="n">
        <x:v>7</x:v>
      </x:c>
      <x:c r="B807" s="30" t="str">
        <x:v>Europe</x:v>
      </x:c>
      <x:c r="C807" s="30" t="str">
        <x:v>MBDA</x:v>
      </x:c>
      <x:c r="D807" s="30" t="str">
        <x:v>Missiles</x:v>
      </x:c>
      <x:c r="E807" s="30" t="str">
        <x:v>MICA Family</x:v>
      </x:c>
      <x:c r="F807" s="30" t="n">
        <x:v>5</x:v>
      </x:c>
      <x:c r="G807" s="30" t="str">
        <x:v>Present</x:v>
      </x:c>
      <x:c r="H807" s="30" t="str">
        <x:v>Present</x:v>
      </x:c>
      <x:c r="I807" s="30" t="str">
        <x:v>Family/system/component-level entry — review if exact-model-only view is needed</x:v>
      </x:c>
    </x:row>
    <x:row r="808" ht="72" customHeight="1">
      <x:c r="A808" s="30" t="n">
        <x:v>7</x:v>
      </x:c>
      <x:c r="B808" s="30" t="str">
        <x:v>Europe</x:v>
      </x:c>
      <x:c r="C808" s="30" t="str">
        <x:v>MBDA</x:v>
      </x:c>
      <x:c r="D808" s="30" t="str">
        <x:v>Missiles</x:v>
      </x:c>
      <x:c r="E808" s="30" t="str">
        <x:v>MISTRAL 3</x:v>
      </x:c>
      <x:c r="F808" s="30" t="n">
        <x:v>6</x:v>
      </x:c>
      <x:c r="G808" s="30" t="str">
        <x:v>Present</x:v>
      </x:c>
      <x:c r="H808" s="30" t="str">
        <x:v>Present</x:v>
      </x:c>
      <x:c r="I808" s="30" t="str">
        <x:v>OK</x:v>
      </x:c>
    </x:row>
    <x:row r="809" ht="72" customHeight="1">
      <x:c r="A809" s="30" t="n">
        <x:v>7</x:v>
      </x:c>
      <x:c r="B809" s="30" t="str">
        <x:v>Europe</x:v>
      </x:c>
      <x:c r="C809" s="30" t="str">
        <x:v>MBDA</x:v>
      </x:c>
      <x:c r="D809" s="30" t="str">
        <x:v>Missiles</x:v>
      </x:c>
      <x:c r="E809" s="30" t="str">
        <x:v>MISTRAL ATAM</x:v>
      </x:c>
      <x:c r="F809" s="30" t="n">
        <x:v>5</x:v>
      </x:c>
      <x:c r="G809" s="30" t="str">
        <x:v>Present</x:v>
      </x:c>
      <x:c r="H809" s="30" t="str">
        <x:v>Present</x:v>
      </x:c>
      <x:c r="I809" s="30" t="str">
        <x:v>OK</x:v>
      </x:c>
    </x:row>
    <x:row r="810" ht="72" customHeight="1">
      <x:c r="A810" s="30" t="n">
        <x:v>7</x:v>
      </x:c>
      <x:c r="B810" s="30" t="str">
        <x:v>Europe</x:v>
      </x:c>
      <x:c r="C810" s="30" t="str">
        <x:v>MBDA</x:v>
      </x:c>
      <x:c r="D810" s="30" t="str">
        <x:v>Missiles</x:v>
      </x:c>
      <x:c r="E810" s="30" t="str">
        <x:v>MISTRAL MANPADS</x:v>
      </x:c>
      <x:c r="F810" s="30" t="n">
        <x:v>5</x:v>
      </x:c>
      <x:c r="G810" s="30" t="str">
        <x:v>Present</x:v>
      </x:c>
      <x:c r="H810" s="30" t="str">
        <x:v>Present</x:v>
      </x:c>
      <x:c r="I810" s="30" t="str">
        <x:v>OK</x:v>
      </x:c>
    </x:row>
    <x:row r="811" ht="72" customHeight="1">
      <x:c r="A811" s="30" t="n">
        <x:v>7</x:v>
      </x:c>
      <x:c r="B811" s="30" t="str">
        <x:v>Europe</x:v>
      </x:c>
      <x:c r="C811" s="30" t="str">
        <x:v>MBDA</x:v>
      </x:c>
      <x:c r="D811" s="30" t="str">
        <x:v>Missiles</x:v>
      </x:c>
      <x:c r="E811" s="30" t="str">
        <x:v>SPEAR</x:v>
      </x:c>
      <x:c r="F811" s="30" t="n">
        <x:v>5</x:v>
      </x:c>
      <x:c r="G811" s="30" t="str">
        <x:v>Present</x:v>
      </x:c>
      <x:c r="H811" s="30" t="str">
        <x:v>Present</x:v>
      </x:c>
      <x:c r="I811" s="30" t="str">
        <x:v>OK</x:v>
      </x:c>
    </x:row>
    <x:row r="812" ht="72" customHeight="1">
      <x:c r="A812" s="30" t="n">
        <x:v>7</x:v>
      </x:c>
      <x:c r="B812" s="30" t="str">
        <x:v>Europe</x:v>
      </x:c>
      <x:c r="C812" s="30" t="str">
        <x:v>MBDA</x:v>
      </x:c>
      <x:c r="D812" s="30" t="str">
        <x:v>Missiles</x:v>
      </x:c>
      <x:c r="E812" s="30" t="str">
        <x:v>TAURUS KEPD 350E</x:v>
      </x:c>
      <x:c r="F812" s="30" t="n">
        <x:v>5</x:v>
      </x:c>
      <x:c r="G812" s="30" t="str">
        <x:v>Present</x:v>
      </x:c>
      <x:c r="H812" s="30" t="str">
        <x:v>Present</x:v>
      </x:c>
      <x:c r="I812" s="30" t="str">
        <x:v>OK</x:v>
      </x:c>
    </x:row>
    <x:row r="813" ht="72" customHeight="1">
      <x:c r="A813" s="30" t="n">
        <x:v>7</x:v>
      </x:c>
      <x:c r="B813" s="30" t="str">
        <x:v>Israel</x:v>
      </x:c>
      <x:c r="C813" s="30" t="str">
        <x:v>Israel Aerospace Industries (IAI)</x:v>
      </x:c>
      <x:c r="D813" s="30" t="str">
        <x:v>Marine/Naval</x:v>
      </x:c>
      <x:c r="E813" s="30" t="str">
        <x:v>BARAK MX Naval</x:v>
      </x:c>
      <x:c r="F813" s="30" t="n">
        <x:v>5</x:v>
      </x:c>
      <x:c r="G813" s="30" t="str">
        <x:v>Present</x:v>
      </x:c>
      <x:c r="H813" s="30" t="str">
        <x:v>Present</x:v>
      </x:c>
      <x:c r="I813" s="30" t="str">
        <x:v>OK</x:v>
      </x:c>
    </x:row>
    <x:row r="814" ht="72" customHeight="1">
      <x:c r="A814" s="30" t="n">
        <x:v>7</x:v>
      </x:c>
      <x:c r="B814" s="30" t="str">
        <x:v>Israel</x:v>
      </x:c>
      <x:c r="C814" s="30" t="str">
        <x:v>Israel Aerospace Industries (IAI)</x:v>
      </x:c>
      <x:c r="D814" s="30" t="str">
        <x:v>UAVs/Drones</x:v>
      </x:c>
      <x:c r="E814" s="30" t="str">
        <x:v>Green Dragon Loitering Munition</x:v>
      </x:c>
      <x:c r="F814" s="30" t="n">
        <x:v>7</x:v>
      </x:c>
      <x:c r="G814" s="30" t="str">
        <x:v>Present</x:v>
      </x:c>
      <x:c r="H814" s="30" t="str">
        <x:v>Present</x:v>
      </x:c>
      <x:c r="I814" s="30" t="str">
        <x:v>OK</x:v>
      </x:c>
    </x:row>
    <x:row r="815" ht="72" customHeight="1">
      <x:c r="A815" s="30" t="n">
        <x:v>7</x:v>
      </x:c>
      <x:c r="B815" s="30" t="str">
        <x:v>Israel</x:v>
      </x:c>
      <x:c r="C815" s="30" t="str">
        <x:v>Israel Aerospace Industries (IAI)</x:v>
      </x:c>
      <x:c r="D815" s="30" t="str">
        <x:v>UAVs/Drones</x:v>
      </x:c>
      <x:c r="E815" s="30" t="str">
        <x:v>HAROP Loitering Munition</x:v>
      </x:c>
      <x:c r="F815" s="30" t="n">
        <x:v>6</x:v>
      </x:c>
      <x:c r="G815" s="30" t="str">
        <x:v>Present</x:v>
      </x:c>
      <x:c r="H815" s="30" t="str">
        <x:v>Present</x:v>
      </x:c>
      <x:c r="I815" s="30" t="str">
        <x:v>OK</x:v>
      </x:c>
    </x:row>
    <x:row r="816" ht="72" customHeight="1">
      <x:c r="A816" s="30" t="n">
        <x:v>7</x:v>
      </x:c>
      <x:c r="B816" s="30" t="str">
        <x:v>Israel</x:v>
      </x:c>
      <x:c r="C816" s="30" t="str">
        <x:v>Israel Aerospace Industries (IAI)</x:v>
      </x:c>
      <x:c r="D816" s="30" t="str">
        <x:v>UAVs/Drones</x:v>
      </x:c>
      <x:c r="E816" s="30" t="str">
        <x:v>HARPY Anti-Radiation Loitering Munition</x:v>
      </x:c>
      <x:c r="F816" s="30" t="n">
        <x:v>6</x:v>
      </x:c>
      <x:c r="G816" s="30" t="str">
        <x:v>Present</x:v>
      </x:c>
      <x:c r="H816" s="30" t="str">
        <x:v>Present</x:v>
      </x:c>
      <x:c r="I816" s="30" t="str">
        <x:v>OK</x:v>
      </x:c>
    </x:row>
    <x:row r="817" ht="72" customHeight="1">
      <x:c r="A817" s="30" t="n">
        <x:v>7</x:v>
      </x:c>
      <x:c r="B817" s="30" t="str">
        <x:v>Israel</x:v>
      </x:c>
      <x:c r="C817" s="30" t="str">
        <x:v>Israel Aerospace Industries (IAI)</x:v>
      </x:c>
      <x:c r="D817" s="30" t="str">
        <x:v>UAVs/Drones</x:v>
      </x:c>
      <x:c r="E817" s="30" t="str">
        <x:v>HERON 1</x:v>
      </x:c>
      <x:c r="F817" s="30" t="n">
        <x:v>5</x:v>
      </x:c>
      <x:c r="G817" s="30" t="str">
        <x:v>Present</x:v>
      </x:c>
      <x:c r="H817" s="30" t="str">
        <x:v>Present</x:v>
      </x:c>
      <x:c r="I817" s="30" t="str">
        <x:v>OK</x:v>
      </x:c>
    </x:row>
    <x:row r="818" ht="72" customHeight="1">
      <x:c r="A818" s="30" t="n">
        <x:v>7</x:v>
      </x:c>
      <x:c r="B818" s="30" t="str">
        <x:v>Israel</x:v>
      </x:c>
      <x:c r="C818" s="30" t="str">
        <x:v>Israel Aerospace Industries (IAI)</x:v>
      </x:c>
      <x:c r="D818" s="30" t="str">
        <x:v>UAVs/Drones</x:v>
      </x:c>
      <x:c r="E818" s="30" t="str">
        <x:v>Heron MK II</x:v>
      </x:c>
      <x:c r="F818" s="30" t="n">
        <x:v>2</x:v>
      </x:c>
      <x:c r="G818" s="30" t="str">
        <x:v>Present</x:v>
      </x:c>
      <x:c r="H818" s="30" t="str">
        <x:v>Present</x:v>
      </x:c>
      <x:c r="I818" s="30" t="str">
        <x:v>OK</x:v>
      </x:c>
    </x:row>
    <x:row r="819" ht="72" customHeight="1">
      <x:c r="A819" s="30" t="n">
        <x:v>7</x:v>
      </x:c>
      <x:c r="B819" s="30" t="str">
        <x:v>Israel</x:v>
      </x:c>
      <x:c r="C819" s="30" t="str">
        <x:v>Israel Aerospace Industries (IAI)</x:v>
      </x:c>
      <x:c r="D819" s="30" t="str">
        <x:v>UAVs/Drones</x:v>
      </x:c>
      <x:c r="E819" s="30" t="str">
        <x:v>Heron TP</x:v>
      </x:c>
      <x:c r="F819" s="30" t="n">
        <x:v>5</x:v>
      </x:c>
      <x:c r="G819" s="30" t="str">
        <x:v>Present</x:v>
      </x:c>
      <x:c r="H819" s="30" t="str">
        <x:v>Present</x:v>
      </x:c>
      <x:c r="I819" s="30" t="str">
        <x:v>OK</x:v>
      </x:c>
    </x:row>
    <x:row r="820" ht="72" customHeight="1">
      <x:c r="A820" s="30" t="n">
        <x:v>7</x:v>
      </x:c>
      <x:c r="B820" s="30" t="str">
        <x:v>Israel</x:v>
      </x:c>
      <x:c r="C820" s="30" t="str">
        <x:v>Israel Aerospace Industries (IAI)</x:v>
      </x:c>
      <x:c r="D820" s="30" t="str">
        <x:v>UAVs/Drones</x:v>
      </x:c>
      <x:c r="E820" s="30" t="str">
        <x:v>Mini HARPY</x:v>
      </x:c>
      <x:c r="F820" s="30" t="n">
        <x:v>1</x:v>
      </x:c>
      <x:c r="G820" s="30" t="str">
        <x:v>Present</x:v>
      </x:c>
      <x:c r="H820" s="30" t="str">
        <x:v>Present</x:v>
      </x:c>
      <x:c r="I820" s="30" t="str">
        <x:v>OK</x:v>
      </x:c>
    </x:row>
    <x:row r="821" ht="72" customHeight="1">
      <x:c r="A821" s="30" t="n">
        <x:v>7</x:v>
      </x:c>
      <x:c r="B821" s="30" t="str">
        <x:v>Israel</x:v>
      </x:c>
      <x:c r="C821" s="30" t="str">
        <x:v>Israel Aerospace Industries (IAI)</x:v>
      </x:c>
      <x:c r="D821" s="30" t="str">
        <x:v>UAVs/Drones</x:v>
      </x:c>
      <x:c r="E821" s="30" t="str">
        <x:v>Tactical Heron</x:v>
      </x:c>
      <x:c r="F821" s="30" t="n">
        <x:v>1</x:v>
      </x:c>
      <x:c r="G821" s="30" t="str">
        <x:v>Present</x:v>
      </x:c>
      <x:c r="H821" s="30" t="str">
        <x:v>Present</x:v>
      </x:c>
      <x:c r="I821" s="30" t="str">
        <x:v>OK</x:v>
      </x:c>
    </x:row>
    <x:row r="822" ht="72" customHeight="1">
      <x:c r="A822" s="30" t="n">
        <x:v>7</x:v>
      </x:c>
      <x:c r="B822" s="30" t="str">
        <x:v>Israel</x:v>
      </x:c>
      <x:c r="C822" s="30" t="str">
        <x:v>Israel Aerospace Industries (IAI)</x:v>
      </x:c>
      <x:c r="D822" s="30" t="str">
        <x:v>UAVs/Drones</x:v>
      </x:c>
      <x:c r="E822" s="30" t="str">
        <x:v>TAKHIR / Miniature UAS family</x:v>
      </x:c>
      <x:c r="F822" s="30" t="n">
        <x:v>5</x:v>
      </x:c>
      <x:c r="G822" s="30" t="str">
        <x:v>Present</x:v>
      </x:c>
      <x:c r="H822" s="30" t="str">
        <x:v>Present</x:v>
      </x:c>
      <x:c r="I822" s="30" t="str">
        <x:v>Family/system/component-level entry — review if exact-model-only view is needed</x:v>
      </x:c>
    </x:row>
    <x:row r="823" ht="72" customHeight="1">
      <x:c r="A823" s="30" t="n">
        <x:v>7</x:v>
      </x:c>
      <x:c r="B823" s="30" t="str">
        <x:v>Israel</x:v>
      </x:c>
      <x:c r="C823" s="30" t="str">
        <x:v>Israel Aerospace Industries (IAI)</x:v>
      </x:c>
      <x:c r="D823" s="30" t="str">
        <x:v>Missiles</x:v>
      </x:c>
      <x:c r="E823" s="30" t="str">
        <x:v>Arrow 2 Interceptor</x:v>
      </x:c>
      <x:c r="F823" s="30" t="n">
        <x:v>6</x:v>
      </x:c>
      <x:c r="G823" s="30" t="str">
        <x:v>Present</x:v>
      </x:c>
      <x:c r="H823" s="30" t="str">
        <x:v>Present</x:v>
      </x:c>
      <x:c r="I823" s="30" t="str">
        <x:v>OK</x:v>
      </x:c>
    </x:row>
    <x:row r="824" ht="72" customHeight="1">
      <x:c r="A824" s="30" t="n">
        <x:v>7</x:v>
      </x:c>
      <x:c r="B824" s="30" t="str">
        <x:v>Israel</x:v>
      </x:c>
      <x:c r="C824" s="30" t="str">
        <x:v>Israel Aerospace Industries (IAI)</x:v>
      </x:c>
      <x:c r="D824" s="30" t="str">
        <x:v>Missiles</x:v>
      </x:c>
      <x:c r="E824" s="30" t="str">
        <x:v>Arrow 3 Interceptor</x:v>
      </x:c>
      <x:c r="F824" s="30" t="n">
        <x:v>6</x:v>
      </x:c>
      <x:c r="G824" s="30" t="str">
        <x:v>Present</x:v>
      </x:c>
      <x:c r="H824" s="30" t="str">
        <x:v>Present</x:v>
      </x:c>
      <x:c r="I824" s="30" t="str">
        <x:v>OK</x:v>
      </x:c>
    </x:row>
    <x:row r="825" ht="72" customHeight="1">
      <x:c r="A825" s="30" t="n">
        <x:v>7</x:v>
      </x:c>
      <x:c r="B825" s="30" t="str">
        <x:v>Israel</x:v>
      </x:c>
      <x:c r="C825" s="30" t="str">
        <x:v>Israel Aerospace Industries (IAI)</x:v>
      </x:c>
      <x:c r="D825" s="30" t="str">
        <x:v>Missiles</x:v>
      </x:c>
      <x:c r="E825" s="30" t="str">
        <x:v>BARAK ER</x:v>
      </x:c>
      <x:c r="F825" s="30" t="n">
        <x:v>6</x:v>
      </x:c>
      <x:c r="G825" s="30" t="str">
        <x:v>Present</x:v>
      </x:c>
      <x:c r="H825" s="30" t="str">
        <x:v>Present</x:v>
      </x:c>
      <x:c r="I825" s="30" t="str">
        <x:v>OK</x:v>
      </x:c>
    </x:row>
    <x:row r="826" ht="72" customHeight="1">
      <x:c r="A826" s="30" t="n">
        <x:v>7</x:v>
      </x:c>
      <x:c r="B826" s="30" t="str">
        <x:v>Israel</x:v>
      </x:c>
      <x:c r="C826" s="30" t="str">
        <x:v>Israel Aerospace Industries (IAI)</x:v>
      </x:c>
      <x:c r="D826" s="30" t="str">
        <x:v>Missiles</x:v>
      </x:c>
      <x:c r="E826" s="30" t="str">
        <x:v>BARAK LR</x:v>
      </x:c>
      <x:c r="F826" s="30" t="n">
        <x:v>7</x:v>
      </x:c>
      <x:c r="G826" s="30" t="str">
        <x:v>Present</x:v>
      </x:c>
      <x:c r="H826" s="30" t="str">
        <x:v>Present</x:v>
      </x:c>
      <x:c r="I826" s="30" t="str">
        <x:v>OK</x:v>
      </x:c>
    </x:row>
    <x:row r="827" ht="72" customHeight="1">
      <x:c r="A827" s="30" t="n">
        <x:v>7</x:v>
      </x:c>
      <x:c r="B827" s="30" t="str">
        <x:v>Israel</x:v>
      </x:c>
      <x:c r="C827" s="30" t="str">
        <x:v>Israel Aerospace Industries (IAI)</x:v>
      </x:c>
      <x:c r="D827" s="30" t="str">
        <x:v>Missiles</x:v>
      </x:c>
      <x:c r="E827" s="30" t="str">
        <x:v>BARAK MR</x:v>
      </x:c>
      <x:c r="F827" s="30" t="n">
        <x:v>6</x:v>
      </x:c>
      <x:c r="G827" s="30" t="str">
        <x:v>Present</x:v>
      </x:c>
      <x:c r="H827" s="30" t="str">
        <x:v>Present</x:v>
      </x:c>
      <x:c r="I827" s="30" t="str">
        <x:v>OK</x:v>
      </x:c>
    </x:row>
    <x:row r="828" ht="72" customHeight="1">
      <x:c r="A828" s="30" t="n">
        <x:v>7</x:v>
      </x:c>
      <x:c r="B828" s="30" t="str">
        <x:v>Israel</x:v>
      </x:c>
      <x:c r="C828" s="30" t="str">
        <x:v>Israel Aerospace Industries (IAI)</x:v>
      </x:c>
      <x:c r="D828" s="30" t="str">
        <x:v>Missiles</x:v>
      </x:c>
      <x:c r="E828" s="30" t="str">
        <x:v>BARAK MX Integrated Air &amp; Missile Defence System</x:v>
      </x:c>
      <x:c r="F828" s="30" t="n">
        <x:v>5</x:v>
      </x:c>
      <x:c r="G828" s="30" t="str">
        <x:v>Present</x:v>
      </x:c>
      <x:c r="H828" s="30" t="str">
        <x:v>Present</x:v>
      </x:c>
      <x:c r="I828" s="30" t="str">
        <x:v>Family/system/component-level entry — review if exact-model-only view is needed</x:v>
      </x:c>
    </x:row>
    <x:row r="829" ht="72" customHeight="1">
      <x:c r="A829" s="30" t="n">
        <x:v>7</x:v>
      </x:c>
      <x:c r="B829" s="30" t="str">
        <x:v>Israel</x:v>
      </x:c>
      <x:c r="C829" s="30" t="str">
        <x:v>Israel Aerospace Industries (IAI)</x:v>
      </x:c>
      <x:c r="D829" s="30" t="str">
        <x:v>Missiles</x:v>
      </x:c>
      <x:c r="E829" s="30" t="str">
        <x:v>BARAK SR</x:v>
      </x:c>
      <x:c r="F829" s="30" t="n">
        <x:v>5</x:v>
      </x:c>
      <x:c r="G829" s="30" t="str">
        <x:v>Present</x:v>
      </x:c>
      <x:c r="H829" s="30" t="str">
        <x:v>Present</x:v>
      </x:c>
      <x:c r="I829" s="30" t="str">
        <x:v>OK</x:v>
      </x:c>
    </x:row>
    <x:row r="830" ht="72" customHeight="1">
      <x:c r="A830" s="30" t="n">
        <x:v>7</x:v>
      </x:c>
      <x:c r="B830" s="30" t="str">
        <x:v>Israel</x:v>
      </x:c>
      <x:c r="C830" s="30" t="str">
        <x:v>Israel Aerospace Industries (IAI)</x:v>
      </x:c>
      <x:c r="D830" s="30" t="str">
        <x:v>Missiles</x:v>
      </x:c>
      <x:c r="E830" s="30" t="str">
        <x:v>GABRIEL V Anti-Ship Missile</x:v>
      </x:c>
      <x:c r="F830" s="30" t="n">
        <x:v>5</x:v>
      </x:c>
      <x:c r="G830" s="30" t="str">
        <x:v>Present</x:v>
      </x:c>
      <x:c r="H830" s="30" t="str">
        <x:v>Present</x:v>
      </x:c>
      <x:c r="I830" s="30" t="str">
        <x:v>OK</x:v>
      </x:c>
    </x:row>
    <x:row r="831" ht="72" customHeight="1">
      <x:c r="A831" s="30" t="n">
        <x:v>7</x:v>
      </x:c>
      <x:c r="B831" s="30" t="str">
        <x:v>Israel</x:v>
      </x:c>
      <x:c r="C831" s="30" t="str">
        <x:v>Israel Aerospace Industries (IAI)</x:v>
      </x:c>
      <x:c r="D831" s="30" t="str">
        <x:v>Missiles</x:v>
      </x:c>
      <x:c r="E831" s="30" t="str">
        <x:v>LORA Precision Strike Missile</x:v>
      </x:c>
      <x:c r="F831" s="30" t="n">
        <x:v>7</x:v>
      </x:c>
      <x:c r="G831" s="30" t="str">
        <x:v>Present</x:v>
      </x:c>
      <x:c r="H831" s="30" t="str">
        <x:v>Present</x:v>
      </x:c>
      <x:c r="I831" s="30" t="str">
        <x:v>OK</x:v>
      </x:c>
    </x:row>
    <x:row r="832" ht="72" customHeight="1">
      <x:c r="A832" s="30" t="n">
        <x:v>7</x:v>
      </x:c>
      <x:c r="B832" s="30" t="str">
        <x:v>US</x:v>
      </x:c>
      <x:c r="C832" s="30" t="str">
        <x:v>L3Harris</x:v>
      </x:c>
      <x:c r="D832" s="30" t="str">
        <x:v>Marine/Naval</x:v>
      </x:c>
      <x:c r="E832" s="30" t="str">
        <x:v>Maritime Mobile Surveillance Towed Arrays</x:v>
      </x:c>
      <x:c r="F832" s="30" t="n">
        <x:v>4</x:v>
      </x:c>
      <x:c r="G832" s="30" t="str">
        <x:v>Present</x:v>
      </x:c>
      <x:c r="H832" s="30" t="str">
        <x:v>Present</x:v>
      </x:c>
      <x:c r="I832" s="30" t="str">
        <x:v>OK</x:v>
      </x:c>
    </x:row>
    <x:row r="833" ht="72" customHeight="1">
      <x:c r="A833" s="30" t="n">
        <x:v>7</x:v>
      </x:c>
      <x:c r="B833" s="30" t="str">
        <x:v>US</x:v>
      </x:c>
      <x:c r="C833" s="30" t="str">
        <x:v>L3Harris</x:v>
      </x:c>
      <x:c r="D833" s="30" t="str">
        <x:v>Marine/Naval</x:v>
      </x:c>
      <x:c r="E833" s="30" t="str">
        <x:v>Submarine Towed Arrays</x:v>
      </x:c>
      <x:c r="F833" s="30" t="n">
        <x:v>4</x:v>
      </x:c>
      <x:c r="G833" s="30" t="str">
        <x:v>Present</x:v>
      </x:c>
      <x:c r="H833" s="30" t="str">
        <x:v>Present</x:v>
      </x:c>
      <x:c r="I833" s="30" t="str">
        <x:v>Limited/configuration-dependent public specifications</x:v>
      </x:c>
    </x:row>
    <x:row r="834" ht="72" customHeight="1">
      <x:c r="A834" s="30" t="n">
        <x:v>7</x:v>
      </x:c>
      <x:c r="B834" s="30" t="str">
        <x:v>US</x:v>
      </x:c>
      <x:c r="C834" s="30" t="str">
        <x:v>L3Harris</x:v>
      </x:c>
      <x:c r="D834" s="30" t="str">
        <x:v>Marine/Naval</x:v>
      </x:c>
      <x:c r="E834" s="30" t="str">
        <x:v>TB-37 Multi-Function Towed Array</x:v>
      </x:c>
      <x:c r="F834" s="30" t="n">
        <x:v>4</x:v>
      </x:c>
      <x:c r="G834" s="30" t="str">
        <x:v>Present</x:v>
      </x:c>
      <x:c r="H834" s="30" t="str">
        <x:v>Present</x:v>
      </x:c>
      <x:c r="I834" s="30" t="str">
        <x:v>OK</x:v>
      </x:c>
    </x:row>
    <x:row r="835" ht="72" customHeight="1">
      <x:c r="A835" s="30" t="n">
        <x:v>7</x:v>
      </x:c>
      <x:c r="B835" s="30" t="str">
        <x:v>US</x:v>
      </x:c>
      <x:c r="C835" s="30" t="str">
        <x:v>L3Harris</x:v>
      </x:c>
      <x:c r="D835" s="30" t="str">
        <x:v>UAVs/Drones</x:v>
      </x:c>
      <x:c r="E835" s="30" t="str">
        <x:v>FVR-55 Hybrid Quadrotor UAS</x:v>
      </x:c>
      <x:c r="F835" s="30" t="n">
        <x:v>2</x:v>
      </x:c>
      <x:c r="G835" s="30" t="str">
        <x:v>Present</x:v>
      </x:c>
      <x:c r="H835" s="30" t="str">
        <x:v>Present</x:v>
      </x:c>
      <x:c r="I835" s="30" t="str">
        <x:v>OK</x:v>
      </x:c>
    </x:row>
    <x:row r="836" ht="72" customHeight="1">
      <x:c r="A836" s="30" t="n">
        <x:v>7</x:v>
      </x:c>
      <x:c r="B836" s="30" t="str">
        <x:v>US</x:v>
      </x:c>
      <x:c r="C836" s="30" t="str">
        <x:v>L3Harris</x:v>
      </x:c>
      <x:c r="D836" s="30" t="str">
        <x:v>UAVs/Drones</x:v>
      </x:c>
      <x:c r="E836" s="30" t="str">
        <x:v>FVR-90 Hybrid Quadrotor UAS</x:v>
      </x:c>
      <x:c r="F836" s="30" t="n">
        <x:v>2</x:v>
      </x:c>
      <x:c r="G836" s="30" t="str">
        <x:v>Present</x:v>
      </x:c>
      <x:c r="H836" s="30" t="str">
        <x:v>Present</x:v>
      </x:c>
      <x:c r="I836" s="30" t="str">
        <x:v>OK</x:v>
      </x:c>
    </x:row>
    <x:row r="837" ht="72" customHeight="1">
      <x:c r="A837" s="30" t="n">
        <x:v>7</x:v>
      </x:c>
      <x:c r="B837" s="30" t="str">
        <x:v>US</x:v>
      </x:c>
      <x:c r="C837" s="30" t="str">
        <x:v>L3Harris</x:v>
      </x:c>
      <x:c r="D837" s="30" t="str">
        <x:v>UAVs/Drones</x:v>
      </x:c>
      <x:c r="E837" s="30" t="str">
        <x:v>Green Wolf Launched Effect</x:v>
      </x:c>
      <x:c r="F837" s="30" t="n">
        <x:v>2</x:v>
      </x:c>
      <x:c r="G837" s="30" t="str">
        <x:v>Present</x:v>
      </x:c>
      <x:c r="H837" s="30" t="str">
        <x:v>Present</x:v>
      </x:c>
      <x:c r="I837" s="30" t="str">
        <x:v>OK</x:v>
      </x:c>
    </x:row>
    <x:row r="838" ht="72" customHeight="1">
      <x:c r="A838" s="30" t="n">
        <x:v>7</x:v>
      </x:c>
      <x:c r="B838" s="30" t="str">
        <x:v>US</x:v>
      </x:c>
      <x:c r="C838" s="30" t="str">
        <x:v>L3Harris</x:v>
      </x:c>
      <x:c r="D838" s="30" t="str">
        <x:v>Missiles</x:v>
      </x:c>
      <x:c r="E838" s="30" t="str">
        <x:v>Red Wolf Launched Effect</x:v>
      </x:c>
      <x:c r="F838" s="30" t="n">
        <x:v>2</x:v>
      </x:c>
      <x:c r="G838" s="30" t="str">
        <x:v>Present</x:v>
      </x:c>
      <x:c r="H838" s="30" t="str">
        <x:v>Present</x:v>
      </x:c>
      <x:c r="I838" s="30" t="str">
        <x:v>OK</x:v>
      </x:c>
    </x:row>
    <x:row r="839" ht="72" customHeight="1">
      <x:c r="A839" s="30" t="n">
        <x:v>7</x:v>
      </x:c>
      <x:c r="B839" s="30" t="str">
        <x:v>US</x:v>
      </x:c>
      <x:c r="C839" s="30" t="str">
        <x:v>L3Harris</x:v>
      </x:c>
      <x:c r="D839" s="30" t="str">
        <x:v>Missiles</x:v>
      </x:c>
      <x:c r="E839" s="30" t="str">
        <x:v>VAMPIRE Counter-UAS / Precision Rocket System</x:v>
      </x:c>
      <x:c r="F839" s="30" t="n">
        <x:v>5</x:v>
      </x:c>
      <x:c r="G839" s="30" t="str">
        <x:v>Present</x:v>
      </x:c>
      <x:c r="H839" s="30" t="str">
        <x:v>Present</x:v>
      </x:c>
      <x:c r="I839" s="30" t="str">
        <x:v>Family/system/component-level entry — review if exact-model-only view is needed</x:v>
      </x:c>
    </x:row>
    <x:row r="840" ht="72" customHeight="1">
      <x:c r="A840" s="30" t="n">
        <x:v>7</x:v>
      </x:c>
      <x:c r="B840" s="30" t="str">
        <x:v>US</x:v>
      </x:c>
      <x:c r="C840" s="30" t="str">
        <x:v>Northrop Grumman</x:v>
      </x:c>
      <x:c r="D840" s="30" t="str">
        <x:v>Ammunition</x:v>
      </x:c>
      <x:c r="E840" s="30" t="str">
        <x:v>120 mm Tactical Ammunition</x:v>
      </x:c>
      <x:c r="F840" s="30" t="n">
        <x:v>5</x:v>
      </x:c>
      <x:c r="G840" s="30" t="str">
        <x:v>Present</x:v>
      </x:c>
      <x:c r="H840" s="30" t="str">
        <x:v>Present</x:v>
      </x:c>
      <x:c r="I840" s="30" t="str">
        <x:v>OK</x:v>
      </x:c>
    </x:row>
    <x:row r="841" ht="72" customHeight="1">
      <x:c r="A841" s="30" t="n">
        <x:v>7</x:v>
      </x:c>
      <x:c r="B841" s="30" t="str">
        <x:v>US</x:v>
      </x:c>
      <x:c r="C841" s="30" t="str">
        <x:v>Northrop Grumman</x:v>
      </x:c>
      <x:c r="D841" s="30" t="str">
        <x:v>Ammunition</x:v>
      </x:c>
      <x:c r="E841" s="30" t="str">
        <x:v>20 mm Tactical Ammunition</x:v>
      </x:c>
      <x:c r="F841" s="30" t="n">
        <x:v>5</x:v>
      </x:c>
      <x:c r="G841" s="30" t="str">
        <x:v>Present</x:v>
      </x:c>
      <x:c r="H841" s="30" t="str">
        <x:v>Present</x:v>
      </x:c>
      <x:c r="I841" s="30" t="str">
        <x:v>OK</x:v>
      </x:c>
    </x:row>
    <x:row r="842" ht="72" customHeight="1">
      <x:c r="A842" s="30" t="n">
        <x:v>7</x:v>
      </x:c>
      <x:c r="B842" s="30" t="str">
        <x:v>US</x:v>
      </x:c>
      <x:c r="C842" s="30" t="str">
        <x:v>Northrop Grumman</x:v>
      </x:c>
      <x:c r="D842" s="30" t="str">
        <x:v>Ammunition</x:v>
      </x:c>
      <x:c r="E842" s="30" t="str">
        <x:v>30 mm Tactical Ammunition</x:v>
      </x:c>
      <x:c r="F842" s="30" t="n">
        <x:v>5</x:v>
      </x:c>
      <x:c r="G842" s="30" t="str">
        <x:v>Present</x:v>
      </x:c>
      <x:c r="H842" s="30" t="str">
        <x:v>Present</x:v>
      </x:c>
      <x:c r="I842" s="30" t="str">
        <x:v>OK</x:v>
      </x:c>
    </x:row>
    <x:row r="843" ht="72" customHeight="1">
      <x:c r="A843" s="30" t="n">
        <x:v>7</x:v>
      </x:c>
      <x:c r="B843" s="30" t="str">
        <x:v>US</x:v>
      </x:c>
      <x:c r="C843" s="30" t="str">
        <x:v>Northrop Grumman</x:v>
      </x:c>
      <x:c r="D843" s="30" t="str">
        <x:v>Ammunition</x:v>
      </x:c>
      <x:c r="E843" s="30" t="str">
        <x:v>30×113 mm LW30 Ammunition Suite</x:v>
      </x:c>
      <x:c r="F843" s="30" t="n">
        <x:v>1</x:v>
      </x:c>
      <x:c r="G843" s="30" t="str">
        <x:v>Present</x:v>
      </x:c>
      <x:c r="H843" s="30" t="str">
        <x:v>Present</x:v>
      </x:c>
      <x:c r="I843" s="30" t="str">
        <x:v>Family/system/component-level entry — review if exact-model-only view is needed</x:v>
      </x:c>
    </x:row>
    <x:row r="844" ht="72" customHeight="1">
      <x:c r="A844" s="30" t="n">
        <x:v>7</x:v>
      </x:c>
      <x:c r="B844" s="30" t="str">
        <x:v>US</x:v>
      </x:c>
      <x:c r="C844" s="30" t="str">
        <x:v>Northrop Grumman</x:v>
      </x:c>
      <x:c r="D844" s="30" t="str">
        <x:v>Ammunition</x:v>
      </x:c>
      <x:c r="E844" s="30" t="str">
        <x:v>Advanced Fuzes</x:v>
      </x:c>
      <x:c r="F844" s="30" t="n">
        <x:v>5</x:v>
      </x:c>
      <x:c r="G844" s="30" t="str">
        <x:v>Present</x:v>
      </x:c>
      <x:c r="H844" s="30" t="str">
        <x:v>Present</x:v>
      </x:c>
      <x:c r="I844" s="30" t="str">
        <x:v>Family/system/component-level entry — review if exact-model-only view is needed</x:v>
      </x:c>
    </x:row>
    <x:row r="845" ht="72" customHeight="1">
      <x:c r="A845" s="30" t="n">
        <x:v>7</x:v>
      </x:c>
      <x:c r="B845" s="30" t="str">
        <x:v>US</x:v>
      </x:c>
      <x:c r="C845" s="30" t="str">
        <x:v>Northrop Grumman</x:v>
      </x:c>
      <x:c r="D845" s="30" t="str">
        <x:v>UAVs/Drones</x:v>
      </x:c>
      <x:c r="E845" s="30" t="str">
        <x:v>Bat UAS</x:v>
      </x:c>
      <x:c r="F845" s="30" t="n">
        <x:v>5</x:v>
      </x:c>
      <x:c r="G845" s="30" t="str">
        <x:v>Present</x:v>
      </x:c>
      <x:c r="H845" s="30" t="str">
        <x:v>Present</x:v>
      </x:c>
      <x:c r="I845" s="30" t="str">
        <x:v>OK</x:v>
      </x:c>
    </x:row>
    <x:row r="846" ht="72" customHeight="1">
      <x:c r="A846" s="30" t="n">
        <x:v>7</x:v>
      </x:c>
      <x:c r="B846" s="30" t="str">
        <x:v>US</x:v>
      </x:c>
      <x:c r="C846" s="30" t="str">
        <x:v>Northrop Grumman</x:v>
      </x:c>
      <x:c r="D846" s="30" t="str">
        <x:v>UAVs/Drones</x:v>
      </x:c>
      <x:c r="E846" s="30" t="str">
        <x:v>Fire Scout MQ-8C</x:v>
      </x:c>
      <x:c r="F846" s="30" t="n">
        <x:v>5</x:v>
      </x:c>
      <x:c r="G846" s="30" t="str">
        <x:v>Present</x:v>
      </x:c>
      <x:c r="H846" s="30" t="str">
        <x:v>Present</x:v>
      </x:c>
      <x:c r="I846" s="30" t="str">
        <x:v>OK</x:v>
      </x:c>
    </x:row>
    <x:row r="847" ht="72" customHeight="1">
      <x:c r="A847" s="30" t="n">
        <x:v>7</x:v>
      </x:c>
      <x:c r="B847" s="30" t="str">
        <x:v>US</x:v>
      </x:c>
      <x:c r="C847" s="30" t="str">
        <x:v>Northrop Grumman</x:v>
      </x:c>
      <x:c r="D847" s="30" t="str">
        <x:v>UAVs/Drones</x:v>
      </x:c>
      <x:c r="E847" s="30" t="str">
        <x:v>MQ-4C Triton</x:v>
      </x:c>
      <x:c r="F847" s="30" t="n">
        <x:v>8</x:v>
      </x:c>
      <x:c r="G847" s="30" t="str">
        <x:v>Present</x:v>
      </x:c>
      <x:c r="H847" s="30" t="str">
        <x:v>Present</x:v>
      </x:c>
      <x:c r="I847" s="30" t="str">
        <x:v>OK</x:v>
      </x:c>
    </x:row>
    <x:row r="848" ht="72" customHeight="1">
      <x:c r="A848" s="30" t="n">
        <x:v>7</x:v>
      </x:c>
      <x:c r="B848" s="30" t="str">
        <x:v>US</x:v>
      </x:c>
      <x:c r="C848" s="30" t="str">
        <x:v>Northrop Grumman</x:v>
      </x:c>
      <x:c r="D848" s="30" t="str">
        <x:v>UAVs/Drones</x:v>
      </x:c>
      <x:c r="E848" s="30" t="str">
        <x:v>RQ-4 Global Hawk</x:v>
      </x:c>
      <x:c r="F848" s="30" t="n">
        <x:v>7</x:v>
      </x:c>
      <x:c r="G848" s="30" t="str">
        <x:v>Present</x:v>
      </x:c>
      <x:c r="H848" s="30" t="str">
        <x:v>Present</x:v>
      </x:c>
      <x:c r="I848" s="30" t="str">
        <x:v>OK</x:v>
      </x:c>
    </x:row>
    <x:row r="849" ht="72" customHeight="1">
      <x:c r="A849" s="30" t="n">
        <x:v>7</x:v>
      </x:c>
      <x:c r="B849" s="30" t="str">
        <x:v>US</x:v>
      </x:c>
      <x:c r="C849" s="30" t="str">
        <x:v>Northrop Grumman</x:v>
      </x:c>
      <x:c r="D849" s="30" t="str">
        <x:v>Missiles</x:v>
      </x:c>
      <x:c r="E849" s="30" t="str">
        <x:v>AARGM AGM-88E</x:v>
      </x:c>
      <x:c r="F849" s="30" t="n">
        <x:v>7</x:v>
      </x:c>
      <x:c r="G849" s="30" t="str">
        <x:v>Present</x:v>
      </x:c>
      <x:c r="H849" s="30" t="str">
        <x:v>Present</x:v>
      </x:c>
      <x:c r="I849" s="30" t="str">
        <x:v>OK</x:v>
      </x:c>
    </x:row>
    <x:row r="850" ht="72" customHeight="1">
      <x:c r="A850" s="30" t="n">
        <x:v>7</x:v>
      </x:c>
      <x:c r="B850" s="30" t="str">
        <x:v>US</x:v>
      </x:c>
      <x:c r="C850" s="30" t="str">
        <x:v>Northrop Grumman</x:v>
      </x:c>
      <x:c r="D850" s="30" t="str">
        <x:v>Missiles</x:v>
      </x:c>
      <x:c r="E850" s="30" t="str">
        <x:v>AARGM-ER</x:v>
      </x:c>
      <x:c r="F850" s="30" t="n">
        <x:v>7</x:v>
      </x:c>
      <x:c r="G850" s="30" t="str">
        <x:v>Present</x:v>
      </x:c>
      <x:c r="H850" s="30" t="str">
        <x:v>Present</x:v>
      </x:c>
      <x:c r="I850" s="30" t="str">
        <x:v>OK</x:v>
      </x:c>
    </x:row>
    <x:row r="851" ht="72" customHeight="1">
      <x:c r="A851" s="30" t="n">
        <x:v>7</x:v>
      </x:c>
      <x:c r="B851" s="30" t="str">
        <x:v>US</x:v>
      </x:c>
      <x:c r="C851" s="30" t="str">
        <x:v>Northrop Grumman</x:v>
      </x:c>
      <x:c r="D851" s="30" t="str">
        <x:v>Missiles</x:v>
      </x:c>
      <x:c r="E851" s="30" t="str">
        <x:v>Advanced Reactive Strike (AReS)</x:v>
      </x:c>
      <x:c r="F851" s="30" t="n">
        <x:v>1</x:v>
      </x:c>
      <x:c r="G851" s="30" t="str">
        <x:v>Present</x:v>
      </x:c>
      <x:c r="H851" s="30" t="str">
        <x:v>Present</x:v>
      </x:c>
      <x:c r="I851" s="30" t="str">
        <x:v>OK</x:v>
      </x:c>
    </x:row>
    <x:row r="852" ht="72" customHeight="1">
      <x:c r="A852" s="30" t="n">
        <x:v>7</x:v>
      </x:c>
      <x:c r="B852" s="30" t="str">
        <x:v>US</x:v>
      </x:c>
      <x:c r="C852" s="30" t="str">
        <x:v>Northrop Grumman</x:v>
      </x:c>
      <x:c r="D852" s="30" t="str">
        <x:v>Missiles</x:v>
      </x:c>
      <x:c r="E852" s="30" t="str">
        <x:v>GMLRS Propulsion &amp; Warhead Subsystems</x:v>
      </x:c>
      <x:c r="F852" s="30" t="n">
        <x:v>5</x:v>
      </x:c>
      <x:c r="G852" s="30" t="str">
        <x:v>Present</x:v>
      </x:c>
      <x:c r="H852" s="30" t="str">
        <x:v>Present</x:v>
      </x:c>
      <x:c r="I852" s="30" t="str">
        <x:v>Family/system/component-level entry — review if exact-model-only view is needed</x:v>
      </x:c>
    </x:row>
    <x:row r="853" ht="72" customHeight="1">
      <x:c r="A853" s="30" t="n">
        <x:v>7</x:v>
      </x:c>
      <x:c r="B853" s="30" t="str">
        <x:v>US</x:v>
      </x:c>
      <x:c r="C853" s="30" t="str">
        <x:v>Northrop Grumman</x:v>
      </x:c>
      <x:c r="D853" s="30" t="str">
        <x:v>Missiles</x:v>
      </x:c>
      <x:c r="E853" s="30" t="str">
        <x:v>HACM</x:v>
      </x:c>
      <x:c r="F853" s="30" t="n">
        <x:v>5</x:v>
      </x:c>
      <x:c r="G853" s="30" t="str">
        <x:v>Present</x:v>
      </x:c>
      <x:c r="H853" s="30" t="str">
        <x:v>Present</x:v>
      </x:c>
      <x:c r="I853" s="30" t="str">
        <x:v>OK</x:v>
      </x:c>
    </x:row>
    <x:row r="854" ht="72" customHeight="1">
      <x:c r="A854" s="30" t="n">
        <x:v>7</x:v>
      </x:c>
      <x:c r="B854" s="30" t="str">
        <x:v>US</x:v>
      </x:c>
      <x:c r="C854" s="30" t="str">
        <x:v>Northrop Grumman</x:v>
      </x:c>
      <x:c r="D854" s="30" t="str">
        <x:v>Missiles</x:v>
      </x:c>
      <x:c r="E854" s="30" t="str">
        <x:v>Sentinel ICBM</x:v>
      </x:c>
      <x:c r="F854" s="30" t="n">
        <x:v>5</x:v>
      </x:c>
      <x:c r="G854" s="30" t="str">
        <x:v>Present</x:v>
      </x:c>
      <x:c r="H854" s="30" t="str">
        <x:v>Present</x:v>
      </x:c>
      <x:c r="I854" s="30" t="str">
        <x:v>OK</x:v>
      </x:c>
    </x:row>
    <x:row r="855" ht="72" customHeight="1">
      <x:c r="A855" s="30" t="n">
        <x:v>7</x:v>
      </x:c>
      <x:c r="B855" s="30" t="str">
        <x:v>US</x:v>
      </x:c>
      <x:c r="C855" s="30" t="str">
        <x:v>Northrop Grumman</x:v>
      </x:c>
      <x:c r="D855" s="30" t="str">
        <x:v>Missiles</x:v>
      </x:c>
      <x:c r="E855" s="30" t="str">
        <x:v>Stand-In Attack Weapon (SiAW)</x:v>
      </x:c>
      <x:c r="F855" s="30" t="n">
        <x:v>6</x:v>
      </x:c>
      <x:c r="G855" s="30" t="str">
        <x:v>Present</x:v>
      </x:c>
      <x:c r="H855" s="30" t="str">
        <x:v>Present</x:v>
      </x:c>
      <x:c r="I855" s="30" t="str">
        <x:v>OK</x:v>
      </x:c>
    </x:row>
    <x:row r="856" ht="72" customHeight="1">
      <x:c r="A856" s="30" t="n">
        <x:v>8</x:v>
      </x:c>
      <x:c r="B856" s="30" t="str">
        <x:v>US</x:v>
      </x:c>
      <x:c r="C856" s="30" t="str">
        <x:v>Lockheed Martin</x:v>
      </x:c>
      <x:c r="D856" s="30" t="str">
        <x:v>Artillery</x:v>
      </x:c>
      <x:c r="E856" s="30" t="str">
        <x:v>M142 HIMARS (High Mobility Artillery Rocket System)</x:v>
      </x:c>
      <x:c r="F856" s="30" t="n">
        <x:v>2</x:v>
      </x:c>
      <x:c r="G856" s="30" t="str">
        <x:v>Present</x:v>
      </x:c>
      <x:c r="H856" s="30" t="str">
        <x:v>Present</x:v>
      </x:c>
      <x:c r="I856" s="30" t="str">
        <x:v>Family/system/component-level entry — review if exact-model-only view is needed</x:v>
      </x:c>
    </x:row>
    <x:row r="857" ht="72" customHeight="1">
      <x:c r="A857" s="30" t="n">
        <x:v>8</x:v>
      </x:c>
      <x:c r="B857" s="30" t="str">
        <x:v>US</x:v>
      </x:c>
      <x:c r="C857" s="30" t="str">
        <x:v>Lockheed Martin</x:v>
      </x:c>
      <x:c r="D857" s="30" t="str">
        <x:v>Marine/Naval</x:v>
      </x:c>
      <x:c r="E857" s="30" t="str">
        <x:v>Aegis Combat System</x:v>
      </x:c>
      <x:c r="F857" s="30" t="n">
        <x:v>1</x:v>
      </x:c>
      <x:c r="G857" s="30" t="str">
        <x:v>Present</x:v>
      </x:c>
      <x:c r="H857" s="30" t="str">
        <x:v>Present</x:v>
      </x:c>
      <x:c r="I857" s="30" t="str">
        <x:v>Family/system/component-level entry — review if exact-model-only view is needed</x:v>
      </x:c>
    </x:row>
    <x:row r="858" ht="72" customHeight="1">
      <x:c r="A858" s="30" t="n">
        <x:v>8</x:v>
      </x:c>
      <x:c r="B858" s="30" t="str">
        <x:v>US</x:v>
      </x:c>
      <x:c r="C858" s="30" t="str">
        <x:v>Lockheed Martin</x:v>
      </x:c>
      <x:c r="D858" s="30" t="str">
        <x:v>UAVs/Drones</x:v>
      </x:c>
      <x:c r="E858" s="30" t="str">
        <x:v>Indago 4 UAS</x:v>
      </x:c>
      <x:c r="F858" s="30" t="n">
        <x:v>1</x:v>
      </x:c>
      <x:c r="G858" s="30" t="str">
        <x:v>Present</x:v>
      </x:c>
      <x:c r="H858" s="30" t="str">
        <x:v>Present</x:v>
      </x:c>
      <x:c r="I858" s="30" t="str">
        <x:v>OK</x:v>
      </x:c>
    </x:row>
    <x:row r="859" ht="72" customHeight="1">
      <x:c r="A859" s="30" t="n">
        <x:v>8</x:v>
      </x:c>
      <x:c r="B859" s="30" t="str">
        <x:v>US</x:v>
      </x:c>
      <x:c r="C859" s="30" t="str">
        <x:v>Lockheed Martin</x:v>
      </x:c>
      <x:c r="D859" s="30" t="str">
        <x:v>UAVs/Drones</x:v>
      </x:c>
      <x:c r="E859" s="30" t="str">
        <x:v>Stalker VXE UAS</x:v>
      </x:c>
      <x:c r="F859" s="30" t="n">
        <x:v>1</x:v>
      </x:c>
      <x:c r="G859" s="30" t="str">
        <x:v>Present</x:v>
      </x:c>
      <x:c r="H859" s="30" t="str">
        <x:v>Present</x:v>
      </x:c>
      <x:c r="I859" s="30" t="str">
        <x:v>Limited/configuration-dependent public specifications</x:v>
      </x:c>
    </x:row>
    <x:row r="860" ht="72" customHeight="1">
      <x:c r="A860" s="30" t="n">
        <x:v>8</x:v>
      </x:c>
      <x:c r="B860" s="30" t="str">
        <x:v>US</x:v>
      </x:c>
      <x:c r="C860" s="30" t="str">
        <x:v>Lockheed Martin</x:v>
      </x:c>
      <x:c r="D860" s="30" t="str">
        <x:v>Missiles</x:v>
      </x:c>
      <x:c r="E860" s="30" t="str">
        <x:v>AGM-114 HELLFIRE Family</x:v>
      </x:c>
      <x:c r="F860" s="30" t="n">
        <x:v>2</x:v>
      </x:c>
      <x:c r="G860" s="30" t="str">
        <x:v>Present</x:v>
      </x:c>
      <x:c r="H860" s="30" t="str">
        <x:v>Present</x:v>
      </x:c>
      <x:c r="I860" s="30" t="str">
        <x:v>Family/system/component-level entry — review if exact-model-only view is needed</x:v>
      </x:c>
    </x:row>
    <x:row r="861" ht="72" customHeight="1">
      <x:c r="A861" s="30" t="n">
        <x:v>8</x:v>
      </x:c>
      <x:c r="B861" s="30" t="str">
        <x:v>US</x:v>
      </x:c>
      <x:c r="C861" s="30" t="str">
        <x:v>Lockheed Martin</x:v>
      </x:c>
      <x:c r="D861" s="30" t="str">
        <x:v>Missiles</x:v>
      </x:c>
      <x:c r="E861" s="30" t="str">
        <x:v>ATACMS</x:v>
      </x:c>
      <x:c r="F861" s="30" t="n">
        <x:v>2</x:v>
      </x:c>
      <x:c r="G861" s="30" t="str">
        <x:v>Present</x:v>
      </x:c>
      <x:c r="H861" s="30" t="str">
        <x:v>Present</x:v>
      </x:c>
      <x:c r="I861" s="30" t="str">
        <x:v>OK</x:v>
      </x:c>
    </x:row>
    <x:row r="862" ht="72" customHeight="1">
      <x:c r="A862" s="30" t="n">
        <x:v>8</x:v>
      </x:c>
      <x:c r="B862" s="30" t="str">
        <x:v>US</x:v>
      </x:c>
      <x:c r="C862" s="30" t="str">
        <x:v>Lockheed Martin</x:v>
      </x:c>
      <x:c r="D862" s="30" t="str">
        <x:v>Missiles</x:v>
      </x:c>
      <x:c r="E862" s="30" t="str">
        <x:v>ER GMLRS</x:v>
      </x:c>
      <x:c r="F862" s="30" t="n">
        <x:v>2</x:v>
      </x:c>
      <x:c r="G862" s="30" t="str">
        <x:v>Present</x:v>
      </x:c>
      <x:c r="H862" s="30" t="str">
        <x:v>Present</x:v>
      </x:c>
      <x:c r="I862" s="30" t="str">
        <x:v>OK</x:v>
      </x:c>
    </x:row>
    <x:row r="863" ht="72" customHeight="1">
      <x:c r="A863" s="30" t="n">
        <x:v>8</x:v>
      </x:c>
      <x:c r="B863" s="30" t="str">
        <x:v>US</x:v>
      </x:c>
      <x:c r="C863" s="30" t="str">
        <x:v>Lockheed Martin</x:v>
      </x:c>
      <x:c r="D863" s="30" t="str">
        <x:v>Missiles</x:v>
      </x:c>
      <x:c r="E863" s="30" t="str">
        <x:v>GMLRS Unitary / Alternative Warhead</x:v>
      </x:c>
      <x:c r="F863" s="30" t="n">
        <x:v>2</x:v>
      </x:c>
      <x:c r="G863" s="30" t="str">
        <x:v>Present</x:v>
      </x:c>
      <x:c r="H863" s="30" t="str">
        <x:v>Present</x:v>
      </x:c>
      <x:c r="I863" s="30" t="str">
        <x:v>Family/system/component-level entry — review if exact-model-only view is needed</x:v>
      </x:c>
    </x:row>
    <x:row r="864" ht="72" customHeight="1">
      <x:c r="A864" s="30" t="n">
        <x:v>8</x:v>
      </x:c>
      <x:c r="B864" s="30" t="str">
        <x:v>US</x:v>
      </x:c>
      <x:c r="C864" s="30" t="str">
        <x:v>Lockheed Martin</x:v>
      </x:c>
      <x:c r="D864" s="30" t="str">
        <x:v>Missiles</x:v>
      </x:c>
      <x:c r="E864" s="30" t="str">
        <x:v>JAGM AGM-179</x:v>
      </x:c>
      <x:c r="F864" s="30" t="n">
        <x:v>2</x:v>
      </x:c>
      <x:c r="G864" s="30" t="str">
        <x:v>Present</x:v>
      </x:c>
      <x:c r="H864" s="30" t="str">
        <x:v>Present</x:v>
      </x:c>
      <x:c r="I864" s="30" t="str">
        <x:v>Limited/configuration-dependent public specifications</x:v>
      </x:c>
    </x:row>
    <x:row r="865" ht="72" customHeight="1">
      <x:c r="A865" s="30" t="n">
        <x:v>8</x:v>
      </x:c>
      <x:c r="B865" s="30" t="str">
        <x:v>US</x:v>
      </x:c>
      <x:c r="C865" s="30" t="str">
        <x:v>Lockheed Martin</x:v>
      </x:c>
      <x:c r="D865" s="30" t="str">
        <x:v>Missiles</x:v>
      </x:c>
      <x:c r="E865" s="30" t="str">
        <x:v>JASSM / AGM-158A</x:v>
      </x:c>
      <x:c r="F865" s="30" t="n">
        <x:v>2</x:v>
      </x:c>
      <x:c r="G865" s="30" t="str">
        <x:v>Present</x:v>
      </x:c>
      <x:c r="H865" s="30" t="str">
        <x:v>Present</x:v>
      </x:c>
      <x:c r="I865" s="30" t="str">
        <x:v>OK</x:v>
      </x:c>
    </x:row>
    <x:row r="866" ht="72" customHeight="1">
      <x:c r="A866" s="30" t="n">
        <x:v>8</x:v>
      </x:c>
      <x:c r="B866" s="30" t="str">
        <x:v>US</x:v>
      </x:c>
      <x:c r="C866" s="30" t="str">
        <x:v>Lockheed Martin</x:v>
      </x:c>
      <x:c r="D866" s="30" t="str">
        <x:v>Missiles</x:v>
      </x:c>
      <x:c r="E866" s="30" t="str">
        <x:v>JASSM-ER / AGM-158B</x:v>
      </x:c>
      <x:c r="F866" s="30" t="n">
        <x:v>2</x:v>
      </x:c>
      <x:c r="G866" s="30" t="str">
        <x:v>Present</x:v>
      </x:c>
      <x:c r="H866" s="30" t="str">
        <x:v>Present</x:v>
      </x:c>
      <x:c r="I866" s="30" t="str">
        <x:v>OK</x:v>
      </x:c>
    </x:row>
    <x:row r="867" ht="72" customHeight="1">
      <x:c r="A867" s="30" t="n">
        <x:v>8</x:v>
      </x:c>
      <x:c r="B867" s="30" t="str">
        <x:v>US</x:v>
      </x:c>
      <x:c r="C867" s="30" t="str">
        <x:v>Lockheed Martin</x:v>
      </x:c>
      <x:c r="D867" s="30" t="str">
        <x:v>Missiles</x:v>
      </x:c>
      <x:c r="E867" s="30" t="str">
        <x:v>Javelin FGM-148</x:v>
      </x:c>
      <x:c r="F867" s="30" t="n">
        <x:v>2</x:v>
      </x:c>
      <x:c r="G867" s="30" t="str">
        <x:v>Present</x:v>
      </x:c>
      <x:c r="H867" s="30" t="str">
        <x:v>Present</x:v>
      </x:c>
      <x:c r="I867" s="30" t="str">
        <x:v>Limited/configuration-dependent public specifications</x:v>
      </x:c>
    </x:row>
    <x:row r="868" ht="72" customHeight="1">
      <x:c r="A868" s="30" t="n">
        <x:v>8</x:v>
      </x:c>
      <x:c r="B868" s="30" t="str">
        <x:v>US</x:v>
      </x:c>
      <x:c r="C868" s="30" t="str">
        <x:v>Lockheed Martin</x:v>
      </x:c>
      <x:c r="D868" s="30" t="str">
        <x:v>Missiles</x:v>
      </x:c>
      <x:c r="E868" s="30" t="str">
        <x:v>LRASM / AGM-158C</x:v>
      </x:c>
      <x:c r="F868" s="30" t="n">
        <x:v>2</x:v>
      </x:c>
      <x:c r="G868" s="30" t="str">
        <x:v>Present</x:v>
      </x:c>
      <x:c r="H868" s="30" t="str">
        <x:v>Present</x:v>
      </x:c>
      <x:c r="I868" s="30" t="str">
        <x:v>OK</x:v>
      </x:c>
    </x:row>
    <x:row r="869" ht="72" customHeight="1">
      <x:c r="A869" s="30" t="n">
        <x:v>8</x:v>
      </x:c>
      <x:c r="B869" s="30" t="str">
        <x:v>US</x:v>
      </x:c>
      <x:c r="C869" s="30" t="str">
        <x:v>Lockheed Martin</x:v>
      </x:c>
      <x:c r="D869" s="30" t="str">
        <x:v>Missiles</x:v>
      </x:c>
      <x:c r="E869" s="30" t="str">
        <x:v>PAC-3 Missile Segment Enhancement (PAC-3 MSE)</x:v>
      </x:c>
      <x:c r="F869" s="30" t="n">
        <x:v>3</x:v>
      </x:c>
      <x:c r="G869" s="30" t="str">
        <x:v>Present</x:v>
      </x:c>
      <x:c r="H869" s="30" t="str">
        <x:v>Present</x:v>
      </x:c>
      <x:c r="I869" s="30" t="str">
        <x:v>OK</x:v>
      </x:c>
    </x:row>
    <x:row r="870" ht="72" customHeight="1">
      <x:c r="A870" s="30" t="n">
        <x:v>8</x:v>
      </x:c>
      <x:c r="B870" s="30" t="str">
        <x:v>US</x:v>
      </x:c>
      <x:c r="C870" s="30" t="str">
        <x:v>Lockheed Martin</x:v>
      </x:c>
      <x:c r="D870" s="30" t="str">
        <x:v>Missiles</x:v>
      </x:c>
      <x:c r="E870" s="30" t="str">
        <x:v>Precision Strike Missile (PrSM)</x:v>
      </x:c>
      <x:c r="F870" s="30" t="n">
        <x:v>2</x:v>
      </x:c>
      <x:c r="G870" s="30" t="str">
        <x:v>Present</x:v>
      </x:c>
      <x:c r="H870" s="30" t="str">
        <x:v>Present</x:v>
      </x:c>
      <x:c r="I870" s="30" t="str">
        <x:v>OK</x:v>
      </x:c>
    </x:row>
    <x:row r="871" ht="72" customHeight="1">
      <x:c r="A871" s="30" t="n">
        <x:v>8</x:v>
      </x:c>
      <x:c r="B871" s="30" t="str">
        <x:v>US</x:v>
      </x:c>
      <x:c r="C871" s="30" t="str">
        <x:v>Lockheed Martin</x:v>
      </x:c>
      <x:c r="D871" s="30" t="str">
        <x:v>Missiles</x:v>
      </x:c>
      <x:c r="E871" s="30" t="str">
        <x:v>THAAD Interceptor</x:v>
      </x:c>
      <x:c r="F871" s="30" t="n">
        <x:v>2</x:v>
      </x:c>
      <x:c r="G871" s="30" t="str">
        <x:v>Present</x:v>
      </x:c>
      <x:c r="H871" s="30" t="str">
        <x:v>Present</x:v>
      </x:c>
      <x:c r="I871" s="30" t="str">
        <x:v>OK</x:v>
      </x:c>
    </x:row>
    <x:row r="872" ht="72" customHeight="1">
      <x:c r="A872" s="30" t="n">
        <x:v>8</x:v>
      </x:c>
      <x:c r="B872" s="30" t="str">
        <x:v>US</x:v>
      </x:c>
      <x:c r="C872" s="30" t="str">
        <x:v>RTX (Raytheon)</x:v>
      </x:c>
      <x:c r="D872" s="30" t="str">
        <x:v>Ammunition</x:v>
      </x:c>
      <x:c r="E872" s="30" t="str">
        <x:v>M982A1 Excalibur 155 mm</x:v>
      </x:c>
      <x:c r="F872" s="30" t="n">
        <x:v>2</x:v>
      </x:c>
      <x:c r="G872" s="30" t="str">
        <x:v>Present</x:v>
      </x:c>
      <x:c r="H872" s="30" t="str">
        <x:v>Present</x:v>
      </x:c>
      <x:c r="I872" s="30" t="str">
        <x:v>OK</x:v>
      </x:c>
    </x:row>
    <x:row r="873" ht="72" customHeight="1">
      <x:c r="A873" s="30" t="n">
        <x:v>8</x:v>
      </x:c>
      <x:c r="B873" s="30" t="str">
        <x:v>US</x:v>
      </x:c>
      <x:c r="C873" s="30" t="str">
        <x:v>RTX (Raytheon)</x:v>
      </x:c>
      <x:c r="D873" s="30" t="str">
        <x:v>Marine/Naval</x:v>
      </x:c>
      <x:c r="E873" s="30" t="str">
        <x:v>Phalanx CIWS Block 1B</x:v>
      </x:c>
      <x:c r="F873" s="30" t="n">
        <x:v>2</x:v>
      </x:c>
      <x:c r="G873" s="30" t="str">
        <x:v>Present</x:v>
      </x:c>
      <x:c r="H873" s="30" t="str">
        <x:v>Present</x:v>
      </x:c>
      <x:c r="I873" s="30" t="str">
        <x:v>OK</x:v>
      </x:c>
    </x:row>
    <x:row r="874" ht="72" customHeight="1">
      <x:c r="A874" s="30" t="n">
        <x:v>8</x:v>
      </x:c>
      <x:c r="B874" s="30" t="str">
        <x:v>US</x:v>
      </x:c>
      <x:c r="C874" s="30" t="str">
        <x:v>RTX (Raytheon)</x:v>
      </x:c>
      <x:c r="D874" s="30" t="str">
        <x:v>Marine/Naval</x:v>
      </x:c>
      <x:c r="E874" s="30" t="str">
        <x:v>SeaRAM</x:v>
      </x:c>
      <x:c r="F874" s="30" t="n">
        <x:v>1</x:v>
      </x:c>
      <x:c r="G874" s="30" t="str">
        <x:v>Present</x:v>
      </x:c>
      <x:c r="H874" s="30" t="str">
        <x:v>Present</x:v>
      </x:c>
      <x:c r="I874" s="30" t="str">
        <x:v>OK</x:v>
      </x:c>
    </x:row>
    <x:row r="875" ht="72" customHeight="1">
      <x:c r="A875" s="30" t="n">
        <x:v>8</x:v>
      </x:c>
      <x:c r="B875" s="30" t="str">
        <x:v>US</x:v>
      </x:c>
      <x:c r="C875" s="30" t="str">
        <x:v>RTX (Raytheon)</x:v>
      </x:c>
      <x:c r="D875" s="30" t="str">
        <x:v>UAVs/Drones</x:v>
      </x:c>
      <x:c r="E875" s="30" t="str">
        <x:v>Coyote Block 3NK</x:v>
      </x:c>
      <x:c r="F875" s="30" t="n">
        <x:v>2</x:v>
      </x:c>
      <x:c r="G875" s="30" t="str">
        <x:v>Present</x:v>
      </x:c>
      <x:c r="H875" s="30" t="str">
        <x:v>Present</x:v>
      </x:c>
      <x:c r="I875" s="30" t="str">
        <x:v>OK</x:v>
      </x:c>
    </x:row>
    <x:row r="876" ht="72" customHeight="1">
      <x:c r="A876" s="30" t="n">
        <x:v>8</x:v>
      </x:c>
      <x:c r="B876" s="30" t="str">
        <x:v>US</x:v>
      </x:c>
      <x:c r="C876" s="30" t="str">
        <x:v>RTX (Raytheon)</x:v>
      </x:c>
      <x:c r="D876" s="30" t="str">
        <x:v>UAVs/Drones</x:v>
      </x:c>
      <x:c r="E876" s="30" t="str">
        <x:v>Coyote LE MR</x:v>
      </x:c>
      <x:c r="F876" s="30" t="n">
        <x:v>1</x:v>
      </x:c>
      <x:c r="G876" s="30" t="str">
        <x:v>Present</x:v>
      </x:c>
      <x:c r="H876" s="30" t="str">
        <x:v>Present</x:v>
      </x:c>
      <x:c r="I876" s="30" t="str">
        <x:v>OK</x:v>
      </x:c>
    </x:row>
    <x:row r="877" ht="72" customHeight="1">
      <x:c r="A877" s="30" t="n">
        <x:v>8</x:v>
      </x:c>
      <x:c r="B877" s="30" t="str">
        <x:v>US</x:v>
      </x:c>
      <x:c r="C877" s="30" t="str">
        <x:v>RTX (Raytheon)</x:v>
      </x:c>
      <x:c r="D877" s="30" t="str">
        <x:v>UAVs/Drones</x:v>
      </x:c>
      <x:c r="E877" s="30" t="str">
        <x:v>Coyote LE SR</x:v>
      </x:c>
      <x:c r="F877" s="30" t="n">
        <x:v>1</x:v>
      </x:c>
      <x:c r="G877" s="30" t="str">
        <x:v>Present</x:v>
      </x:c>
      <x:c r="H877" s="30" t="str">
        <x:v>Present</x:v>
      </x:c>
      <x:c r="I877" s="30" t="str">
        <x:v>OK</x:v>
      </x:c>
    </x:row>
    <x:row r="878" ht="72" customHeight="1">
      <x:c r="A878" s="30" t="n">
        <x:v>8</x:v>
      </x:c>
      <x:c r="B878" s="30" t="str">
        <x:v>US</x:v>
      </x:c>
      <x:c r="C878" s="30" t="str">
        <x:v>RTX (Raytheon)</x:v>
      </x:c>
      <x:c r="D878" s="30" t="str">
        <x:v>UAVs/Drones</x:v>
      </x:c>
      <x:c r="E878" s="30" t="str">
        <x:v>Coyote UAS</x:v>
      </x:c>
      <x:c r="F878" s="30" t="n">
        <x:v>1</x:v>
      </x:c>
      <x:c r="G878" s="30" t="str">
        <x:v>Present</x:v>
      </x:c>
      <x:c r="H878" s="30" t="str">
        <x:v>Present</x:v>
      </x:c>
      <x:c r="I878" s="30" t="str">
        <x:v>OK</x:v>
      </x:c>
    </x:row>
    <x:row r="879" ht="72" customHeight="1">
      <x:c r="A879" s="30" t="n">
        <x:v>8</x:v>
      </x:c>
      <x:c r="B879" s="30" t="str">
        <x:v>US</x:v>
      </x:c>
      <x:c r="C879" s="30" t="str">
        <x:v>RTX (Raytheon)</x:v>
      </x:c>
      <x:c r="D879" s="30" t="str">
        <x:v>Missiles</x:v>
      </x:c>
      <x:c r="E879" s="30" t="str">
        <x:v>AIM-120D-3 AMRAAM (F3R)</x:v>
      </x:c>
      <x:c r="F879" s="30" t="n">
        <x:v>2</x:v>
      </x:c>
      <x:c r="G879" s="30" t="str">
        <x:v>Present</x:v>
      </x:c>
      <x:c r="H879" s="30" t="str">
        <x:v>Present</x:v>
      </x:c>
      <x:c r="I879" s="30" t="str">
        <x:v>OK</x:v>
      </x:c>
    </x:row>
    <x:row r="880" ht="72" customHeight="1">
      <x:c r="A880" s="30" t="n">
        <x:v>8</x:v>
      </x:c>
      <x:c r="B880" s="30" t="str">
        <x:v>US</x:v>
      </x:c>
      <x:c r="C880" s="30" t="str">
        <x:v>RTX (Raytheon)</x:v>
      </x:c>
      <x:c r="D880" s="30" t="str">
        <x:v>Missiles</x:v>
      </x:c>
      <x:c r="E880" s="30" t="str">
        <x:v>AIM-9X Sidewinder Block II</x:v>
      </x:c>
      <x:c r="F880" s="30" t="n">
        <x:v>2</x:v>
      </x:c>
      <x:c r="G880" s="30" t="str">
        <x:v>Present</x:v>
      </x:c>
      <x:c r="H880" s="30" t="str">
        <x:v>Present</x:v>
      </x:c>
      <x:c r="I880" s="30" t="str">
        <x:v>OK</x:v>
      </x:c>
    </x:row>
    <x:row r="881" ht="72" customHeight="1">
      <x:c r="A881" s="30" t="n">
        <x:v>8</x:v>
      </x:c>
      <x:c r="B881" s="30" t="str">
        <x:v>US</x:v>
      </x:c>
      <x:c r="C881" s="30" t="str">
        <x:v>RTX (Raytheon)</x:v>
      </x:c>
      <x:c r="D881" s="30" t="str">
        <x:v>Missiles</x:v>
      </x:c>
      <x:c r="E881" s="30" t="str">
        <x:v>AMRAAM AIM-120</x:v>
      </x:c>
      <x:c r="F881" s="30" t="n">
        <x:v>1</x:v>
      </x:c>
      <x:c r="G881" s="30" t="str">
        <x:v>Present</x:v>
      </x:c>
      <x:c r="H881" s="30" t="str">
        <x:v>Present</x:v>
      </x:c>
      <x:c r="I881" s="30" t="str">
        <x:v>OK</x:v>
      </x:c>
    </x:row>
    <x:row r="882" ht="72" customHeight="1">
      <x:c r="A882" s="30" t="n">
        <x:v>8</x:v>
      </x:c>
      <x:c r="B882" s="30" t="str">
        <x:v>US</x:v>
      </x:c>
      <x:c r="C882" s="30" t="str">
        <x:v>RTX (Raytheon)</x:v>
      </x:c>
      <x:c r="D882" s="30" t="str">
        <x:v>Missiles</x:v>
      </x:c>
      <x:c r="E882" s="30" t="str">
        <x:v>AMRAAM-ER</x:v>
      </x:c>
      <x:c r="F882" s="30" t="n">
        <x:v>2</x:v>
      </x:c>
      <x:c r="G882" s="30" t="str">
        <x:v>Present</x:v>
      </x:c>
      <x:c r="H882" s="30" t="str">
        <x:v>Present</x:v>
      </x:c>
      <x:c r="I882" s="30" t="str">
        <x:v>OK</x:v>
      </x:c>
    </x:row>
    <x:row r="883" ht="72" customHeight="1">
      <x:c r="A883" s="30" t="n">
        <x:v>8</x:v>
      </x:c>
      <x:c r="B883" s="30" t="str">
        <x:v>US</x:v>
      </x:c>
      <x:c r="C883" s="30" t="str">
        <x:v>RTX (Raytheon)</x:v>
      </x:c>
      <x:c r="D883" s="30" t="str">
        <x:v>Missiles</x:v>
      </x:c>
      <x:c r="E883" s="30" t="str">
        <x:v>Coyote Block 2 C-UAS</x:v>
      </x:c>
      <x:c r="F883" s="30" t="n">
        <x:v>1</x:v>
      </x:c>
      <x:c r="G883" s="30" t="str">
        <x:v>Present</x:v>
      </x:c>
      <x:c r="H883" s="30" t="str">
        <x:v>Present</x:v>
      </x:c>
      <x:c r="I883" s="30" t="str">
        <x:v>OK</x:v>
      </x:c>
    </x:row>
    <x:row r="884" ht="72" customHeight="1">
      <x:c r="A884" s="30" t="n">
        <x:v>8</x:v>
      </x:c>
      <x:c r="B884" s="30" t="str">
        <x:v>US</x:v>
      </x:c>
      <x:c r="C884" s="30" t="str">
        <x:v>RTX (Raytheon)</x:v>
      </x:c>
      <x:c r="D884" s="30" t="str">
        <x:v>Missiles</x:v>
      </x:c>
      <x:c r="E884" s="30" t="str">
        <x:v>Javelin FGM-148 — Raytheon/Lockheed JV</x:v>
      </x:c>
      <x:c r="F884" s="30" t="n">
        <x:v>2</x:v>
      </x:c>
      <x:c r="G884" s="30" t="str">
        <x:v>Present</x:v>
      </x:c>
      <x:c r="H884" s="30" t="str">
        <x:v>Present</x:v>
      </x:c>
      <x:c r="I884" s="30" t="str">
        <x:v>OK</x:v>
      </x:c>
    </x:row>
    <x:row r="885" ht="72" customHeight="1">
      <x:c r="A885" s="30" t="n">
        <x:v>8</x:v>
      </x:c>
      <x:c r="B885" s="30" t="str">
        <x:v>US</x:v>
      </x:c>
      <x:c r="C885" s="30" t="str">
        <x:v>RTX (Raytheon)</x:v>
      </x:c>
      <x:c r="D885" s="30" t="str">
        <x:v>Missiles</x:v>
      </x:c>
      <x:c r="E885" s="30" t="str">
        <x:v>RAM Rolling Airframe Missile</x:v>
      </x:c>
      <x:c r="F885" s="30" t="n">
        <x:v>1</x:v>
      </x:c>
      <x:c r="G885" s="30" t="str">
        <x:v>Present</x:v>
      </x:c>
      <x:c r="H885" s="30" t="str">
        <x:v>Present</x:v>
      </x:c>
      <x:c r="I885" s="30" t="str">
        <x:v>OK</x:v>
      </x:c>
    </x:row>
    <x:row r="886" ht="72" customHeight="1">
      <x:c r="A886" s="30" t="n">
        <x:v>8</x:v>
      </x:c>
      <x:c r="B886" s="30" t="str">
        <x:v>US</x:v>
      </x:c>
      <x:c r="C886" s="30" t="str">
        <x:v>RTX (Raytheon)</x:v>
      </x:c>
      <x:c r="D886" s="30" t="str">
        <x:v>Missiles</x:v>
      </x:c>
      <x:c r="E886" s="30" t="str">
        <x:v>SM-2 Standard Missile</x:v>
      </x:c>
      <x:c r="F886" s="30" t="n">
        <x:v>1</x:v>
      </x:c>
      <x:c r="G886" s="30" t="str">
        <x:v>Present</x:v>
      </x:c>
      <x:c r="H886" s="30" t="str">
        <x:v>Present</x:v>
      </x:c>
      <x:c r="I886" s="30" t="str">
        <x:v>OK</x:v>
      </x:c>
    </x:row>
    <x:row r="887" ht="72" customHeight="1">
      <x:c r="A887" s="30" t="n">
        <x:v>8</x:v>
      </x:c>
      <x:c r="B887" s="30" t="str">
        <x:v>US</x:v>
      </x:c>
      <x:c r="C887" s="30" t="str">
        <x:v>RTX (Raytheon)</x:v>
      </x:c>
      <x:c r="D887" s="30" t="str">
        <x:v>Missiles</x:v>
      </x:c>
      <x:c r="E887" s="30" t="str">
        <x:v>SM-3 Block IB</x:v>
      </x:c>
      <x:c r="F887" s="30" t="n">
        <x:v>2</x:v>
      </x:c>
      <x:c r="G887" s="30" t="str">
        <x:v>Present</x:v>
      </x:c>
      <x:c r="H887" s="30" t="str">
        <x:v>Present</x:v>
      </x:c>
      <x:c r="I887" s="30" t="str">
        <x:v>OK</x:v>
      </x:c>
    </x:row>
    <x:row r="888" ht="72" customHeight="1">
      <x:c r="A888" s="30" t="n">
        <x:v>8</x:v>
      </x:c>
      <x:c r="B888" s="30" t="str">
        <x:v>US</x:v>
      </x:c>
      <x:c r="C888" s="30" t="str">
        <x:v>RTX (Raytheon)</x:v>
      </x:c>
      <x:c r="D888" s="30" t="str">
        <x:v>Missiles</x:v>
      </x:c>
      <x:c r="E888" s="30" t="str">
        <x:v>SM-3 Block IIA</x:v>
      </x:c>
      <x:c r="F888" s="30" t="n">
        <x:v>2</x:v>
      </x:c>
      <x:c r="G888" s="30" t="str">
        <x:v>Present</x:v>
      </x:c>
      <x:c r="H888" s="30" t="str">
        <x:v>Present</x:v>
      </x:c>
      <x:c r="I888" s="30" t="str">
        <x:v>OK</x:v>
      </x:c>
    </x:row>
    <x:row r="889" ht="72" customHeight="1">
      <x:c r="A889" s="30" t="n">
        <x:v>8</x:v>
      </x:c>
      <x:c r="B889" s="30" t="str">
        <x:v>US</x:v>
      </x:c>
      <x:c r="C889" s="30" t="str">
        <x:v>RTX (Raytheon)</x:v>
      </x:c>
      <x:c r="D889" s="30" t="str">
        <x:v>Missiles</x:v>
      </x:c>
      <x:c r="E889" s="30" t="str">
        <x:v>SM-6</x:v>
      </x:c>
      <x:c r="F889" s="30" t="n">
        <x:v>1</x:v>
      </x:c>
      <x:c r="G889" s="30" t="str">
        <x:v>Present</x:v>
      </x:c>
      <x:c r="H889" s="30" t="str">
        <x:v>Present</x:v>
      </x:c>
      <x:c r="I889" s="30" t="str">
        <x:v>Limited/configuration-dependent public specifications</x:v>
      </x:c>
    </x:row>
    <x:row r="890" ht="72" customHeight="1">
      <x:c r="A890" s="30" t="n">
        <x:v>8</x:v>
      </x:c>
      <x:c r="B890" s="30" t="str">
        <x:v>US</x:v>
      </x:c>
      <x:c r="C890" s="30" t="str">
        <x:v>RTX (Raytheon)</x:v>
      </x:c>
      <x:c r="D890" s="30" t="str">
        <x:v>Missiles</x:v>
      </x:c>
      <x:c r="E890" s="30" t="str">
        <x:v>StormBreaker Smart Weapon</x:v>
      </x:c>
      <x:c r="F890" s="30" t="n">
        <x:v>2</x:v>
      </x:c>
      <x:c r="G890" s="30" t="str">
        <x:v>Present</x:v>
      </x:c>
      <x:c r="H890" s="30" t="str">
        <x:v>Present</x:v>
      </x:c>
      <x:c r="I890" s="30" t="str">
        <x:v>OK</x:v>
      </x:c>
    </x:row>
    <x:row r="891" ht="72" customHeight="1">
      <x:c r="A891" s="30" t="n">
        <x:v>8</x:v>
      </x:c>
      <x:c r="B891" s="30" t="str">
        <x:v>US</x:v>
      </x:c>
      <x:c r="C891" s="30" t="str">
        <x:v>RTX (Raytheon)</x:v>
      </x:c>
      <x:c r="D891" s="30" t="str">
        <x:v>Missiles</x:v>
      </x:c>
      <x:c r="E891" s="30" t="str">
        <x:v>Tomahawk Block V / Va / Vb</x:v>
      </x:c>
      <x:c r="F891" s="30" t="n">
        <x:v>2</x:v>
      </x:c>
      <x:c r="G891" s="30" t="str">
        <x:v>Present</x:v>
      </x:c>
      <x:c r="H891" s="30" t="str">
        <x:v>Present</x:v>
      </x:c>
      <x:c r="I891" s="30" t="str">
        <x:v>OK</x:v>
      </x:c>
    </x:row>
    <x:row r="892" ht="72" customHeight="1">
      <x:c r="A892" s="30" t="n">
        <x:v>8</x:v>
      </x:c>
      <x:c r="B892" s="30" t="str">
        <x:v>US</x:v>
      </x:c>
      <x:c r="C892" s="30" t="str">
        <x:v>RTX (Raytheon)</x:v>
      </x:c>
      <x:c r="D892" s="30" t="str">
        <x:v>Missiles</x:v>
      </x:c>
      <x:c r="E892" s="30" t="str">
        <x:v>TOW 2B / TOW 2A Family</x:v>
      </x:c>
      <x:c r="F892" s="30" t="n">
        <x:v>1</x:v>
      </x:c>
      <x:c r="G892" s="30" t="str">
        <x:v>Present</x:v>
      </x:c>
      <x:c r="H892" s="30" t="str">
        <x:v>Present</x:v>
      </x:c>
      <x:c r="I892" s="30" t="str">
        <x:v>Family/system/component-level entry — review if exact-model-only view is needed</x:v>
      </x:c>
    </x:row>
    <x:row r="893" ht="72" customHeight="1">
      <x:c r="A893" s="30" t="n">
        <x:v>8</x:v>
      </x:c>
      <x:c r="B893" s="30" t="str">
        <x:v>Sweden</x:v>
      </x:c>
      <x:c r="C893" s="30" t="str">
        <x:v>SAAB</x:v>
      </x:c>
      <x:c r="D893" s="30" t="str">
        <x:v>Ammunition</x:v>
      </x:c>
      <x:c r="E893" s="30" t="str">
        <x:v>AT4CS AST</x:v>
      </x:c>
      <x:c r="F893" s="30" t="n">
        <x:v>1</x:v>
      </x:c>
      <x:c r="G893" s="30" t="str">
        <x:v>Present</x:v>
      </x:c>
      <x:c r="H893" s="30" t="str">
        <x:v>Present</x:v>
      </x:c>
      <x:c r="I893" s="30" t="str">
        <x:v>OK</x:v>
      </x:c>
    </x:row>
    <x:row r="894" ht="72" customHeight="1">
      <x:c r="A894" s="30" t="n">
        <x:v>8</x:v>
      </x:c>
      <x:c r="B894" s="30" t="str">
        <x:v>Sweden</x:v>
      </x:c>
      <x:c r="C894" s="30" t="str">
        <x:v>SAAB</x:v>
      </x:c>
      <x:c r="D894" s="30" t="str">
        <x:v>Ammunition</x:v>
      </x:c>
      <x:c r="E894" s="30" t="str">
        <x:v>AT4CS ER</x:v>
      </x:c>
      <x:c r="F894" s="30" t="n">
        <x:v>1</x:v>
      </x:c>
      <x:c r="G894" s="30" t="str">
        <x:v>Present</x:v>
      </x:c>
      <x:c r="H894" s="30" t="str">
        <x:v>Present</x:v>
      </x:c>
      <x:c r="I894" s="30" t="str">
        <x:v>OK</x:v>
      </x:c>
    </x:row>
    <x:row r="895" ht="72" customHeight="1">
      <x:c r="A895" s="30" t="n">
        <x:v>8</x:v>
      </x:c>
      <x:c r="B895" s="30" t="str">
        <x:v>Sweden</x:v>
      </x:c>
      <x:c r="C895" s="30" t="str">
        <x:v>SAAB</x:v>
      </x:c>
      <x:c r="D895" s="30" t="str">
        <x:v>Ammunition</x:v>
      </x:c>
      <x:c r="E895" s="30" t="str">
        <x:v>AT4CS HE</x:v>
      </x:c>
      <x:c r="F895" s="30" t="n">
        <x:v>1</x:v>
      </x:c>
      <x:c r="G895" s="30" t="str">
        <x:v>Present</x:v>
      </x:c>
      <x:c r="H895" s="30" t="str">
        <x:v>Present</x:v>
      </x:c>
      <x:c r="I895" s="30" t="str">
        <x:v>OK</x:v>
      </x:c>
    </x:row>
    <x:row r="896" ht="72" customHeight="1">
      <x:c r="A896" s="30" t="n">
        <x:v>8</x:v>
      </x:c>
      <x:c r="B896" s="30" t="str">
        <x:v>Sweden</x:v>
      </x:c>
      <x:c r="C896" s="30" t="str">
        <x:v>SAAB</x:v>
      </x:c>
      <x:c r="D896" s="30" t="str">
        <x:v>Ammunition</x:v>
      </x:c>
      <x:c r="E896" s="30" t="str">
        <x:v>Carl-Gustaf ADM 401</x:v>
      </x:c>
      <x:c r="F896" s="30" t="n">
        <x:v>1</x:v>
      </x:c>
      <x:c r="G896" s="30" t="str">
        <x:v>Present</x:v>
      </x:c>
      <x:c r="H896" s="30" t="str">
        <x:v>Present</x:v>
      </x:c>
      <x:c r="I896" s="30" t="str">
        <x:v>OK</x:v>
      </x:c>
    </x:row>
    <x:row r="897" ht="72" customHeight="1">
      <x:c r="A897" s="30" t="n">
        <x:v>8</x:v>
      </x:c>
      <x:c r="B897" s="30" t="str">
        <x:v>Sweden</x:v>
      </x:c>
      <x:c r="C897" s="30" t="str">
        <x:v>SAAB</x:v>
      </x:c>
      <x:c r="D897" s="30" t="str">
        <x:v>Ammunition</x:v>
      </x:c>
      <x:c r="E897" s="30" t="str">
        <x:v>Carl-Gustaf HE 441D / 441D RS</x:v>
      </x:c>
      <x:c r="F897" s="30" t="n">
        <x:v>2</x:v>
      </x:c>
      <x:c r="G897" s="30" t="str">
        <x:v>Present</x:v>
      </x:c>
      <x:c r="H897" s="30" t="str">
        <x:v>Present</x:v>
      </x:c>
      <x:c r="I897" s="30" t="str">
        <x:v>OK</x:v>
      </x:c>
    </x:row>
    <x:row r="898" ht="72" customHeight="1">
      <x:c r="A898" s="30" t="n">
        <x:v>8</x:v>
      </x:c>
      <x:c r="B898" s="30" t="str">
        <x:v>Sweden</x:v>
      </x:c>
      <x:c r="C898" s="30" t="str">
        <x:v>SAAB</x:v>
      </x:c>
      <x:c r="D898" s="30" t="str">
        <x:v>Ammunition</x:v>
      </x:c>
      <x:c r="E898" s="30" t="str">
        <x:v>Carl-Gustaf HEAT 551 / 551C RS</x:v>
      </x:c>
      <x:c r="F898" s="30" t="n">
        <x:v>1</x:v>
      </x:c>
      <x:c r="G898" s="30" t="str">
        <x:v>Present</x:v>
      </x:c>
      <x:c r="H898" s="30" t="str">
        <x:v>Present</x:v>
      </x:c>
      <x:c r="I898" s="30" t="str">
        <x:v>OK</x:v>
      </x:c>
    </x:row>
    <x:row r="899" ht="72" customHeight="1">
      <x:c r="A899" s="30" t="n">
        <x:v>8</x:v>
      </x:c>
      <x:c r="B899" s="30" t="str">
        <x:v>Sweden</x:v>
      </x:c>
      <x:c r="C899" s="30" t="str">
        <x:v>SAAB</x:v>
      </x:c>
      <x:c r="D899" s="30" t="str">
        <x:v>Ammunition</x:v>
      </x:c>
      <x:c r="E899" s="30" t="str">
        <x:v>Carl-Gustaf HEDP 502 / 502 RS</x:v>
      </x:c>
      <x:c r="F899" s="30" t="n">
        <x:v>1</x:v>
      </x:c>
      <x:c r="G899" s="30" t="str">
        <x:v>Present</x:v>
      </x:c>
      <x:c r="H899" s="30" t="str">
        <x:v>Present</x:v>
      </x:c>
      <x:c r="I899" s="30" t="str">
        <x:v>OK</x:v>
      </x:c>
    </x:row>
    <x:row r="900" ht="72" customHeight="1">
      <x:c r="A900" s="30" t="n">
        <x:v>8</x:v>
      </x:c>
      <x:c r="B900" s="30" t="str">
        <x:v>Sweden</x:v>
      </x:c>
      <x:c r="C900" s="30" t="str">
        <x:v>SAAB</x:v>
      </x:c>
      <x:c r="D900" s="30" t="str">
        <x:v>Ammunition</x:v>
      </x:c>
      <x:c r="E900" s="30" t="str">
        <x:v>Carl-Gustaf SMOKE 469C</x:v>
      </x:c>
      <x:c r="F900" s="30" t="n">
        <x:v>1</x:v>
      </x:c>
      <x:c r="G900" s="30" t="str">
        <x:v>Present</x:v>
      </x:c>
      <x:c r="H900" s="30" t="str">
        <x:v>Present</x:v>
      </x:c>
      <x:c r="I900" s="30" t="str">
        <x:v>OK</x:v>
      </x:c>
    </x:row>
    <x:row r="901" ht="72" customHeight="1">
      <x:c r="A901" s="30" t="n">
        <x:v>8</x:v>
      </x:c>
      <x:c r="B901" s="30" t="str">
        <x:v>Sweden</x:v>
      </x:c>
      <x:c r="C901" s="30" t="str">
        <x:v>SAAB</x:v>
      </x:c>
      <x:c r="D901" s="30" t="str">
        <x:v>Small Arms</x:v>
      </x:c>
      <x:c r="E901" s="30" t="str">
        <x:v>Carl-Gustaf M4 Recoilless Rifle</x:v>
      </x:c>
      <x:c r="F901" s="30" t="n">
        <x:v>1</x:v>
      </x:c>
      <x:c r="G901" s="30" t="str">
        <x:v>Present</x:v>
      </x:c>
      <x:c r="H901" s="30" t="str">
        <x:v>Present</x:v>
      </x:c>
      <x:c r="I901" s="30" t="str">
        <x:v>OK</x:v>
      </x:c>
    </x:row>
    <x:row r="902" ht="72" customHeight="1">
      <x:c r="A902" s="30" t="n">
        <x:v>8</x:v>
      </x:c>
      <x:c r="B902" s="30" t="str">
        <x:v>Sweden</x:v>
      </x:c>
      <x:c r="C902" s="30" t="str">
        <x:v>SAAB</x:v>
      </x:c>
      <x:c r="D902" s="30" t="str">
        <x:v>Marine/Naval</x:v>
      </x:c>
      <x:c r="E902" s="30" t="str">
        <x:v>Blekinge-class / A26 Submarine</x:v>
      </x:c>
      <x:c r="F902" s="30" t="n">
        <x:v>1</x:v>
      </x:c>
      <x:c r="G902" s="30" t="str">
        <x:v>Present</x:v>
      </x:c>
      <x:c r="H902" s="30" t="str">
        <x:v>Present</x:v>
      </x:c>
      <x:c r="I902" s="30" t="str">
        <x:v>OK</x:v>
      </x:c>
    </x:row>
    <x:row r="903" ht="72" customHeight="1">
      <x:c r="A903" s="30" t="n">
        <x:v>8</x:v>
      </x:c>
      <x:c r="B903" s="30" t="str">
        <x:v>Sweden</x:v>
      </x:c>
      <x:c r="C903" s="30" t="str">
        <x:v>SAAB</x:v>
      </x:c>
      <x:c r="D903" s="30" t="str">
        <x:v>Marine/Naval</x:v>
      </x:c>
      <x:c r="E903" s="30" t="str">
        <x:v>CB90 Next Generation / CB90HSM</x:v>
      </x:c>
      <x:c r="F903" s="30" t="n">
        <x:v>1</x:v>
      </x:c>
      <x:c r="G903" s="30" t="str">
        <x:v>Present</x:v>
      </x:c>
      <x:c r="H903" s="30" t="str">
        <x:v>Present</x:v>
      </x:c>
      <x:c r="I903" s="30" t="str">
        <x:v>OK</x:v>
      </x:c>
    </x:row>
    <x:row r="904" ht="72" customHeight="1">
      <x:c r="A904" s="30" t="n">
        <x:v>8</x:v>
      </x:c>
      <x:c r="B904" s="30" t="str">
        <x:v>Sweden</x:v>
      </x:c>
      <x:c r="C904" s="30" t="str">
        <x:v>SAAB</x:v>
      </x:c>
      <x:c r="D904" s="30" t="str">
        <x:v>Marine/Naval</x:v>
      </x:c>
      <x:c r="E904" s="30" t="str">
        <x:v>Gotland-class Submarine MLU</x:v>
      </x:c>
      <x:c r="F904" s="30" t="n">
        <x:v>1</x:v>
      </x:c>
      <x:c r="G904" s="30" t="str">
        <x:v>Present</x:v>
      </x:c>
      <x:c r="H904" s="30" t="str">
        <x:v>Present</x:v>
      </x:c>
      <x:c r="I904" s="30" t="str">
        <x:v>OK</x:v>
      </x:c>
    </x:row>
    <x:row r="905" ht="72" customHeight="1">
      <x:c r="A905" s="30" t="n">
        <x:v>8</x:v>
      </x:c>
      <x:c r="B905" s="30" t="str">
        <x:v>Sweden</x:v>
      </x:c>
      <x:c r="C905" s="30" t="str">
        <x:v>SAAB</x:v>
      </x:c>
      <x:c r="D905" s="30" t="str">
        <x:v>Marine/Naval</x:v>
      </x:c>
      <x:c r="E905" s="30" t="str">
        <x:v>Saab Lightweight Torpedo (Torpedo 47)</x:v>
      </x:c>
      <x:c r="F905" s="30" t="n">
        <x:v>2</x:v>
      </x:c>
      <x:c r="G905" s="30" t="str">
        <x:v>Present</x:v>
      </x:c>
      <x:c r="H905" s="30" t="str">
        <x:v>Present</x:v>
      </x:c>
      <x:c r="I905" s="30" t="str">
        <x:v>Limited/configuration-dependent public specifications</x:v>
      </x:c>
    </x:row>
    <x:row r="906" ht="72" customHeight="1">
      <x:c r="A906" s="30" t="n">
        <x:v>8</x:v>
      </x:c>
      <x:c r="B906" s="30" t="str">
        <x:v>Sweden</x:v>
      </x:c>
      <x:c r="C906" s="30" t="str">
        <x:v>SAAB</x:v>
      </x:c>
      <x:c r="D906" s="30" t="str">
        <x:v>Marine/Naval</x:v>
      </x:c>
      <x:c r="E906" s="30" t="str">
        <x:v>Visby-class Corvette</x:v>
      </x:c>
      <x:c r="F906" s="30" t="n">
        <x:v>1</x:v>
      </x:c>
      <x:c r="G906" s="30" t="str">
        <x:v>Present</x:v>
      </x:c>
      <x:c r="H906" s="30" t="str">
        <x:v>Present</x:v>
      </x:c>
      <x:c r="I906" s="30" t="str">
        <x:v>OK</x:v>
      </x:c>
    </x:row>
    <x:row r="907" ht="72" customHeight="1">
      <x:c r="A907" s="30" t="n">
        <x:v>8</x:v>
      </x:c>
      <x:c r="B907" s="30" t="str">
        <x:v>Sweden</x:v>
      </x:c>
      <x:c r="C907" s="30" t="str">
        <x:v>SAAB</x:v>
      </x:c>
      <x:c r="D907" s="30" t="str">
        <x:v>UAVs/Drones</x:v>
      </x:c>
      <x:c r="E907" s="30" t="str">
        <x:v>SKELDAR V-200</x:v>
      </x:c>
      <x:c r="F907" s="30" t="n">
        <x:v>1</x:v>
      </x:c>
      <x:c r="G907" s="30" t="str">
        <x:v>Present</x:v>
      </x:c>
      <x:c r="H907" s="30" t="str">
        <x:v>Present</x:v>
      </x:c>
      <x:c r="I907" s="30" t="str">
        <x:v>OK</x:v>
      </x:c>
    </x:row>
    <x:row r="908" ht="72" customHeight="1">
      <x:c r="A908" s="30" t="n">
        <x:v>8</x:v>
      </x:c>
      <x:c r="B908" s="30" t="str">
        <x:v>Sweden</x:v>
      </x:c>
      <x:c r="C908" s="30" t="str">
        <x:v>SAAB</x:v>
      </x:c>
      <x:c r="D908" s="30" t="str">
        <x:v>Missiles</x:v>
      </x:c>
      <x:c r="E908" s="30" t="str">
        <x:v>NLAW</x:v>
      </x:c>
      <x:c r="F908" s="30" t="n">
        <x:v>1</x:v>
      </x:c>
      <x:c r="G908" s="30" t="str">
        <x:v>Present</x:v>
      </x:c>
      <x:c r="H908" s="30" t="str">
        <x:v>Present</x:v>
      </x:c>
      <x:c r="I908" s="30" t="str">
        <x:v>OK</x:v>
      </x:c>
    </x:row>
    <x:row r="909" ht="72" customHeight="1">
      <x:c r="A909" s="30" t="n">
        <x:v>8</x:v>
      </x:c>
      <x:c r="B909" s="30" t="str">
        <x:v>Sweden</x:v>
      </x:c>
      <x:c r="C909" s="30" t="str">
        <x:v>SAAB</x:v>
      </x:c>
      <x:c r="D909" s="30" t="str">
        <x:v>Missiles</x:v>
      </x:c>
      <x:c r="E909" s="30" t="str">
        <x:v>RBS 70 NG / BOLIDE</x:v>
      </x:c>
      <x:c r="F909" s="30" t="n">
        <x:v>1</x:v>
      </x:c>
      <x:c r="G909" s="30" t="str">
        <x:v>Present</x:v>
      </x:c>
      <x:c r="H909" s="30" t="str">
        <x:v>Present</x:v>
      </x:c>
      <x:c r="I909" s="30" t="str">
        <x:v>OK</x:v>
      </x:c>
    </x:row>
    <x:row r="910" ht="72" customHeight="1">
      <x:c r="A910" s="30" t="n">
        <x:v>8</x:v>
      </x:c>
      <x:c r="B910" s="30" t="str">
        <x:v>Sweden</x:v>
      </x:c>
      <x:c r="C910" s="30" t="str">
        <x:v>SAAB</x:v>
      </x:c>
      <x:c r="D910" s="30" t="str">
        <x:v>Missiles</x:v>
      </x:c>
      <x:c r="E910" s="30" t="str">
        <x:v>RBS15 Gungnir / Mk4</x:v>
      </x:c>
      <x:c r="F910" s="30" t="n">
        <x:v>2</x:v>
      </x:c>
      <x:c r="G910" s="30" t="str">
        <x:v>Present</x:v>
      </x:c>
      <x:c r="H910" s="30" t="str">
        <x:v>Present</x:v>
      </x:c>
      <x:c r="I910" s="30" t="str">
        <x:v>OK</x:v>
      </x:c>
    </x:row>
    <x:row r="911" ht="72" customHeight="1">
      <x:c r="A911" s="30" t="n">
        <x:v>8</x:v>
      </x:c>
      <x:c r="B911" s="30" t="str">
        <x:v>Sweden</x:v>
      </x:c>
      <x:c r="C911" s="30" t="str">
        <x:v>SAAB</x:v>
      </x:c>
      <x:c r="D911" s="30" t="str">
        <x:v>Missiles</x:v>
      </x:c>
      <x:c r="E911" s="30" t="str">
        <x:v>RBS15 Mk3</x:v>
      </x:c>
      <x:c r="F911" s="30" t="n">
        <x:v>1</x:v>
      </x:c>
      <x:c r="G911" s="30" t="str">
        <x:v>Present</x:v>
      </x:c>
      <x:c r="H911" s="30" t="str">
        <x:v>Present</x:v>
      </x:c>
      <x:c r="I911" s="30" t="str">
        <x:v>OK</x:v>
      </x:c>
    </x:row>
    <x:row r="912" ht="72" customHeight="1">
      <x:c r="A912" s="30" t="n">
        <x:v>8</x:v>
      </x:c>
      <x:c r="B912" s="30" t="str">
        <x:v>Germany</x:v>
      </x:c>
      <x:c r="C912" s="30" t="str">
        <x:v>Thyssenkrupp Marine Systems</x:v>
      </x:c>
      <x:c r="D912" s="30" t="str">
        <x:v>Marine/Naval</x:v>
      </x:c>
      <x:c r="E912" s="30" t="str">
        <x:v>ARCIMS Unmanned Surface System</x:v>
      </x:c>
      <x:c r="F912" s="30" t="n">
        <x:v>1</x:v>
      </x:c>
      <x:c r="G912" s="30" t="str">
        <x:v>Present</x:v>
      </x:c>
      <x:c r="H912" s="30" t="str">
        <x:v>Present</x:v>
      </x:c>
      <x:c r="I912" s="30" t="str">
        <x:v>Family/system/component-level entry — review if exact-model-only view is needed</x:v>
      </x:c>
    </x:row>
    <x:row r="913" ht="72" customHeight="1">
      <x:c r="A913" s="30" t="n">
        <x:v>8</x:v>
      </x:c>
      <x:c r="B913" s="30" t="str">
        <x:v>Germany</x:v>
      </x:c>
      <x:c r="C913" s="30" t="str">
        <x:v>Thyssenkrupp Marine Systems</x:v>
      </x:c>
      <x:c r="D913" s="30" t="str">
        <x:v>Marine/Naval</x:v>
      </x:c>
      <x:c r="E913" s="30" t="str">
        <x:v>HDW Class 209 / 1400mod</x:v>
      </x:c>
      <x:c r="F913" s="30" t="n">
        <x:v>1</x:v>
      </x:c>
      <x:c r="G913" s="30" t="str">
        <x:v>Present</x:v>
      </x:c>
      <x:c r="H913" s="30" t="str">
        <x:v>Present</x:v>
      </x:c>
      <x:c r="I913" s="30" t="str">
        <x:v>OK</x:v>
      </x:c>
    </x:row>
    <x:row r="914" ht="72" customHeight="1">
      <x:c r="A914" s="30" t="n">
        <x:v>8</x:v>
      </x:c>
      <x:c r="B914" s="30" t="str">
        <x:v>Germany</x:v>
      </x:c>
      <x:c r="C914" s="30" t="str">
        <x:v>Thyssenkrupp Marine Systems</x:v>
      </x:c>
      <x:c r="D914" s="30" t="str">
        <x:v>Marine/Naval</x:v>
      </x:c>
      <x:c r="E914" s="30" t="str">
        <x:v>HDW Class 212A Submarine</x:v>
      </x:c>
      <x:c r="F914" s="30" t="n">
        <x:v>1</x:v>
      </x:c>
      <x:c r="G914" s="30" t="str">
        <x:v>Present</x:v>
      </x:c>
      <x:c r="H914" s="30" t="str">
        <x:v>Present</x:v>
      </x:c>
      <x:c r="I914" s="30" t="str">
        <x:v>OK</x:v>
      </x:c>
    </x:row>
    <x:row r="915" ht="72" customHeight="1">
      <x:c r="A915" s="30" t="n">
        <x:v>8</x:v>
      </x:c>
      <x:c r="B915" s="30" t="str">
        <x:v>Germany</x:v>
      </x:c>
      <x:c r="C915" s="30" t="str">
        <x:v>Thyssenkrupp Marine Systems</x:v>
      </x:c>
      <x:c r="D915" s="30" t="str">
        <x:v>Marine/Naval</x:v>
      </x:c>
      <x:c r="E915" s="30" t="str">
        <x:v>HDW Class 212CD Submarine</x:v>
      </x:c>
      <x:c r="F915" s="30" t="n">
        <x:v>2</x:v>
      </x:c>
      <x:c r="G915" s="30" t="str">
        <x:v>Present</x:v>
      </x:c>
      <x:c r="H915" s="30" t="str">
        <x:v>Present</x:v>
      </x:c>
      <x:c r="I915" s="30" t="str">
        <x:v>OK</x:v>
      </x:c>
    </x:row>
    <x:row r="916" ht="72" customHeight="1">
      <x:c r="A916" s="30" t="n">
        <x:v>8</x:v>
      </x:c>
      <x:c r="B916" s="30" t="str">
        <x:v>Germany</x:v>
      </x:c>
      <x:c r="C916" s="30" t="str">
        <x:v>Thyssenkrupp Marine Systems</x:v>
      </x:c>
      <x:c r="D916" s="30" t="str">
        <x:v>Marine/Naval</x:v>
      </x:c>
      <x:c r="E916" s="30" t="str">
        <x:v>HDW Class 214 Submarine</x:v>
      </x:c>
      <x:c r="F916" s="30" t="n">
        <x:v>1</x:v>
      </x:c>
      <x:c r="G916" s="30" t="str">
        <x:v>Present</x:v>
      </x:c>
      <x:c r="H916" s="30" t="str">
        <x:v>Present</x:v>
      </x:c>
      <x:c r="I916" s="30" t="str">
        <x:v>OK</x:v>
      </x:c>
    </x:row>
    <x:row r="917" ht="72" customHeight="1">
      <x:c r="A917" s="30" t="n">
        <x:v>8</x:v>
      </x:c>
      <x:c r="B917" s="30" t="str">
        <x:v>Germany</x:v>
      </x:c>
      <x:c r="C917" s="30" t="str">
        <x:v>Thyssenkrupp Marine Systems</x:v>
      </x:c>
      <x:c r="D917" s="30" t="str">
        <x:v>Marine/Naval</x:v>
      </x:c>
      <x:c r="E917" s="30" t="str">
        <x:v>HDW Class 218SG Submarine</x:v>
      </x:c>
      <x:c r="F917" s="30" t="n">
        <x:v>1</x:v>
      </x:c>
      <x:c r="G917" s="30" t="str">
        <x:v>Present</x:v>
      </x:c>
      <x:c r="H917" s="30" t="str">
        <x:v>Present</x:v>
      </x:c>
      <x:c r="I917" s="30" t="str">
        <x:v>OK</x:v>
      </x:c>
    </x:row>
    <x:row r="918" ht="72" customHeight="1">
      <x:c r="A918" s="30" t="n">
        <x:v>8</x:v>
      </x:c>
      <x:c r="B918" s="30" t="str">
        <x:v>Germany</x:v>
      </x:c>
      <x:c r="C918" s="30" t="str">
        <x:v>Thyssenkrupp Marine Systems</x:v>
      </x:c>
      <x:c r="D918" s="30" t="str">
        <x:v>Marine/Naval</x:v>
      </x:c>
      <x:c r="E918" s="30" t="str">
        <x:v>MEKO A-100 Corvette</x:v>
      </x:c>
      <x:c r="F918" s="30" t="n">
        <x:v>1</x:v>
      </x:c>
      <x:c r="G918" s="30" t="str">
        <x:v>Present</x:v>
      </x:c>
      <x:c r="H918" s="30" t="str">
        <x:v>Present</x:v>
      </x:c>
      <x:c r="I918" s="30" t="str">
        <x:v>OK</x:v>
      </x:c>
    </x:row>
    <x:row r="919" ht="72" customHeight="1">
      <x:c r="A919" s="30" t="n">
        <x:v>8</x:v>
      </x:c>
      <x:c r="B919" s="30" t="str">
        <x:v>Germany</x:v>
      </x:c>
      <x:c r="C919" s="30" t="str">
        <x:v>Thyssenkrupp Marine Systems</x:v>
      </x:c>
      <x:c r="D919" s="30" t="str">
        <x:v>Marine/Naval</x:v>
      </x:c>
      <x:c r="E919" s="30" t="str">
        <x:v>MEKO A-200 Frigate</x:v>
      </x:c>
      <x:c r="F919" s="30" t="n">
        <x:v>1</x:v>
      </x:c>
      <x:c r="G919" s="30" t="str">
        <x:v>Present</x:v>
      </x:c>
      <x:c r="H919" s="30" t="str">
        <x:v>Present</x:v>
      </x:c>
      <x:c r="I919" s="30" t="str">
        <x:v>OK</x:v>
      </x:c>
    </x:row>
    <x:row r="920" ht="72" customHeight="1">
      <x:c r="A920" s="30" t="n">
        <x:v>8</x:v>
      </x:c>
      <x:c r="B920" s="30" t="str">
        <x:v>Germany</x:v>
      </x:c>
      <x:c r="C920" s="30" t="str">
        <x:v>Thyssenkrupp Marine Systems</x:v>
      </x:c>
      <x:c r="D920" s="30" t="str">
        <x:v>Marine/Naval</x:v>
      </x:c>
      <x:c r="E920" s="30" t="str">
        <x:v>MEKO A-400 AMD Frigate</x:v>
      </x:c>
      <x:c r="F920" s="30" t="n">
        <x:v>2</x:v>
      </x:c>
      <x:c r="G920" s="30" t="str">
        <x:v>Present</x:v>
      </x:c>
      <x:c r="H920" s="30" t="str">
        <x:v>Present</x:v>
      </x:c>
      <x:c r="I920" s="30" t="str">
        <x:v>OK</x:v>
      </x:c>
    </x:row>
    <x:row r="921" ht="72" customHeight="1">
      <x:c r="A921" s="30" t="n">
        <x:v>8</x:v>
      </x:c>
      <x:c r="B921" s="30" t="str">
        <x:v>Germany</x:v>
      </x:c>
      <x:c r="C921" s="30" t="str">
        <x:v>Thyssenkrupp Marine Systems</x:v>
      </x:c>
      <x:c r="D921" s="30" t="str">
        <x:v>Marine/Naval</x:v>
      </x:c>
      <x:c r="E921" s="30" t="str">
        <x:v>MEKO S-X Semi-Submersible</x:v>
      </x:c>
      <x:c r="F921" s="30" t="n">
        <x:v>1</x:v>
      </x:c>
      <x:c r="G921" s="30" t="str">
        <x:v>Present</x:v>
      </x:c>
      <x:c r="H921" s="30" t="str">
        <x:v>Present</x:v>
      </x:c>
      <x:c r="I921" s="30" t="str">
        <x:v>OK</x:v>
      </x:c>
    </x:row>
    <x:row r="922" ht="72" customHeight="1">
      <x:c r="A922" s="30" t="n">
        <x:v>8</x:v>
      </x:c>
      <x:c r="B922" s="30" t="str">
        <x:v>Germany</x:v>
      </x:c>
      <x:c r="C922" s="30" t="str">
        <x:v>Thyssenkrupp Marine Systems</x:v>
      </x:c>
      <x:c r="D922" s="30" t="str">
        <x:v>Marine/Naval</x:v>
      </x:c>
      <x:c r="E922" s="30" t="str">
        <x:v>SeaHake mod4 / DM2A4 Heavyweight Torpedo</x:v>
      </x:c>
      <x:c r="F922" s="30" t="n">
        <x:v>1</x:v>
      </x:c>
      <x:c r="G922" s="30" t="str">
        <x:v>Present</x:v>
      </x:c>
      <x:c r="H922" s="30" t="str">
        <x:v>Present</x:v>
      </x:c>
      <x:c r="I922" s="30" t="str">
        <x:v>OK</x:v>
      </x:c>
    </x:row>
    <x:row r="923" ht="72" customHeight="1">
      <x:c r="A923" s="30" t="n">
        <x:v>8</x:v>
      </x:c>
      <x:c r="B923" s="30" t="str">
        <x:v>Germany</x:v>
      </x:c>
      <x:c r="C923" s="30" t="str">
        <x:v>Thyssenkrupp Marine Systems</x:v>
      </x:c>
      <x:c r="D923" s="30" t="str">
        <x:v>Marine/Naval</x:v>
      </x:c>
      <x:c r="E923" s="30" t="str">
        <x:v>SeaSpider Anti-Torpedo Torpedo</x:v>
      </x:c>
      <x:c r="F923" s="30" t="n">
        <x:v>1</x:v>
      </x:c>
      <x:c r="G923" s="30" t="str">
        <x:v>Present</x:v>
      </x:c>
      <x:c r="H923" s="30" t="str">
        <x:v>Present</x:v>
      </x:c>
      <x:c r="I923" s="30" t="str">
        <x:v>Limited/configuration-dependent public specifications</x:v>
      </x:c>
    </x:row>
    <x:row r="924" ht="72" customHeight="1">
      <x:c r="A924" s="30" t="n">
        <x:v>8</x:v>
      </x:c>
      <x:c r="B924" s="30" t="str">
        <x:v>Germany</x:v>
      </x:c>
      <x:c r="C924" s="30" t="str">
        <x:v>Thyssenkrupp Marine Systems</x:v>
      </x:c>
      <x:c r="D924" s="30" t="str">
        <x:v>Marine/Naval</x:v>
      </x:c>
      <x:c r="E924" s="30" t="str">
        <x:v>Stargazer AUV</x:v>
      </x:c>
      <x:c r="F924" s="30" t="n">
        <x:v>1</x:v>
      </x:c>
      <x:c r="G924" s="30" t="str">
        <x:v>Present</x:v>
      </x:c>
      <x:c r="H924" s="30" t="str">
        <x:v>Present</x:v>
      </x:c>
      <x:c r="I924" s="30" t="str">
        <x:v>OK</x:v>
      </x:c>
    </x:row>
    <x:row r="925" ht="72" customHeight="1">
      <x:c r="A925" s="30" t="n">
        <x:v>8</x:v>
      </x:c>
      <x:c r="B925" s="30" t="str">
        <x:v>France</x:v>
      </x:c>
      <x:c r="C925" s="30" t="str">
        <x:v>Naval Group</x:v>
      </x:c>
      <x:c r="D925" s="30" t="str">
        <x:v>Marine/Naval</x:v>
      </x:c>
      <x:c r="E925" s="30" t="str">
        <x:v>Barracuda / Suffren-class SSN</x:v>
      </x:c>
      <x:c r="F925" s="30" t="n">
        <x:v>2</x:v>
      </x:c>
      <x:c r="G925" s="30" t="str">
        <x:v>Present</x:v>
      </x:c>
      <x:c r="H925" s="30" t="str">
        <x:v>Present</x:v>
      </x:c>
      <x:c r="I925" s="30" t="str">
        <x:v>OK</x:v>
      </x:c>
    </x:row>
    <x:row r="926" ht="72" customHeight="1">
      <x:c r="A926" s="30" t="n">
        <x:v>8</x:v>
      </x:c>
      <x:c r="B926" s="30" t="str">
        <x:v>France</x:v>
      </x:c>
      <x:c r="C926" s="30" t="str">
        <x:v>Naval Group</x:v>
      </x:c>
      <x:c r="D926" s="30" t="str">
        <x:v>Marine/Naval</x:v>
      </x:c>
      <x:c r="E926" s="30" t="str">
        <x:v>CANTO-S Anti-Torpedo Countermeasure</x:v>
      </x:c>
      <x:c r="F926" s="30" t="n">
        <x:v>1</x:v>
      </x:c>
      <x:c r="G926" s="30" t="str">
        <x:v>Present</x:v>
      </x:c>
      <x:c r="H926" s="30" t="str">
        <x:v>Present</x:v>
      </x:c>
      <x:c r="I926" s="30" t="str">
        <x:v>OK</x:v>
      </x:c>
    </x:row>
    <x:row r="927" ht="72" customHeight="1">
      <x:c r="A927" s="30" t="n">
        <x:v>8</x:v>
      </x:c>
      <x:c r="B927" s="30" t="str">
        <x:v>France</x:v>
      </x:c>
      <x:c r="C927" s="30" t="str">
        <x:v>Naval Group</x:v>
      </x:c>
      <x:c r="D927" s="30" t="str">
        <x:v>Marine/Naval</x:v>
      </x:c>
      <x:c r="E927" s="30" t="str">
        <x:v>CANTO-V Anti-Torpedo Countermeasure</x:v>
      </x:c>
      <x:c r="F927" s="30" t="n">
        <x:v>1</x:v>
      </x:c>
      <x:c r="G927" s="30" t="str">
        <x:v>Present</x:v>
      </x:c>
      <x:c r="H927" s="30" t="str">
        <x:v>Present</x:v>
      </x:c>
      <x:c r="I927" s="30" t="str">
        <x:v>OK</x:v>
      </x:c>
    </x:row>
    <x:row r="928" ht="72" customHeight="1">
      <x:c r="A928" s="30" t="n">
        <x:v>8</x:v>
      </x:c>
      <x:c r="B928" s="30" t="str">
        <x:v>France</x:v>
      </x:c>
      <x:c r="C928" s="30" t="str">
        <x:v>Naval Group</x:v>
      </x:c>
      <x:c r="D928" s="30" t="str">
        <x:v>Marine/Naval</x:v>
      </x:c>
      <x:c r="E928" s="30" t="str">
        <x:v>F21 Heavyweight Torpedo</x:v>
      </x:c>
      <x:c r="F928" s="30" t="n">
        <x:v>2</x:v>
      </x:c>
      <x:c r="G928" s="30" t="str">
        <x:v>Present</x:v>
      </x:c>
      <x:c r="H928" s="30" t="str">
        <x:v>Present</x:v>
      </x:c>
      <x:c r="I928" s="30" t="str">
        <x:v>OK</x:v>
      </x:c>
    </x:row>
    <x:row r="929" ht="72" customHeight="1">
      <x:c r="A929" s="30" t="n">
        <x:v>8</x:v>
      </x:c>
      <x:c r="B929" s="30" t="str">
        <x:v>France</x:v>
      </x:c>
      <x:c r="C929" s="30" t="str">
        <x:v>Naval Group</x:v>
      </x:c>
      <x:c r="D929" s="30" t="str">
        <x:v>Marine/Naval</x:v>
      </x:c>
      <x:c r="E929" s="30" t="str">
        <x:v>FDI / Defence &amp; Intervention Frigate</x:v>
      </x:c>
      <x:c r="F929" s="30" t="n">
        <x:v>2</x:v>
      </x:c>
      <x:c r="G929" s="30" t="str">
        <x:v>Present</x:v>
      </x:c>
      <x:c r="H929" s="30" t="str">
        <x:v>Present</x:v>
      </x:c>
      <x:c r="I929" s="30" t="str">
        <x:v>OK</x:v>
      </x:c>
    </x:row>
    <x:row r="930" ht="72" customHeight="1">
      <x:c r="A930" s="30" t="n">
        <x:v>8</x:v>
      </x:c>
      <x:c r="B930" s="30" t="str">
        <x:v>France</x:v>
      </x:c>
      <x:c r="C930" s="30" t="str">
        <x:v>Naval Group</x:v>
      </x:c>
      <x:c r="D930" s="30" t="str">
        <x:v>Marine/Naval</x:v>
      </x:c>
      <x:c r="E930" s="30" t="str">
        <x:v>FREMM DA Frigate</x:v>
      </x:c>
      <x:c r="F930" s="30" t="n">
        <x:v>2</x:v>
      </x:c>
      <x:c r="G930" s="30" t="str">
        <x:v>Present</x:v>
      </x:c>
      <x:c r="H930" s="30" t="str">
        <x:v>Present</x:v>
      </x:c>
      <x:c r="I930" s="30" t="str">
        <x:v>OK</x:v>
      </x:c>
    </x:row>
    <x:row r="931" ht="72" customHeight="1">
      <x:c r="A931" s="30" t="n">
        <x:v>8</x:v>
      </x:c>
      <x:c r="B931" s="30" t="str">
        <x:v>France</x:v>
      </x:c>
      <x:c r="C931" s="30" t="str">
        <x:v>Naval Group</x:v>
      </x:c>
      <x:c r="D931" s="30" t="str">
        <x:v>Marine/Naval</x:v>
      </x:c>
      <x:c r="E931" s="30" t="str">
        <x:v>Gowind Corvette</x:v>
      </x:c>
      <x:c r="F931" s="30" t="n">
        <x:v>1</x:v>
      </x:c>
      <x:c r="G931" s="30" t="str">
        <x:v>Present</x:v>
      </x:c>
      <x:c r="H931" s="30" t="str">
        <x:v>Present</x:v>
      </x:c>
      <x:c r="I931" s="30" t="str">
        <x:v>OK</x:v>
      </x:c>
    </x:row>
    <x:row r="932" ht="72" customHeight="1">
      <x:c r="A932" s="30" t="n">
        <x:v>8</x:v>
      </x:c>
      <x:c r="B932" s="30" t="str">
        <x:v>France</x:v>
      </x:c>
      <x:c r="C932" s="30" t="str">
        <x:v>Naval Group</x:v>
      </x:c>
      <x:c r="D932" s="30" t="str">
        <x:v>Marine/Naval</x:v>
      </x:c>
      <x:c r="E932" s="30" t="str">
        <x:v>MU90 Lightweight Torpedo</x:v>
      </x:c>
      <x:c r="F932" s="30" t="n">
        <x:v>2</x:v>
      </x:c>
      <x:c r="G932" s="30" t="str">
        <x:v>Present</x:v>
      </x:c>
      <x:c r="H932" s="30" t="str">
        <x:v>Present</x:v>
      </x:c>
      <x:c r="I932" s="30" t="str">
        <x:v>OK</x:v>
      </x:c>
    </x:row>
    <x:row r="933" ht="72" customHeight="1">
      <x:c r="A933" s="30" t="n">
        <x:v>8</x:v>
      </x:c>
      <x:c r="B933" s="30" t="str">
        <x:v>France</x:v>
      </x:c>
      <x:c r="C933" s="30" t="str">
        <x:v>Naval Group</x:v>
      </x:c>
      <x:c r="D933" s="30" t="str">
        <x:v>Marine/Naval</x:v>
      </x:c>
      <x:c r="E933" s="30" t="str">
        <x:v>Scorpène Conventional Attack Submarine</x:v>
      </x:c>
      <x:c r="F933" s="30" t="n">
        <x:v>2</x:v>
      </x:c>
      <x:c r="G933" s="30" t="str">
        <x:v>Present</x:v>
      </x:c>
      <x:c r="H933" s="30" t="str">
        <x:v>Present</x:v>
      </x:c>
      <x:c r="I933" s="30" t="str">
        <x:v>OK</x:v>
      </x:c>
    </x:row>
    <x:row r="934" ht="72" customHeight="1">
      <x:c r="A934" s="30" t="n">
        <x:v>8</x:v>
      </x:c>
      <x:c r="B934" s="30" t="str">
        <x:v>France</x:v>
      </x:c>
      <x:c r="C934" s="30" t="str">
        <x:v>Naval Group</x:v>
      </x:c>
      <x:c r="D934" s="30" t="str">
        <x:v>Marine/Naval</x:v>
      </x:c>
      <x:c r="E934" s="30" t="str">
        <x:v>Seagent M AUV</x:v>
      </x:c>
      <x:c r="F934" s="30" t="n">
        <x:v>1</x:v>
      </x:c>
      <x:c r="G934" s="30" t="str">
        <x:v>Present</x:v>
      </x:c>
      <x:c r="H934" s="30" t="str">
        <x:v>Present</x:v>
      </x:c>
      <x:c r="I934" s="30" t="str">
        <x:v>OK</x:v>
      </x:c>
    </x:row>
    <x:row r="935" ht="72" customHeight="1">
      <x:c r="A935" s="30" t="n">
        <x:v>8</x:v>
      </x:c>
      <x:c r="B935" s="30" t="str">
        <x:v>France</x:v>
      </x:c>
      <x:c r="C935" s="30" t="str">
        <x:v>Naval Group</x:v>
      </x:c>
      <x:c r="D935" s="30" t="str">
        <x:v>Marine/Naval</x:v>
      </x:c>
      <x:c r="E935" s="30" t="str">
        <x:v>Seagent XL Autonomous Underwater Combat System</x:v>
      </x:c>
      <x:c r="F935" s="30" t="n">
        <x:v>1</x:v>
      </x:c>
      <x:c r="G935" s="30" t="str">
        <x:v>Present</x:v>
      </x:c>
      <x:c r="H935" s="30" t="str">
        <x:v>Present</x:v>
      </x:c>
      <x:c r="I935" s="30" t="str">
        <x:v>Family/system/component-level entry — review if exact-model-only view is needed</x:v>
      </x:c>
    </x:row>
    <x:row r="936" ht="72" customHeight="1">
      <x:c r="A936" s="30" t="n">
        <x:v>8</x:v>
      </x:c>
      <x:c r="B936" s="30" t="str">
        <x:v>France</x:v>
      </x:c>
      <x:c r="C936" s="30" t="str">
        <x:v>Naval Group</x:v>
      </x:c>
      <x:c r="D936" s="30" t="str">
        <x:v>Marine/Naval</x:v>
      </x:c>
      <x:c r="E936" s="30" t="str">
        <x:v>Seaquest M / L USV</x:v>
      </x:c>
      <x:c r="F936" s="30" t="n">
        <x:v>1</x:v>
      </x:c>
      <x:c r="G936" s="30" t="str">
        <x:v>Present</x:v>
      </x:c>
      <x:c r="H936" s="30" t="str">
        <x:v>Present</x:v>
      </x:c>
      <x:c r="I936" s="30" t="str">
        <x:v>OK</x:v>
      </x:c>
    </x:row>
    <x:row r="937" ht="72" customHeight="1">
      <x:c r="A937" s="30" t="n">
        <x:v>8</x:v>
      </x:c>
      <x:c r="B937" s="30" t="str">
        <x:v>France</x:v>
      </x:c>
      <x:c r="C937" s="30" t="str">
        <x:v>Naval Group</x:v>
      </x:c>
      <x:c r="D937" s="30" t="str">
        <x:v>Marine/Naval</x:v>
      </x:c>
      <x:c r="E937" s="30" t="str">
        <x:v>Seaquest S USV</x:v>
      </x:c>
      <x:c r="F937" s="30" t="n">
        <x:v>2</x:v>
      </x:c>
      <x:c r="G937" s="30" t="str">
        <x:v>Present</x:v>
      </x:c>
      <x:c r="H937" s="30" t="str">
        <x:v>Present</x:v>
      </x:c>
      <x:c r="I937" s="30" t="str">
        <x:v>OK</x:v>
      </x:c>
    </x:row>
    <x:row r="938" ht="72" customHeight="1">
      <x:c r="A938" s="30" t="n">
        <x:v>8</x:v>
      </x:c>
      <x:c r="B938" s="30" t="str">
        <x:v>France</x:v>
      </x:c>
      <x:c r="C938" s="30" t="str">
        <x:v>Naval Group</x:v>
      </x:c>
      <x:c r="D938" s="30" t="str">
        <x:v>UAVs/Drones</x:v>
      </x:c>
      <x:c r="E938" s="30" t="str">
        <x:v>Cormorant Multi-Environment Drone</x:v>
      </x:c>
      <x:c r="F938" s="30" t="n">
        <x:v>1</x:v>
      </x:c>
      <x:c r="G938" s="30" t="str">
        <x:v>Present</x:v>
      </x:c>
      <x:c r="H938" s="30" t="str">
        <x:v>Present</x:v>
      </x:c>
      <x:c r="I938" s="30" t="str">
        <x:v>OK</x:v>
      </x:c>
    </x:row>
    <x:row r="939" ht="72" customHeight="1">
      <x:c r="A939" s="30" t="n">
        <x:v>9</x:v>
      </x:c>
      <x:c r="B939" s="30" t="str">
        <x:v>US</x:v>
      </x:c>
      <x:c r="C939" s="30" t="str">
        <x:v>Huntington Ingalls Industries</x:v>
      </x:c>
      <x:c r="D939" s="30" t="str">
        <x:v>Marine/Naval</x:v>
      </x:c>
      <x:c r="E939" s="30" t="str">
        <x:v>America-class LHA</x:v>
      </x:c>
      <x:c r="F939" s="30" t="n">
        <x:v>3</x:v>
      </x:c>
      <x:c r="G939" s="30" t="str">
        <x:v>Present</x:v>
      </x:c>
      <x:c r="H939" s="30" t="str">
        <x:v>Present</x:v>
      </x:c>
      <x:c r="I939" s="30" t="str">
        <x:v>OK</x:v>
      </x:c>
    </x:row>
    <x:row r="940" ht="72" customHeight="1">
      <x:c r="A940" s="30" t="n">
        <x:v>9</x:v>
      </x:c>
      <x:c r="B940" s="30" t="str">
        <x:v>US</x:v>
      </x:c>
      <x:c r="C940" s="30" t="str">
        <x:v>Huntington Ingalls Industries</x:v>
      </x:c>
      <x:c r="D940" s="30" t="str">
        <x:v>Marine/Naval</x:v>
      </x:c>
      <x:c r="E940" s="30" t="str">
        <x:v>Arleigh Burke-class Flight III Destroyer</x:v>
      </x:c>
      <x:c r="F940" s="30" t="n">
        <x:v>3</x:v>
      </x:c>
      <x:c r="G940" s="30" t="str">
        <x:v>Present</x:v>
      </x:c>
      <x:c r="H940" s="30" t="str">
        <x:v>Present</x:v>
      </x:c>
      <x:c r="I940" s="30" t="str">
        <x:v>Limited/configuration-dependent public specifications</x:v>
      </x:c>
    </x:row>
    <x:row r="941" ht="72" customHeight="1">
      <x:c r="A941" s="30" t="n">
        <x:v>9</x:v>
      </x:c>
      <x:c r="B941" s="30" t="str">
        <x:v>US</x:v>
      </x:c>
      <x:c r="C941" s="30" t="str">
        <x:v>Huntington Ingalls Industries</x:v>
      </x:c>
      <x:c r="D941" s="30" t="str">
        <x:v>Marine/Naval</x:v>
      </x:c>
      <x:c r="E941" s="30" t="str">
        <x:v>Columbia-class Ballistic Missile Submarine</x:v>
      </x:c>
      <x:c r="F941" s="30" t="n">
        <x:v>3</x:v>
      </x:c>
      <x:c r="G941" s="30" t="str">
        <x:v>Present</x:v>
      </x:c>
      <x:c r="H941" s="30" t="str">
        <x:v>Present</x:v>
      </x:c>
      <x:c r="I941" s="30" t="str">
        <x:v>OK</x:v>
      </x:c>
    </x:row>
    <x:row r="942" ht="72" customHeight="1">
      <x:c r="A942" s="30" t="n">
        <x:v>9</x:v>
      </x:c>
      <x:c r="B942" s="30" t="str">
        <x:v>US</x:v>
      </x:c>
      <x:c r="C942" s="30" t="str">
        <x:v>Huntington Ingalls Industries</x:v>
      </x:c>
      <x:c r="D942" s="30" t="str">
        <x:v>Marine/Naval</x:v>
      </x:c>
      <x:c r="E942" s="30" t="str">
        <x:v>Gerald R. Ford-class Aircraft Carrier</x:v>
      </x:c>
      <x:c r="F942" s="30" t="n">
        <x:v>3</x:v>
      </x:c>
      <x:c r="G942" s="30" t="str">
        <x:v>Present</x:v>
      </x:c>
      <x:c r="H942" s="30" t="str">
        <x:v>Present</x:v>
      </x:c>
      <x:c r="I942" s="30" t="str">
        <x:v>OK</x:v>
      </x:c>
    </x:row>
    <x:row r="943" ht="72" customHeight="1">
      <x:c r="A943" s="30" t="n">
        <x:v>9</x:v>
      </x:c>
      <x:c r="B943" s="30" t="str">
        <x:v>US</x:v>
      </x:c>
      <x:c r="C943" s="30" t="str">
        <x:v>Huntington Ingalls Industries</x:v>
      </x:c>
      <x:c r="D943" s="30" t="str">
        <x:v>Marine/Naval</x:v>
      </x:c>
      <x:c r="E943" s="30" t="str">
        <x:v>Legend-class National Security Cutter</x:v>
      </x:c>
      <x:c r="F943" s="30" t="n">
        <x:v>1</x:v>
      </x:c>
      <x:c r="G943" s="30" t="str">
        <x:v>Present</x:v>
      </x:c>
      <x:c r="H943" s="30" t="str">
        <x:v>Present</x:v>
      </x:c>
      <x:c r="I943" s="30" t="str">
        <x:v>OK</x:v>
      </x:c>
    </x:row>
    <x:row r="944" ht="72" customHeight="1">
      <x:c r="A944" s="30" t="n">
        <x:v>9</x:v>
      </x:c>
      <x:c r="B944" s="30" t="str">
        <x:v>US</x:v>
      </x:c>
      <x:c r="C944" s="30" t="str">
        <x:v>Huntington Ingalls Industries</x:v>
      </x:c>
      <x:c r="D944" s="30" t="str">
        <x:v>Marine/Naval</x:v>
      </x:c>
      <x:c r="E944" s="30" t="str">
        <x:v>REMUS 130 UUV</x:v>
      </x:c>
      <x:c r="F944" s="30" t="n">
        <x:v>2</x:v>
      </x:c>
      <x:c r="G944" s="30" t="str">
        <x:v>Present</x:v>
      </x:c>
      <x:c r="H944" s="30" t="str">
        <x:v>Present</x:v>
      </x:c>
      <x:c r="I944" s="30" t="str">
        <x:v>OK</x:v>
      </x:c>
    </x:row>
    <x:row r="945" ht="72" customHeight="1">
      <x:c r="A945" s="30" t="n">
        <x:v>9</x:v>
      </x:c>
      <x:c r="B945" s="30" t="str">
        <x:v>US</x:v>
      </x:c>
      <x:c r="C945" s="30" t="str">
        <x:v>Huntington Ingalls Industries</x:v>
      </x:c>
      <x:c r="D945" s="30" t="str">
        <x:v>Marine/Naval</x:v>
      </x:c>
      <x:c r="E945" s="30" t="str">
        <x:v>REMUS 300 UUV</x:v>
      </x:c>
      <x:c r="F945" s="30" t="n">
        <x:v>3</x:v>
      </x:c>
      <x:c r="G945" s="30" t="str">
        <x:v>Present</x:v>
      </x:c>
      <x:c r="H945" s="30" t="str">
        <x:v>Present</x:v>
      </x:c>
      <x:c r="I945" s="30" t="str">
        <x:v>OK</x:v>
      </x:c>
    </x:row>
    <x:row r="946" ht="72" customHeight="1">
      <x:c r="A946" s="30" t="n">
        <x:v>9</x:v>
      </x:c>
      <x:c r="B946" s="30" t="str">
        <x:v>US</x:v>
      </x:c>
      <x:c r="C946" s="30" t="str">
        <x:v>Huntington Ingalls Industries</x:v>
      </x:c>
      <x:c r="D946" s="30" t="str">
        <x:v>Marine/Naval</x:v>
      </x:c>
      <x:c r="E946" s="30" t="str">
        <x:v>REMUS 6000 UUV</x:v>
      </x:c>
      <x:c r="F946" s="30" t="n">
        <x:v>2</x:v>
      </x:c>
      <x:c r="G946" s="30" t="str">
        <x:v>Present</x:v>
      </x:c>
      <x:c r="H946" s="30" t="str">
        <x:v>Present</x:v>
      </x:c>
      <x:c r="I946" s="30" t="str">
        <x:v>OK</x:v>
      </x:c>
    </x:row>
    <x:row r="947" ht="72" customHeight="1">
      <x:c r="A947" s="30" t="n">
        <x:v>9</x:v>
      </x:c>
      <x:c r="B947" s="30" t="str">
        <x:v>US</x:v>
      </x:c>
      <x:c r="C947" s="30" t="str">
        <x:v>Huntington Ingalls Industries</x:v>
      </x:c>
      <x:c r="D947" s="30" t="str">
        <x:v>Marine/Naval</x:v>
      </x:c>
      <x:c r="E947" s="30" t="str">
        <x:v>REMUS 620 UUV</x:v>
      </x:c>
      <x:c r="F947" s="30" t="n">
        <x:v>2</x:v>
      </x:c>
      <x:c r="G947" s="30" t="str">
        <x:v>Present</x:v>
      </x:c>
      <x:c r="H947" s="30" t="str">
        <x:v>Present</x:v>
      </x:c>
      <x:c r="I947" s="30" t="str">
        <x:v>OK</x:v>
      </x:c>
    </x:row>
    <x:row r="948" ht="72" customHeight="1">
      <x:c r="A948" s="30" t="n">
        <x:v>9</x:v>
      </x:c>
      <x:c r="B948" s="30" t="str">
        <x:v>US</x:v>
      </x:c>
      <x:c r="C948" s="30" t="str">
        <x:v>Huntington Ingalls Industries</x:v>
      </x:c>
      <x:c r="D948" s="30" t="str">
        <x:v>Marine/Naval</x:v>
      </x:c>
      <x:c r="E948" s="30" t="str">
        <x:v>ROMULUS family USV</x:v>
      </x:c>
      <x:c r="F948" s="30" t="n">
        <x:v>1</x:v>
      </x:c>
      <x:c r="G948" s="30" t="str">
        <x:v>Present</x:v>
      </x:c>
      <x:c r="H948" s="30" t="str">
        <x:v>Present</x:v>
      </x:c>
      <x:c r="I948" s="30" t="str">
        <x:v>Limited/configuration-dependent public specifications; Family/system/component-level entry — review if exact-model-only view is needed</x:v>
      </x:c>
    </x:row>
    <x:row r="949" ht="72" customHeight="1">
      <x:c r="A949" s="30" t="n">
        <x:v>9</x:v>
      </x:c>
      <x:c r="B949" s="30" t="str">
        <x:v>US</x:v>
      </x:c>
      <x:c r="C949" s="30" t="str">
        <x:v>Huntington Ingalls Industries</x:v>
      </x:c>
      <x:c r="D949" s="30" t="str">
        <x:v>Marine/Naval</x:v>
      </x:c>
      <x:c r="E949" s="30" t="str">
        <x:v>San Antonio-class LPD Flight II</x:v>
      </x:c>
      <x:c r="F949" s="30" t="n">
        <x:v>3</x:v>
      </x:c>
      <x:c r="G949" s="30" t="str">
        <x:v>Present</x:v>
      </x:c>
      <x:c r="H949" s="30" t="str">
        <x:v>Present</x:v>
      </x:c>
      <x:c r="I949" s="30" t="str">
        <x:v>Limited/configuration-dependent public specifications</x:v>
      </x:c>
    </x:row>
    <x:row r="950" ht="72" customHeight="1">
      <x:c r="A950" s="30" t="n">
        <x:v>9</x:v>
      </x:c>
      <x:c r="B950" s="30" t="str">
        <x:v>US</x:v>
      </x:c>
      <x:c r="C950" s="30" t="str">
        <x:v>Huntington Ingalls Industries</x:v>
      </x:c>
      <x:c r="D950" s="30" t="str">
        <x:v>Marine/Naval</x:v>
      </x:c>
      <x:c r="E950" s="30" t="str">
        <x:v>Virginia-class Attack Submarine</x:v>
      </x:c>
      <x:c r="F950" s="30" t="n">
        <x:v>3</x:v>
      </x:c>
      <x:c r="G950" s="30" t="str">
        <x:v>Present</x:v>
      </x:c>
      <x:c r="H950" s="30" t="str">
        <x:v>Present</x:v>
      </x:c>
      <x:c r="I950" s="30" t="str">
        <x:v>OK</x:v>
      </x:c>
    </x:row>
    <x:row r="951" ht="72" customHeight="1">
      <x:c r="A951" s="30" t="n">
        <x:v>9</x:v>
      </x:c>
      <x:c r="B951" s="30" t="str">
        <x:v>US</x:v>
      </x:c>
      <x:c r="C951" s="30" t="str">
        <x:v>Huntington Ingalls Industries</x:v>
      </x:c>
      <x:c r="D951" s="30" t="str">
        <x:v>Marine/Naval</x:v>
      </x:c>
      <x:c r="E951" s="30" t="str">
        <x:v>Zumwalt-class DDG-1000</x:v>
      </x:c>
      <x:c r="F951" s="30" t="n">
        <x:v>1</x:v>
      </x:c>
      <x:c r="G951" s="30" t="str">
        <x:v>Present</x:v>
      </x:c>
      <x:c r="H951" s="30" t="str">
        <x:v>Present</x:v>
      </x:c>
      <x:c r="I951" s="30" t="str">
        <x:v>OK</x:v>
      </x:c>
    </x:row>
    <x:row r="952" ht="72" customHeight="1">
      <x:c r="A952" s="30" t="n">
        <x:v>9</x:v>
      </x:c>
      <x:c r="B952" s="30" t="str">
        <x:v>UK</x:v>
      </x:c>
      <x:c r="C952" s="30" t="str">
        <x:v>Babcock</x:v>
      </x:c>
      <x:c r="D952" s="30" t="str">
        <x:v>Artillery</x:v>
      </x:c>
      <x:c r="E952" s="30" t="str">
        <x:v>120 mm Ground Deployed Advanced Mortar System (GDAMS)</x:v>
      </x:c>
      <x:c r="F952" s="30" t="n">
        <x:v>2</x:v>
      </x:c>
      <x:c r="G952" s="30" t="str">
        <x:v>Present</x:v>
      </x:c>
      <x:c r="H952" s="30" t="str">
        <x:v>Present</x:v>
      </x:c>
      <x:c r="I952" s="30" t="str">
        <x:v>Family/system/component-level entry — review if exact-model-only view is needed</x:v>
      </x:c>
    </x:row>
    <x:row r="953" ht="72" customHeight="1">
      <x:c r="A953" s="30" t="n">
        <x:v>9</x:v>
      </x:c>
      <x:c r="B953" s="30" t="str">
        <x:v>UK</x:v>
      </x:c>
      <x:c r="C953" s="30" t="str">
        <x:v>Babcock</x:v>
      </x:c>
      <x:c r="D953" s="30" t="str">
        <x:v>Protected Vehicles</x:v>
      </x:c>
      <x:c r="E953" s="30" t="str">
        <x:v>General Logistics Vehicle (GLV)</x:v>
      </x:c>
      <x:c r="F953" s="30" t="n">
        <x:v>2</x:v>
      </x:c>
      <x:c r="G953" s="30" t="str">
        <x:v>Present</x:v>
      </x:c>
      <x:c r="H953" s="30" t="str">
        <x:v>Present</x:v>
      </x:c>
      <x:c r="I953" s="30" t="str">
        <x:v>OK</x:v>
      </x:c>
    </x:row>
    <x:row r="954" ht="72" customHeight="1">
      <x:c r="A954" s="30" t="n">
        <x:v>9</x:v>
      </x:c>
      <x:c r="B954" s="30" t="str">
        <x:v>UK</x:v>
      </x:c>
      <x:c r="C954" s="30" t="str">
        <x:v>Babcock</x:v>
      </x:c>
      <x:c r="D954" s="30" t="str">
        <x:v>Protected Vehicles</x:v>
      </x:c>
      <x:c r="E954" s="30" t="str">
        <x:v>Jackal 3 / HMT High Mobility Transporter Programme</x:v>
      </x:c>
      <x:c r="F954" s="30" t="n">
        <x:v>2</x:v>
      </x:c>
      <x:c r="G954" s="30" t="str">
        <x:v>Present</x:v>
      </x:c>
      <x:c r="H954" s="30" t="str">
        <x:v>Present</x:v>
      </x:c>
      <x:c r="I954" s="30" t="str">
        <x:v>OK</x:v>
      </x:c>
    </x:row>
    <x:row r="955" ht="72" customHeight="1">
      <x:c r="A955" s="30" t="n">
        <x:v>9</x:v>
      </x:c>
      <x:c r="B955" s="30" t="str">
        <x:v>UK</x:v>
      </x:c>
      <x:c r="C955" s="30" t="str">
        <x:v>Babcock</x:v>
      </x:c>
      <x:c r="D955" s="30" t="str">
        <x:v>Marine/Naval</x:v>
      </x:c>
      <x:c r="E955" s="30" t="str">
        <x:v>Arrowhead 120 Frigate</x:v>
      </x:c>
      <x:c r="F955" s="30" t="n">
        <x:v>1</x:v>
      </x:c>
      <x:c r="G955" s="30" t="str">
        <x:v>Present</x:v>
      </x:c>
      <x:c r="H955" s="30" t="str">
        <x:v>Present</x:v>
      </x:c>
      <x:c r="I955" s="30" t="str">
        <x:v>OK</x:v>
      </x:c>
    </x:row>
    <x:row r="956" ht="72" customHeight="1">
      <x:c r="A956" s="30" t="n">
        <x:v>9</x:v>
      </x:c>
      <x:c r="B956" s="30" t="str">
        <x:v>UK</x:v>
      </x:c>
      <x:c r="C956" s="30" t="str">
        <x:v>Babcock</x:v>
      </x:c>
      <x:c r="D956" s="30" t="str">
        <x:v>Marine/Naval</x:v>
      </x:c>
      <x:c r="E956" s="30" t="str">
        <x:v>Arrowhead 140 Frigate</x:v>
      </x:c>
      <x:c r="F956" s="30" t="n">
        <x:v>2</x:v>
      </x:c>
      <x:c r="G956" s="30" t="str">
        <x:v>Present</x:v>
      </x:c>
      <x:c r="H956" s="30" t="str">
        <x:v>Present</x:v>
      </x:c>
      <x:c r="I956" s="30" t="str">
        <x:v>Limited/configuration-dependent public specifications</x:v>
      </x:c>
    </x:row>
    <x:row r="957" ht="72" customHeight="1">
      <x:c r="A957" s="30" t="n">
        <x:v>9</x:v>
      </x:c>
      <x:c r="B957" s="30" t="str">
        <x:v>UK</x:v>
      </x:c>
      <x:c r="C957" s="30" t="str">
        <x:v>Babcock</x:v>
      </x:c>
      <x:c r="D957" s="30" t="str">
        <x:v>Marine/Naval</x:v>
      </x:c>
      <x:c r="E957" s="30" t="str">
        <x:v>Type 31 Inspiration-class Frigate</x:v>
      </x:c>
      <x:c r="F957" s="30" t="n">
        <x:v>2</x:v>
      </x:c>
      <x:c r="G957" s="30" t="str">
        <x:v>Present</x:v>
      </x:c>
      <x:c r="H957" s="30" t="str">
        <x:v>Present</x:v>
      </x:c>
      <x:c r="I957" s="30" t="str">
        <x:v>OK</x:v>
      </x:c>
    </x:row>
    <x:row r="958" ht="72" customHeight="1">
      <x:c r="A958" s="30" t="n">
        <x:v>9</x:v>
      </x:c>
      <x:c r="B958" s="30" t="str">
        <x:v>Germany</x:v>
      </x:c>
      <x:c r="C958" s="30" t="str">
        <x:v>Diehl Defence</x:v>
      </x:c>
      <x:c r="D958" s="30" t="str">
        <x:v>Ammunition</x:v>
      </x:c>
      <x:c r="E958" s="30" t="str">
        <x:v>120 mm Tank Ammunition Portfolio</x:v>
      </x:c>
      <x:c r="F958" s="30" t="n">
        <x:v>2</x:v>
      </x:c>
      <x:c r="G958" s="30" t="str">
        <x:v>Present</x:v>
      </x:c>
      <x:c r="H958" s="30" t="str">
        <x:v>Present</x:v>
      </x:c>
      <x:c r="I958" s="30" t="str">
        <x:v>Family/system/component-level entry — review if exact-model-only view is needed</x:v>
      </x:c>
    </x:row>
    <x:row r="959" ht="72" customHeight="1">
      <x:c r="A959" s="30" t="n">
        <x:v>9</x:v>
      </x:c>
      <x:c r="B959" s="30" t="str">
        <x:v>Germany</x:v>
      </x:c>
      <x:c r="C959" s="30" t="str">
        <x:v>Diehl Defence</x:v>
      </x:c>
      <x:c r="D959" s="30" t="str">
        <x:v>Ammunition</x:v>
      </x:c>
      <x:c r="E959" s="30" t="str">
        <x:v>155 mm Artillery Ammunition Portfolio</x:v>
      </x:c>
      <x:c r="F959" s="30" t="n">
        <x:v>2</x:v>
      </x:c>
      <x:c r="G959" s="30" t="str">
        <x:v>Present</x:v>
      </x:c>
      <x:c r="H959" s="30" t="str">
        <x:v>Present</x:v>
      </x:c>
      <x:c r="I959" s="30" t="str">
        <x:v>Family/system/component-level entry — review if exact-model-only view is needed</x:v>
      </x:c>
    </x:row>
    <x:row r="960" ht="72" customHeight="1">
      <x:c r="A960" s="30" t="n">
        <x:v>9</x:v>
      </x:c>
      <x:c r="B960" s="30" t="str">
        <x:v>Germany</x:v>
      </x:c>
      <x:c r="C960" s="30" t="str">
        <x:v>Diehl Defence</x:v>
      </x:c>
      <x:c r="D960" s="30" t="str">
        <x:v>Ammunition</x:v>
      </x:c>
      <x:c r="E960" s="30" t="str">
        <x:v>2DGMArt 155 guidance module</x:v>
      </x:c>
      <x:c r="F960" s="30" t="n">
        <x:v>1</x:v>
      </x:c>
      <x:c r="G960" s="30" t="str">
        <x:v>Present</x:v>
      </x:c>
      <x:c r="H960" s="30" t="str">
        <x:v>Present</x:v>
      </x:c>
      <x:c r="I960" s="30" t="str">
        <x:v>OK</x:v>
      </x:c>
    </x:row>
    <x:row r="961" ht="72" customHeight="1">
      <x:c r="A961" s="30" t="n">
        <x:v>9</x:v>
      </x:c>
      <x:c r="B961" s="30" t="str">
        <x:v>Germany</x:v>
      </x:c>
      <x:c r="C961" s="30" t="str">
        <x:v>Diehl Defence</x:v>
      </x:c>
      <x:c r="D961" s="30" t="str">
        <x:v>Ammunition</x:v>
      </x:c>
      <x:c r="E961" s="30" t="str">
        <x:v>SMArt 155</x:v>
      </x:c>
      <x:c r="F961" s="30" t="n">
        <x:v>1</x:v>
      </x:c>
      <x:c r="G961" s="30" t="str">
        <x:v>Present</x:v>
      </x:c>
      <x:c r="H961" s="30" t="str">
        <x:v>Present</x:v>
      </x:c>
      <x:c r="I961" s="30" t="str">
        <x:v>OK</x:v>
      </x:c>
    </x:row>
    <x:row r="962" ht="72" customHeight="1">
      <x:c r="A962" s="30" t="n">
        <x:v>9</x:v>
      </x:c>
      <x:c r="B962" s="30" t="str">
        <x:v>Germany</x:v>
      </x:c>
      <x:c r="C962" s="30" t="str">
        <x:v>Diehl Defence</x:v>
      </x:c>
      <x:c r="D962" s="30" t="str">
        <x:v>Ammunition</x:v>
      </x:c>
      <x:c r="E962" s="30" t="str">
        <x:v>VULCANO 155 GLR</x:v>
      </x:c>
      <x:c r="F962" s="30" t="n">
        <x:v>1</x:v>
      </x:c>
      <x:c r="G962" s="30" t="str">
        <x:v>Present</x:v>
      </x:c>
      <x:c r="H962" s="30" t="str">
        <x:v>Present</x:v>
      </x:c>
      <x:c r="I962" s="30" t="str">
        <x:v>OK</x:v>
      </x:c>
    </x:row>
    <x:row r="963" ht="72" customHeight="1">
      <x:c r="A963" s="30" t="n">
        <x:v>9</x:v>
      </x:c>
      <x:c r="B963" s="30" t="str">
        <x:v>Germany</x:v>
      </x:c>
      <x:c r="C963" s="30" t="str">
        <x:v>Diehl Defence</x:v>
      </x:c>
      <x:c r="D963" s="30" t="str">
        <x:v>Missiles</x:v>
      </x:c>
      <x:c r="E963" s="30" t="str">
        <x:v>CICADA eMissile</x:v>
      </x:c>
      <x:c r="F963" s="30" t="n">
        <x:v>1</x:v>
      </x:c>
      <x:c r="G963" s="30" t="str">
        <x:v>Present</x:v>
      </x:c>
      <x:c r="H963" s="30" t="str">
        <x:v>Present</x:v>
      </x:c>
      <x:c r="I963" s="30" t="str">
        <x:v>OK</x:v>
      </x:c>
    </x:row>
    <x:row r="964" ht="72" customHeight="1">
      <x:c r="A964" s="30" t="n">
        <x:v>9</x:v>
      </x:c>
      <x:c r="B964" s="30" t="str">
        <x:v>Germany</x:v>
      </x:c>
      <x:c r="C964" s="30" t="str">
        <x:v>Diehl Defence</x:v>
      </x:c>
      <x:c r="D964" s="30" t="str">
        <x:v>Missiles</x:v>
      </x:c>
      <x:c r="E964" s="30" t="str">
        <x:v>IDAS Submarine-Launched Missile</x:v>
      </x:c>
      <x:c r="F964" s="30" t="n">
        <x:v>1</x:v>
      </x:c>
      <x:c r="G964" s="30" t="str">
        <x:v>Present</x:v>
      </x:c>
      <x:c r="H964" s="30" t="str">
        <x:v>Present</x:v>
      </x:c>
      <x:c r="I964" s="30" t="str">
        <x:v>OK</x:v>
      </x:c>
    </x:row>
    <x:row r="965" ht="72" customHeight="1">
      <x:c r="A965" s="30" t="n">
        <x:v>9</x:v>
      </x:c>
      <x:c r="B965" s="30" t="str">
        <x:v>Germany</x:v>
      </x:c>
      <x:c r="C965" s="30" t="str">
        <x:v>Diehl Defence</x:v>
      </x:c>
      <x:c r="D965" s="30" t="str">
        <x:v>Missiles</x:v>
      </x:c>
      <x:c r="E965" s="30" t="str">
        <x:v>IRIS-T Air-to-Air Missile</x:v>
      </x:c>
      <x:c r="F965" s="30" t="n">
        <x:v>3</x:v>
      </x:c>
      <x:c r="G965" s="30" t="str">
        <x:v>Present</x:v>
      </x:c>
      <x:c r="H965" s="30" t="str">
        <x:v>Present</x:v>
      </x:c>
      <x:c r="I965" s="30" t="str">
        <x:v>OK</x:v>
      </x:c>
    </x:row>
    <x:row r="966" ht="72" customHeight="1">
      <x:c r="A966" s="30" t="n">
        <x:v>9</x:v>
      </x:c>
      <x:c r="B966" s="30" t="str">
        <x:v>Germany</x:v>
      </x:c>
      <x:c r="C966" s="30" t="str">
        <x:v>Diehl Defence</x:v>
      </x:c>
      <x:c r="D966" s="30" t="str">
        <x:v>Missiles</x:v>
      </x:c>
      <x:c r="E966" s="30" t="str">
        <x:v>IRIS-T SLM</x:v>
      </x:c>
      <x:c r="F966" s="30" t="n">
        <x:v>3</x:v>
      </x:c>
      <x:c r="G966" s="30" t="str">
        <x:v>Present</x:v>
      </x:c>
      <x:c r="H966" s="30" t="str">
        <x:v>Present</x:v>
      </x:c>
      <x:c r="I966" s="30" t="str">
        <x:v>OK</x:v>
      </x:c>
    </x:row>
    <x:row r="967" ht="72" customHeight="1">
      <x:c r="A967" s="30" t="n">
        <x:v>9</x:v>
      </x:c>
      <x:c r="B967" s="30" t="str">
        <x:v>Germany</x:v>
      </x:c>
      <x:c r="C967" s="30" t="str">
        <x:v>Diehl Defence</x:v>
      </x:c>
      <x:c r="D967" s="30" t="str">
        <x:v>Missiles</x:v>
      </x:c>
      <x:c r="E967" s="30" t="str">
        <x:v>IRIS-T SLS</x:v>
      </x:c>
      <x:c r="F967" s="30" t="n">
        <x:v>1</x:v>
      </x:c>
      <x:c r="G967" s="30" t="str">
        <x:v>Present</x:v>
      </x:c>
      <x:c r="H967" s="30" t="str">
        <x:v>Present</x:v>
      </x:c>
      <x:c r="I967" s="30" t="str">
        <x:v>OK</x:v>
      </x:c>
    </x:row>
    <x:row r="968" ht="72" customHeight="1">
      <x:c r="A968" s="30" t="n">
        <x:v>9</x:v>
      </x:c>
      <x:c r="B968" s="30" t="str">
        <x:v>Germany</x:v>
      </x:c>
      <x:c r="C968" s="30" t="str">
        <x:v>Diehl Defence</x:v>
      </x:c>
      <x:c r="D968" s="30" t="str">
        <x:v>Missiles</x:v>
      </x:c>
      <x:c r="E968" s="30" t="str">
        <x:v>IRIS-T SLS MK4</x:v>
      </x:c>
      <x:c r="F968" s="30" t="n">
        <x:v>2</x:v>
      </x:c>
      <x:c r="G968" s="30" t="str">
        <x:v>Present</x:v>
      </x:c>
      <x:c r="H968" s="30" t="str">
        <x:v>Present</x:v>
      </x:c>
      <x:c r="I968" s="30" t="str">
        <x:v>OK</x:v>
      </x:c>
    </x:row>
    <x:row r="969" ht="72" customHeight="1">
      <x:c r="A969" s="30" t="n">
        <x:v>9</x:v>
      </x:c>
      <x:c r="B969" s="30" t="str">
        <x:v>Germany</x:v>
      </x:c>
      <x:c r="C969" s="30" t="str">
        <x:v>Diehl Defence</x:v>
      </x:c>
      <x:c r="D969" s="30" t="str">
        <x:v>Missiles</x:v>
      </x:c>
      <x:c r="E969" s="30" t="str">
        <x:v>IRIS-T SLX</x:v>
      </x:c>
      <x:c r="F969" s="30" t="n">
        <x:v>3</x:v>
      </x:c>
      <x:c r="G969" s="30" t="str">
        <x:v>Present</x:v>
      </x:c>
      <x:c r="H969" s="30" t="str">
        <x:v>Present</x:v>
      </x:c>
      <x:c r="I969" s="30" t="str">
        <x:v>Limited/configuration-dependent public specifications</x:v>
      </x:c>
    </x:row>
    <x:row r="970" ht="72" customHeight="1">
      <x:c r="A970" s="30" t="n">
        <x:v>9</x:v>
      </x:c>
      <x:c r="B970" s="30" t="str">
        <x:v>Germany</x:v>
      </x:c>
      <x:c r="C970" s="30" t="str">
        <x:v>Diehl Defence</x:v>
      </x:c>
      <x:c r="D970" s="30" t="str">
        <x:v>Missiles</x:v>
      </x:c>
      <x:c r="E970" s="30" t="str">
        <x:v>PARS 3 LR</x:v>
      </x:c>
      <x:c r="F970" s="30" t="n">
        <x:v>1</x:v>
      </x:c>
      <x:c r="G970" s="30" t="str">
        <x:v>Present</x:v>
      </x:c>
      <x:c r="H970" s="30" t="str">
        <x:v>Present</x:v>
      </x:c>
      <x:c r="I970" s="30" t="str">
        <x:v>OK</x:v>
      </x:c>
    </x:row>
    <x:row r="971" ht="72" customHeight="1">
      <x:c r="A971" s="30" t="n">
        <x:v>9</x:v>
      </x:c>
      <x:c r="B971" s="30" t="str">
        <x:v>US</x:v>
      </x:c>
      <x:c r="C971" s="30" t="str">
        <x:v>AeroVironment</x:v>
      </x:c>
      <x:c r="D971" s="30" t="str">
        <x:v>UAVs/Drones</x:v>
      </x:c>
      <x:c r="E971" s="30" t="str">
        <x:v>Blackwing</x:v>
      </x:c>
      <x:c r="F971" s="30" t="n">
        <x:v>2</x:v>
      </x:c>
      <x:c r="G971" s="30" t="str">
        <x:v>Present</x:v>
      </x:c>
      <x:c r="H971" s="30" t="str">
        <x:v>Present</x:v>
      </x:c>
      <x:c r="I971" s="30" t="str">
        <x:v>Limited/configuration-dependent public specifications</x:v>
      </x:c>
    </x:row>
    <x:row r="972" ht="72" customHeight="1">
      <x:c r="A972" s="30" t="n">
        <x:v>9</x:v>
      </x:c>
      <x:c r="B972" s="30" t="str">
        <x:v>US</x:v>
      </x:c>
      <x:c r="C972" s="30" t="str">
        <x:v>AeroVironment</x:v>
      </x:c>
      <x:c r="D972" s="30" t="str">
        <x:v>UAVs/Drones</x:v>
      </x:c>
      <x:c r="E972" s="30" t="str">
        <x:v>JUMP 20</x:v>
      </x:c>
      <x:c r="F972" s="30" t="n">
        <x:v>2</x:v>
      </x:c>
      <x:c r="G972" s="30" t="str">
        <x:v>Present</x:v>
      </x:c>
      <x:c r="H972" s="30" t="str">
        <x:v>Present</x:v>
      </x:c>
      <x:c r="I972" s="30" t="str">
        <x:v>OK</x:v>
      </x:c>
    </x:row>
    <x:row r="973" ht="72" customHeight="1">
      <x:c r="A973" s="30" t="n">
        <x:v>9</x:v>
      </x:c>
      <x:c r="B973" s="30" t="str">
        <x:v>US</x:v>
      </x:c>
      <x:c r="C973" s="30" t="str">
        <x:v>AeroVironment</x:v>
      </x:c>
      <x:c r="D973" s="30" t="str">
        <x:v>UAVs/Drones</x:v>
      </x:c>
      <x:c r="E973" s="30" t="str">
        <x:v>JUMP 20-X</x:v>
      </x:c>
      <x:c r="F973" s="30" t="n">
        <x:v>1</x:v>
      </x:c>
      <x:c r="G973" s="30" t="str">
        <x:v>Present</x:v>
      </x:c>
      <x:c r="H973" s="30" t="str">
        <x:v>Present</x:v>
      </x:c>
      <x:c r="I973" s="30" t="str">
        <x:v>OK</x:v>
      </x:c>
    </x:row>
    <x:row r="974" ht="72" customHeight="1">
      <x:c r="A974" s="30" t="n">
        <x:v>9</x:v>
      </x:c>
      <x:c r="B974" s="30" t="str">
        <x:v>US</x:v>
      </x:c>
      <x:c r="C974" s="30" t="str">
        <x:v>AeroVironment</x:v>
      </x:c>
      <x:c r="D974" s="30" t="str">
        <x:v>UAVs/Drones</x:v>
      </x:c>
      <x:c r="E974" s="30" t="str">
        <x:v>P550</x:v>
      </x:c>
      <x:c r="F974" s="30" t="n">
        <x:v>1</x:v>
      </x:c>
      <x:c r="G974" s="30" t="str">
        <x:v>Present</x:v>
      </x:c>
      <x:c r="H974" s="30" t="str">
        <x:v>Present</x:v>
      </x:c>
      <x:c r="I974" s="30" t="str">
        <x:v>OK</x:v>
      </x:c>
    </x:row>
    <x:row r="975" ht="72" customHeight="1">
      <x:c r="A975" s="30" t="n">
        <x:v>9</x:v>
      </x:c>
      <x:c r="B975" s="30" t="str">
        <x:v>US</x:v>
      </x:c>
      <x:c r="C975" s="30" t="str">
        <x:v>AeroVironment</x:v>
      </x:c>
      <x:c r="D975" s="30" t="str">
        <x:v>UAVs/Drones</x:v>
      </x:c>
      <x:c r="E975" s="30" t="str">
        <x:v>Puma 3 AE</x:v>
      </x:c>
      <x:c r="F975" s="30" t="n">
        <x:v>1</x:v>
      </x:c>
      <x:c r="G975" s="30" t="str">
        <x:v>Present</x:v>
      </x:c>
      <x:c r="H975" s="30" t="str">
        <x:v>Present</x:v>
      </x:c>
      <x:c r="I975" s="30" t="str">
        <x:v>OK</x:v>
      </x:c>
    </x:row>
    <x:row r="976" ht="72" customHeight="1">
      <x:c r="A976" s="30" t="n">
        <x:v>9</x:v>
      </x:c>
      <x:c r="B976" s="30" t="str">
        <x:v>US</x:v>
      </x:c>
      <x:c r="C976" s="30" t="str">
        <x:v>AeroVironment</x:v>
      </x:c>
      <x:c r="D976" s="30" t="str">
        <x:v>UAVs/Drones</x:v>
      </x:c>
      <x:c r="E976" s="30" t="str">
        <x:v>Puma AE RQ-20B</x:v>
      </x:c>
      <x:c r="F976" s="30" t="n">
        <x:v>1</x:v>
      </x:c>
      <x:c r="G976" s="30" t="str">
        <x:v>Present</x:v>
      </x:c>
      <x:c r="H976" s="30" t="str">
        <x:v>Present</x:v>
      </x:c>
      <x:c r="I976" s="30" t="str">
        <x:v>OK</x:v>
      </x:c>
    </x:row>
    <x:row r="977" ht="72" customHeight="1">
      <x:c r="A977" s="30" t="n">
        <x:v>9</x:v>
      </x:c>
      <x:c r="B977" s="30" t="str">
        <x:v>US</x:v>
      </x:c>
      <x:c r="C977" s="30" t="str">
        <x:v>AeroVironment</x:v>
      </x:c>
      <x:c r="D977" s="30" t="str">
        <x:v>UAVs/Drones</x:v>
      </x:c>
      <x:c r="E977" s="30" t="str">
        <x:v>Puma LE</x:v>
      </x:c>
      <x:c r="F977" s="30" t="n">
        <x:v>2</x:v>
      </x:c>
      <x:c r="G977" s="30" t="str">
        <x:v>Present</x:v>
      </x:c>
      <x:c r="H977" s="30" t="str">
        <x:v>Present</x:v>
      </x:c>
      <x:c r="I977" s="30" t="str">
        <x:v>OK</x:v>
      </x:c>
    </x:row>
    <x:row r="978" ht="72" customHeight="1">
      <x:c r="A978" s="30" t="n">
        <x:v>9</x:v>
      </x:c>
      <x:c r="B978" s="30" t="str">
        <x:v>US</x:v>
      </x:c>
      <x:c r="C978" s="30" t="str">
        <x:v>AeroVironment</x:v>
      </x:c>
      <x:c r="D978" s="30" t="str">
        <x:v>UAVs/Drones</x:v>
      </x:c>
      <x:c r="E978" s="30" t="str">
        <x:v>RQ-11B Raven</x:v>
      </x:c>
      <x:c r="F978" s="30" t="n">
        <x:v>2</x:v>
      </x:c>
      <x:c r="G978" s="30" t="str">
        <x:v>Present</x:v>
      </x:c>
      <x:c r="H978" s="30" t="str">
        <x:v>Present</x:v>
      </x:c>
      <x:c r="I978" s="30" t="str">
        <x:v>OK</x:v>
      </x:c>
    </x:row>
    <x:row r="979" ht="72" customHeight="1">
      <x:c r="A979" s="30" t="n">
        <x:v>9</x:v>
      </x:c>
      <x:c r="B979" s="30" t="str">
        <x:v>US</x:v>
      </x:c>
      <x:c r="C979" s="30" t="str">
        <x:v>AeroVironment</x:v>
      </x:c>
      <x:c r="D979" s="30" t="str">
        <x:v>UAVs/Drones</x:v>
      </x:c>
      <x:c r="E979" s="30" t="str">
        <x:v>Switchblade 300 Block 20</x:v>
      </x:c>
      <x:c r="F979" s="30" t="n">
        <x:v>3</x:v>
      </x:c>
      <x:c r="G979" s="30" t="str">
        <x:v>Present</x:v>
      </x:c>
      <x:c r="H979" s="30" t="str">
        <x:v>Present</x:v>
      </x:c>
      <x:c r="I979" s="30" t="str">
        <x:v>OK</x:v>
      </x:c>
    </x:row>
    <x:row r="980" ht="72" customHeight="1">
      <x:c r="A980" s="30" t="n">
        <x:v>9</x:v>
      </x:c>
      <x:c r="B980" s="30" t="str">
        <x:v>US</x:v>
      </x:c>
      <x:c r="C980" s="30" t="str">
        <x:v>AeroVironment</x:v>
      </x:c>
      <x:c r="D980" s="30" t="str">
        <x:v>UAVs/Drones</x:v>
      </x:c>
      <x:c r="E980" s="30" t="str">
        <x:v>Switchblade 600</x:v>
      </x:c>
      <x:c r="F980" s="30" t="n">
        <x:v>1</x:v>
      </x:c>
      <x:c r="G980" s="30" t="str">
        <x:v>Present</x:v>
      </x:c>
      <x:c r="H980" s="30" t="str">
        <x:v>Present</x:v>
      </x:c>
      <x:c r="I980" s="30" t="str">
        <x:v>OK</x:v>
      </x:c>
    </x:row>
    <x:row r="981" ht="72" customHeight="1">
      <x:c r="A981" s="30" t="n">
        <x:v>9</x:v>
      </x:c>
      <x:c r="B981" s="30" t="str">
        <x:v>US</x:v>
      </x:c>
      <x:c r="C981" s="30" t="str">
        <x:v>Anduril</x:v>
      </x:c>
      <x:c r="D981" s="30" t="str">
        <x:v>Marine/Naval</x:v>
      </x:c>
      <x:c r="E981" s="30" t="str">
        <x:v>Copperhead-100 AUV</x:v>
      </x:c>
      <x:c r="F981" s="30" t="n">
        <x:v>2</x:v>
      </x:c>
      <x:c r="G981" s="30" t="str">
        <x:v>Present</x:v>
      </x:c>
      <x:c r="H981" s="30" t="str">
        <x:v>Present</x:v>
      </x:c>
      <x:c r="I981" s="30" t="str">
        <x:v>Limited/configuration-dependent public specifications</x:v>
      </x:c>
    </x:row>
    <x:row r="982" ht="72" customHeight="1">
      <x:c r="A982" s="30" t="n">
        <x:v>9</x:v>
      </x:c>
      <x:c r="B982" s="30" t="str">
        <x:v>US</x:v>
      </x:c>
      <x:c r="C982" s="30" t="str">
        <x:v>Anduril</x:v>
      </x:c>
      <x:c r="D982" s="30" t="str">
        <x:v>Marine/Naval</x:v>
      </x:c>
      <x:c r="E982" s="30" t="str">
        <x:v>Copperhead-100M</x:v>
      </x:c>
      <x:c r="F982" s="30" t="n">
        <x:v>2</x:v>
      </x:c>
      <x:c r="G982" s="30" t="str">
        <x:v>Present</x:v>
      </x:c>
      <x:c r="H982" s="30" t="str">
        <x:v>Present</x:v>
      </x:c>
      <x:c r="I982" s="30" t="str">
        <x:v>OK</x:v>
      </x:c>
    </x:row>
    <x:row r="983" ht="72" customHeight="1">
      <x:c r="A983" s="30" t="n">
        <x:v>9</x:v>
      </x:c>
      <x:c r="B983" s="30" t="str">
        <x:v>US</x:v>
      </x:c>
      <x:c r="C983" s="30" t="str">
        <x:v>Anduril</x:v>
      </x:c>
      <x:c r="D983" s="30" t="str">
        <x:v>Marine/Naval</x:v>
      </x:c>
      <x:c r="E983" s="30" t="str">
        <x:v>Copperhead-500 AUV</x:v>
      </x:c>
      <x:c r="F983" s="30" t="n">
        <x:v>1</x:v>
      </x:c>
      <x:c r="G983" s="30" t="str">
        <x:v>Present</x:v>
      </x:c>
      <x:c r="H983" s="30" t="str">
        <x:v>Present</x:v>
      </x:c>
      <x:c r="I983" s="30" t="str">
        <x:v>OK</x:v>
      </x:c>
    </x:row>
    <x:row r="984" ht="72" customHeight="1">
      <x:c r="A984" s="30" t="n">
        <x:v>9</x:v>
      </x:c>
      <x:c r="B984" s="30" t="str">
        <x:v>US</x:v>
      </x:c>
      <x:c r="C984" s="30" t="str">
        <x:v>Anduril</x:v>
      </x:c>
      <x:c r="D984" s="30" t="str">
        <x:v>Marine/Naval</x:v>
      </x:c>
      <x:c r="E984" s="30" t="str">
        <x:v>Copperhead-500M</x:v>
      </x:c>
      <x:c r="F984" s="30" t="n">
        <x:v>1</x:v>
      </x:c>
      <x:c r="G984" s="30" t="str">
        <x:v>Present</x:v>
      </x:c>
      <x:c r="H984" s="30" t="str">
        <x:v>Present</x:v>
      </x:c>
      <x:c r="I984" s="30" t="str">
        <x:v>Limited/configuration-dependent public specifications</x:v>
      </x:c>
    </x:row>
    <x:row r="985" ht="72" customHeight="1">
      <x:c r="A985" s="30" t="n">
        <x:v>9</x:v>
      </x:c>
      <x:c r="B985" s="30" t="str">
        <x:v>US</x:v>
      </x:c>
      <x:c r="C985" s="30" t="str">
        <x:v>Anduril</x:v>
      </x:c>
      <x:c r="D985" s="30" t="str">
        <x:v>Marine/Naval</x:v>
      </x:c>
      <x:c r="E985" s="30" t="str">
        <x:v>Dive-LD AUV</x:v>
      </x:c>
      <x:c r="F985" s="30" t="n">
        <x:v>2</x:v>
      </x:c>
      <x:c r="G985" s="30" t="str">
        <x:v>Present</x:v>
      </x:c>
      <x:c r="H985" s="30" t="str">
        <x:v>Present</x:v>
      </x:c>
      <x:c r="I985" s="30" t="str">
        <x:v>Limited/configuration-dependent public specifications</x:v>
      </x:c>
    </x:row>
    <x:row r="986" ht="72" customHeight="1">
      <x:c r="A986" s="30" t="n">
        <x:v>9</x:v>
      </x:c>
      <x:c r="B986" s="30" t="str">
        <x:v>US</x:v>
      </x:c>
      <x:c r="C986" s="30" t="str">
        <x:v>Anduril</x:v>
      </x:c>
      <x:c r="D986" s="30" t="str">
        <x:v>Marine/Naval</x:v>
      </x:c>
      <x:c r="E986" s="30" t="str">
        <x:v>Dive-XL</x:v>
      </x:c>
      <x:c r="F986" s="30" t="n">
        <x:v>1</x:v>
      </x:c>
      <x:c r="G986" s="30" t="str">
        <x:v>Present</x:v>
      </x:c>
      <x:c r="H986" s="30" t="str">
        <x:v>Present</x:v>
      </x:c>
      <x:c r="I986" s="30" t="str">
        <x:v>Limited/configuration-dependent public specifications</x:v>
      </x:c>
    </x:row>
    <x:row r="987" ht="72" customHeight="1">
      <x:c r="A987" s="30" t="n">
        <x:v>9</x:v>
      </x:c>
      <x:c r="B987" s="30" t="str">
        <x:v>US</x:v>
      </x:c>
      <x:c r="C987" s="30" t="str">
        <x:v>Anduril</x:v>
      </x:c>
      <x:c r="D987" s="30" t="str">
        <x:v>Marine/Naval</x:v>
      </x:c>
      <x:c r="E987" s="30" t="str">
        <x:v>Seabed Sentry</x:v>
      </x:c>
      <x:c r="F987" s="30" t="n">
        <x:v>1</x:v>
      </x:c>
      <x:c r="G987" s="30" t="str">
        <x:v>Present</x:v>
      </x:c>
      <x:c r="H987" s="30" t="str">
        <x:v>Present</x:v>
      </x:c>
      <x:c r="I987" s="30" t="str">
        <x:v>Limited/configuration-dependent public specifications</x:v>
      </x:c>
    </x:row>
    <x:row r="988" ht="72" customHeight="1">
      <x:c r="A988" s="30" t="n">
        <x:v>9</x:v>
      </x:c>
      <x:c r="B988" s="30" t="str">
        <x:v>US</x:v>
      </x:c>
      <x:c r="C988" s="30" t="str">
        <x:v>Anduril</x:v>
      </x:c>
      <x:c r="D988" s="30" t="str">
        <x:v>UAVs/Drones</x:v>
      </x:c>
      <x:c r="E988" s="30" t="str">
        <x:v>ALTIUS 600</x:v>
      </x:c>
      <x:c r="F988" s="30" t="n">
        <x:v>2</x:v>
      </x:c>
      <x:c r="G988" s="30" t="str">
        <x:v>Present</x:v>
      </x:c>
      <x:c r="H988" s="30" t="str">
        <x:v>Present</x:v>
      </x:c>
      <x:c r="I988" s="30" t="str">
        <x:v>Limited/configuration-dependent public specifications</x:v>
      </x:c>
    </x:row>
    <x:row r="989" ht="72" customHeight="1">
      <x:c r="A989" s="30" t="n">
        <x:v>9</x:v>
      </x:c>
      <x:c r="B989" s="30" t="str">
        <x:v>US</x:v>
      </x:c>
      <x:c r="C989" s="30" t="str">
        <x:v>Anduril</x:v>
      </x:c>
      <x:c r="D989" s="30" t="str">
        <x:v>UAVs/Drones</x:v>
      </x:c>
      <x:c r="E989" s="30" t="str">
        <x:v>ALTIUS 600M</x:v>
      </x:c>
      <x:c r="F989" s="30" t="n">
        <x:v>1</x:v>
      </x:c>
      <x:c r="G989" s="30" t="str">
        <x:v>Present</x:v>
      </x:c>
      <x:c r="H989" s="30" t="str">
        <x:v>Present</x:v>
      </x:c>
      <x:c r="I989" s="30" t="str">
        <x:v>OK</x:v>
      </x:c>
    </x:row>
    <x:row r="990" ht="72" customHeight="1">
      <x:c r="A990" s="30" t="n">
        <x:v>9</x:v>
      </x:c>
      <x:c r="B990" s="30" t="str">
        <x:v>US</x:v>
      </x:c>
      <x:c r="C990" s="30" t="str">
        <x:v>Anduril</x:v>
      </x:c>
      <x:c r="D990" s="30" t="str">
        <x:v>UAVs/Drones</x:v>
      </x:c>
      <x:c r="E990" s="30" t="str">
        <x:v>ALTIUS 700M</x:v>
      </x:c>
      <x:c r="F990" s="30" t="n">
        <x:v>1</x:v>
      </x:c>
      <x:c r="G990" s="30" t="str">
        <x:v>Present</x:v>
      </x:c>
      <x:c r="H990" s="30" t="str">
        <x:v>Present</x:v>
      </x:c>
      <x:c r="I990" s="30" t="str">
        <x:v>OK</x:v>
      </x:c>
    </x:row>
    <x:row r="991" ht="72" customHeight="1">
      <x:c r="A991" s="30" t="n">
        <x:v>9</x:v>
      </x:c>
      <x:c r="B991" s="30" t="str">
        <x:v>US</x:v>
      </x:c>
      <x:c r="C991" s="30" t="str">
        <x:v>Anduril</x:v>
      </x:c>
      <x:c r="D991" s="30" t="str">
        <x:v>UAVs/Drones</x:v>
      </x:c>
      <x:c r="E991" s="30" t="str">
        <x:v>Anvil</x:v>
      </x:c>
      <x:c r="F991" s="30" t="n">
        <x:v>2</x:v>
      </x:c>
      <x:c r="G991" s="30" t="str">
        <x:v>Present</x:v>
      </x:c>
      <x:c r="H991" s="30" t="str">
        <x:v>Present</x:v>
      </x:c>
      <x:c r="I991" s="30" t="str">
        <x:v>Limited/configuration-dependent public specifications</x:v>
      </x:c>
    </x:row>
    <x:row r="992" ht="72" customHeight="1">
      <x:c r="A992" s="30" t="n">
        <x:v>9</x:v>
      </x:c>
      <x:c r="B992" s="30" t="str">
        <x:v>US</x:v>
      </x:c>
      <x:c r="C992" s="30" t="str">
        <x:v>Anduril</x:v>
      </x:c>
      <x:c r="D992" s="30" t="str">
        <x:v>UAVs/Drones</x:v>
      </x:c>
      <x:c r="E992" s="30" t="str">
        <x:v>Anvil-M</x:v>
      </x:c>
      <x:c r="F992" s="30" t="n">
        <x:v>2</x:v>
      </x:c>
      <x:c r="G992" s="30" t="str">
        <x:v>Present</x:v>
      </x:c>
      <x:c r="H992" s="30" t="str">
        <x:v>Present</x:v>
      </x:c>
      <x:c r="I992" s="30" t="str">
        <x:v>OK</x:v>
      </x:c>
    </x:row>
    <x:row r="993" ht="72" customHeight="1">
      <x:c r="A993" s="30" t="n">
        <x:v>9</x:v>
      </x:c>
      <x:c r="B993" s="30" t="str">
        <x:v>US</x:v>
      </x:c>
      <x:c r="C993" s="30" t="str">
        <x:v>Anduril</x:v>
      </x:c>
      <x:c r="D993" s="30" t="str">
        <x:v>UAVs/Drones</x:v>
      </x:c>
      <x:c r="E993" s="30" t="str">
        <x:v>Fury</x:v>
      </x:c>
      <x:c r="F993" s="30" t="n">
        <x:v>3</x:v>
      </x:c>
      <x:c r="G993" s="30" t="str">
        <x:v>Present</x:v>
      </x:c>
      <x:c r="H993" s="30" t="str">
        <x:v>Present</x:v>
      </x:c>
      <x:c r="I993" s="30" t="str">
        <x:v>Limited/configuration-dependent public specifications</x:v>
      </x:c>
    </x:row>
    <x:row r="994" ht="72" customHeight="1">
      <x:c r="A994" s="30" t="n">
        <x:v>9</x:v>
      </x:c>
      <x:c r="B994" s="30" t="str">
        <x:v>US</x:v>
      </x:c>
      <x:c r="C994" s="30" t="str">
        <x:v>Anduril</x:v>
      </x:c>
      <x:c r="D994" s="30" t="str">
        <x:v>UAVs/Drones</x:v>
      </x:c>
      <x:c r="E994" s="30" t="str">
        <x:v>Ghost</x:v>
      </x:c>
      <x:c r="F994" s="30" t="n">
        <x:v>1</x:v>
      </x:c>
      <x:c r="G994" s="30" t="str">
        <x:v>Present</x:v>
      </x:c>
      <x:c r="H994" s="30" t="str">
        <x:v>Present</x:v>
      </x:c>
      <x:c r="I994" s="30" t="str">
        <x:v>Limited/configuration-dependent public specifications</x:v>
      </x:c>
    </x:row>
    <x:row r="995" ht="72" customHeight="1">
      <x:c r="A995" s="30" t="n">
        <x:v>9</x:v>
      </x:c>
      <x:c r="B995" s="30" t="str">
        <x:v>US</x:v>
      </x:c>
      <x:c r="C995" s="30" t="str">
        <x:v>Anduril</x:v>
      </x:c>
      <x:c r="D995" s="30" t="str">
        <x:v>UAVs/Drones</x:v>
      </x:c>
      <x:c r="E995" s="30" t="str">
        <x:v>Ghost-X</x:v>
      </x:c>
      <x:c r="F995" s="30" t="n">
        <x:v>1</x:v>
      </x:c>
      <x:c r="G995" s="30" t="str">
        <x:v>Present</x:v>
      </x:c>
      <x:c r="H995" s="30" t="str">
        <x:v>Present</x:v>
      </x:c>
      <x:c r="I995" s="30" t="str">
        <x:v>OK</x:v>
      </x:c>
    </x:row>
    <x:row r="996" ht="72" customHeight="1">
      <x:c r="A996" s="30" t="n">
        <x:v>9</x:v>
      </x:c>
      <x:c r="B996" s="30" t="str">
        <x:v>US</x:v>
      </x:c>
      <x:c r="C996" s="30" t="str">
        <x:v>Anduril</x:v>
      </x:c>
      <x:c r="D996" s="30" t="str">
        <x:v>UAVs/Drones</x:v>
      </x:c>
      <x:c r="E996" s="30" t="str">
        <x:v>Roadrunner</x:v>
      </x:c>
      <x:c r="F996" s="30" t="n">
        <x:v>2</x:v>
      </x:c>
      <x:c r="G996" s="30" t="str">
        <x:v>Present</x:v>
      </x:c>
      <x:c r="H996" s="30" t="str">
        <x:v>Present</x:v>
      </x:c>
      <x:c r="I996" s="30" t="str">
        <x:v>Limited/configuration-dependent public specifications</x:v>
      </x:c>
    </x:row>
    <x:row r="997" ht="72" customHeight="1">
      <x:c r="A997" s="30" t="n">
        <x:v>9</x:v>
      </x:c>
      <x:c r="B997" s="30" t="str">
        <x:v>US</x:v>
      </x:c>
      <x:c r="C997" s="30" t="str">
        <x:v>Anduril</x:v>
      </x:c>
      <x:c r="D997" s="30" t="str">
        <x:v>Missiles</x:v>
      </x:c>
      <x:c r="E997" s="30" t="str">
        <x:v>Barracuda-500</x:v>
      </x:c>
      <x:c r="F997" s="30" t="n">
        <x:v>2</x:v>
      </x:c>
      <x:c r="G997" s="30" t="str">
        <x:v>Present</x:v>
      </x:c>
      <x:c r="H997" s="30" t="str">
        <x:v>Present</x:v>
      </x:c>
      <x:c r="I997" s="30" t="str">
        <x:v>Limited/configuration-dependent public specifications</x:v>
      </x:c>
    </x:row>
    <x:row r="998" ht="72" customHeight="1">
      <x:c r="A998" s="30" t="n">
        <x:v>9</x:v>
      </x:c>
      <x:c r="B998" s="30" t="str">
        <x:v>US</x:v>
      </x:c>
      <x:c r="C998" s="30" t="str">
        <x:v>Anduril</x:v>
      </x:c>
      <x:c r="D998" s="30" t="str">
        <x:v>Missiles</x:v>
      </x:c>
      <x:c r="E998" s="30" t="str">
        <x:v>Barracuda-500M / SLB-500M</x:v>
      </x:c>
      <x:c r="F998" s="30" t="n">
        <x:v>1</x:v>
      </x:c>
      <x:c r="G998" s="30" t="str">
        <x:v>Present</x:v>
      </x:c>
      <x:c r="H998" s="30" t="str">
        <x:v>Present</x:v>
      </x:c>
      <x:c r="I998" s="30" t="str">
        <x:v>OK</x:v>
      </x:c>
    </x:row>
    <x:row r="999" ht="72" customHeight="1">
      <x:c r="A999" s="30" t="n">
        <x:v>9</x:v>
      </x:c>
      <x:c r="B999" s="30" t="str">
        <x:v>US</x:v>
      </x:c>
      <x:c r="C999" s="30" t="str">
        <x:v>Anduril</x:v>
      </x:c>
      <x:c r="D999" s="30" t="str">
        <x:v>Missiles</x:v>
      </x:c>
      <x:c r="E999" s="30" t="str">
        <x:v>Roadrunner-M</x:v>
      </x:c>
      <x:c r="F999" s="30" t="n">
        <x:v>1</x:v>
      </x:c>
      <x:c r="G999" s="30" t="str">
        <x:v>Present</x:v>
      </x:c>
      <x:c r="H999" s="30" t="str">
        <x:v>Present</x:v>
      </x:c>
      <x:c r="I999" s="30" t="str">
        <x:v>OK</x:v>
      </x:c>
    </x:row>
    <x:row r="1000" ht="72" customHeight="1">
      <x:c r="A1000" s="30" t="n">
        <x:v>10</x:v>
      </x:c>
      <x:c r="B1000" s="30" t="str">
        <x:v>Israel</x:v>
      </x:c>
      <x:c r="C1000" s="30" t="str">
        <x:v>UVision Air</x:v>
      </x:c>
      <x:c r="D1000" s="30" t="str">
        <x:v>UAVs/Drones</x:v>
      </x:c>
      <x:c r="E1000" s="30" t="str">
        <x:v>HERO 120</x:v>
      </x:c>
      <x:c r="F1000" s="30" t="n">
        <x:v>5</x:v>
      </x:c>
      <x:c r="G1000" s="30" t="str">
        <x:v>Present</x:v>
      </x:c>
      <x:c r="H1000" s="30" t="str">
        <x:v>Present</x:v>
      </x:c>
      <x:c r="I1000" s="30" t="str">
        <x:v>OK</x:v>
      </x:c>
    </x:row>
    <x:row r="1001" ht="72" customHeight="1">
      <x:c r="A1001" s="30" t="n">
        <x:v>10</x:v>
      </x:c>
      <x:c r="B1001" s="30" t="str">
        <x:v>Israel</x:v>
      </x:c>
      <x:c r="C1001" s="30" t="str">
        <x:v>UVision Air</x:v>
      </x:c>
      <x:c r="D1001" s="30" t="str">
        <x:v>UAVs/Drones</x:v>
      </x:c>
      <x:c r="E1001" s="30" t="str">
        <x:v>HERO 1250</x:v>
      </x:c>
      <x:c r="F1001" s="30" t="n">
        <x:v>3</x:v>
      </x:c>
      <x:c r="G1001" s="30" t="str">
        <x:v>Present</x:v>
      </x:c>
      <x:c r="H1001" s="30" t="str">
        <x:v>Present</x:v>
      </x:c>
      <x:c r="I1001" s="30" t="str">
        <x:v>OK</x:v>
      </x:c>
    </x:row>
    <x:row r="1002" ht="72" customHeight="1">
      <x:c r="A1002" s="30" t="n">
        <x:v>10</x:v>
      </x:c>
      <x:c r="B1002" s="30" t="str">
        <x:v>Israel</x:v>
      </x:c>
      <x:c r="C1002" s="30" t="str">
        <x:v>UVision Air</x:v>
      </x:c>
      <x:c r="D1002" s="30" t="str">
        <x:v>UAVs/Drones</x:v>
      </x:c>
      <x:c r="E1002" s="30" t="str">
        <x:v>HERO 2500</x:v>
      </x:c>
      <x:c r="F1002" s="30" t="n">
        <x:v>1</x:v>
      </x:c>
      <x:c r="G1002" s="30" t="str">
        <x:v>Present</x:v>
      </x:c>
      <x:c r="H1002" s="30" t="str">
        <x:v>Present</x:v>
      </x:c>
      <x:c r="I1002" s="30" t="str">
        <x:v>Limited/configuration-dependent public specifications</x:v>
      </x:c>
    </x:row>
    <x:row r="1003" ht="72" customHeight="1">
      <x:c r="A1003" s="30" t="n">
        <x:v>10</x:v>
      </x:c>
      <x:c r="B1003" s="30" t="str">
        <x:v>Israel</x:v>
      </x:c>
      <x:c r="C1003" s="30" t="str">
        <x:v>UVision Air</x:v>
      </x:c>
      <x:c r="D1003" s="30" t="str">
        <x:v>UAVs/Drones</x:v>
      </x:c>
      <x:c r="E1003" s="30" t="str">
        <x:v>HERO 30</x:v>
      </x:c>
      <x:c r="F1003" s="30" t="n">
        <x:v>3</x:v>
      </x:c>
      <x:c r="G1003" s="30" t="str">
        <x:v>Present</x:v>
      </x:c>
      <x:c r="H1003" s="30" t="str">
        <x:v>Present</x:v>
      </x:c>
      <x:c r="I1003" s="30" t="str">
        <x:v>OK</x:v>
      </x:c>
    </x:row>
    <x:row r="1004" ht="72" customHeight="1">
      <x:c r="A1004" s="30" t="n">
        <x:v>10</x:v>
      </x:c>
      <x:c r="B1004" s="30" t="str">
        <x:v>Israel</x:v>
      </x:c>
      <x:c r="C1004" s="30" t="str">
        <x:v>UVision Air</x:v>
      </x:c>
      <x:c r="D1004" s="30" t="str">
        <x:v>UAVs/Drones</x:v>
      </x:c>
      <x:c r="E1004" s="30" t="str">
        <x:v>HERO 400 / HERO 400EC</x:v>
      </x:c>
      <x:c r="F1004" s="30" t="n">
        <x:v>4</x:v>
      </x:c>
      <x:c r="G1004" s="30" t="str">
        <x:v>Present</x:v>
      </x:c>
      <x:c r="H1004" s="30" t="str">
        <x:v>Present</x:v>
      </x:c>
      <x:c r="I1004" s="30" t="str">
        <x:v>OK</x:v>
      </x:c>
    </x:row>
    <x:row r="1005" ht="72" customHeight="1">
      <x:c r="A1005" s="30" t="n">
        <x:v>10</x:v>
      </x:c>
      <x:c r="B1005" s="30" t="str">
        <x:v>Israel</x:v>
      </x:c>
      <x:c r="C1005" s="30" t="str">
        <x:v>UVision Air</x:v>
      </x:c>
      <x:c r="D1005" s="30" t="str">
        <x:v>UAVs/Drones</x:v>
      </x:c>
      <x:c r="E1005" s="30" t="str">
        <x:v>HERO 90</x:v>
      </x:c>
      <x:c r="F1005" s="30" t="n">
        <x:v>4</x:v>
      </x:c>
      <x:c r="G1005" s="30" t="str">
        <x:v>Present</x:v>
      </x:c>
      <x:c r="H1005" s="30" t="str">
        <x:v>Present</x:v>
      </x:c>
      <x:c r="I1005" s="30" t="str">
        <x:v>Limited/configuration-dependent public specifications</x:v>
      </x:c>
    </x:row>
    <x:row r="1006" ht="72" customHeight="1">
      <x:c r="A1006" s="30" t="n">
        <x:v>10</x:v>
      </x:c>
      <x:c r="B1006" s="30" t="str">
        <x:v>Israel</x:v>
      </x:c>
      <x:c r="C1006" s="30" t="str">
        <x:v>UVision Air</x:v>
      </x:c>
      <x:c r="D1006" s="30" t="str">
        <x:v>UAVs/Drones</x:v>
      </x:c>
      <x:c r="E1006" s="30" t="str">
        <x:v>HERO 900</x:v>
      </x:c>
      <x:c r="F1006" s="30" t="n">
        <x:v>4</x:v>
      </x:c>
      <x:c r="G1006" s="30" t="str">
        <x:v>Present</x:v>
      </x:c>
      <x:c r="H1006" s="30" t="str">
        <x:v>Present</x:v>
      </x:c>
      <x:c r="I1006" s="30" t="str">
        <x:v>OK</x:v>
      </x:c>
    </x:row>
    <x:row r="1007" ht="72" customHeight="1">
      <x:c r="A1007" s="30" t="n">
        <x:v>10</x:v>
      </x:c>
      <x:c r="B1007" s="30" t="str">
        <x:v>Israel</x:v>
      </x:c>
      <x:c r="C1007" s="30" t="str">
        <x:v>UVision Air</x:v>
      </x:c>
      <x:c r="D1007" s="30" t="str">
        <x:v>UAVs/Drones</x:v>
      </x:c>
      <x:c r="E1007" s="30" t="str">
        <x:v>PEREGRINE MR</x:v>
      </x:c>
      <x:c r="F1007" s="30" t="n">
        <x:v>2</x:v>
      </x:c>
      <x:c r="G1007" s="30" t="str">
        <x:v>Present</x:v>
      </x:c>
      <x:c r="H1007" s="30" t="str">
        <x:v>Present</x:v>
      </x:c>
      <x:c r="I1007" s="30" t="str">
        <x:v>OK</x:v>
      </x:c>
    </x:row>
    <x:row r="1008" ht="72" customHeight="1">
      <x:c r="A1008" s="30" t="n">
        <x:v>10</x:v>
      </x:c>
      <x:c r="B1008" s="30" t="str">
        <x:v>Israel</x:v>
      </x:c>
      <x:c r="C1008" s="30" t="str">
        <x:v>UVision Air</x:v>
      </x:c>
      <x:c r="D1008" s="30" t="str">
        <x:v>UAVs/Drones</x:v>
      </x:c>
      <x:c r="E1008" s="30" t="str">
        <x:v>VIPER 300</x:v>
      </x:c>
      <x:c r="F1008" s="30" t="n">
        <x:v>2</x:v>
      </x:c>
      <x:c r="G1008" s="30" t="str">
        <x:v>Present</x:v>
      </x:c>
      <x:c r="H1008" s="30" t="str">
        <x:v>Present</x:v>
      </x:c>
      <x:c r="I1008" s="30" t="str">
        <x:v>OK</x:v>
      </x:c>
    </x:row>
    <x:row r="1009" ht="72" customHeight="1">
      <x:c r="A1009" s="30" t="n">
        <x:v>10</x:v>
      </x:c>
      <x:c r="B1009" s="30" t="str">
        <x:v>Israel</x:v>
      </x:c>
      <x:c r="C1009" s="30" t="str">
        <x:v>UVision Air</x:v>
      </x:c>
      <x:c r="D1009" s="30" t="str">
        <x:v>UAVs/Drones</x:v>
      </x:c>
      <x:c r="E1009" s="30" t="str">
        <x:v>VIPER 750</x:v>
      </x:c>
      <x:c r="F1009" s="30" t="n">
        <x:v>2</x:v>
      </x:c>
      <x:c r="G1009" s="30" t="str">
        <x:v>Present</x:v>
      </x:c>
      <x:c r="H1009" s="30" t="str">
        <x:v>Present</x:v>
      </x:c>
      <x:c r="I1009" s="30" t="str">
        <x:v>OK</x:v>
      </x:c>
    </x:row>
    <x:row r="1010" ht="72" customHeight="1">
      <x:c r="A1010" s="30" t="n">
        <x:v>10</x:v>
      </x:c>
      <x:c r="B1010" s="30" t="str">
        <x:v>Israel</x:v>
      </x:c>
      <x:c r="C1010" s="30" t="str">
        <x:v>UVision Air</x:v>
      </x:c>
      <x:c r="D1010" s="30" t="str">
        <x:v>UAVs/Drones</x:v>
      </x:c>
      <x:c r="E1010" s="30" t="str">
        <x:v>VIPER I Interceptor</x:v>
      </x:c>
      <x:c r="F1010" s="30" t="n">
        <x:v>1</x:v>
      </x:c>
      <x:c r="G1010" s="30" t="str">
        <x:v>Present</x:v>
      </x:c>
      <x:c r="H1010" s="30" t="str">
        <x:v>Present</x:v>
      </x:c>
      <x:c r="I1010" s="30" t="str">
        <x:v>OK</x:v>
      </x:c>
    </x:row>
    <x:row r="1011" ht="72" customHeight="1">
      <x:c r="A1011" s="30" t="n">
        <x:v>10</x:v>
      </x:c>
      <x:c r="B1011" s="30" t="str">
        <x:v>Israel</x:v>
      </x:c>
      <x:c r="C1011" s="30" t="str">
        <x:v>UVision Air</x:v>
      </x:c>
      <x:c r="D1011" s="30" t="str">
        <x:v>UAVs/Drones</x:v>
      </x:c>
      <x:c r="E1011" s="30" t="str">
        <x:v>VIPER Multi-Canister Launcher (MCL)</x:v>
      </x:c>
      <x:c r="F1011" s="30" t="n">
        <x:v>1</x:v>
      </x:c>
      <x:c r="G1011" s="30" t="str">
        <x:v>Present</x:v>
      </x:c>
      <x:c r="H1011" s="30" t="str">
        <x:v>Present</x:v>
      </x:c>
      <x:c r="I1011" s="30" t="str">
        <x:v>OK</x:v>
      </x:c>
    </x:row>
    <x:row r="1012" ht="72" customHeight="1">
      <x:c r="A1012" s="30" t="n">
        <x:v>10</x:v>
      </x:c>
      <x:c r="B1012" s="30" t="str">
        <x:v>India</x:v>
      </x:c>
      <x:c r="C1012" s="30" t="str">
        <x:v>Adani Defence</x:v>
      </x:c>
      <x:c r="D1012" s="30" t="str">
        <x:v>Artillery</x:v>
      </x:c>
      <x:c r="E1012" s="30" t="str">
        <x:v>Aryan 52 Mounted Gun System</x:v>
      </x:c>
      <x:c r="F1012" s="30" t="n">
        <x:v>1</x:v>
      </x:c>
      <x:c r="G1012" s="30" t="str">
        <x:v>Present</x:v>
      </x:c>
      <x:c r="H1012" s="30" t="str">
        <x:v>Present</x:v>
      </x:c>
      <x:c r="I1012" s="30" t="str">
        <x:v>Family/system/component-level entry — review if exact-model-only view is needed</x:v>
      </x:c>
    </x:row>
    <x:row r="1013" ht="72" customHeight="1">
      <x:c r="A1013" s="30" t="n">
        <x:v>10</x:v>
      </x:c>
      <x:c r="B1013" s="30" t="str">
        <x:v>India</x:v>
      </x:c>
      <x:c r="C1013" s="30" t="str">
        <x:v>Adani Defence</x:v>
      </x:c>
      <x:c r="D1013" s="30" t="str">
        <x:v>Ammunition</x:v>
      </x:c>
      <x:c r="E1013" s="30" t="str">
        <x:v>12.7×99 mm / .50 Cal Ammunition</x:v>
      </x:c>
      <x:c r="F1013" s="30" t="n">
        <x:v>3</x:v>
      </x:c>
      <x:c r="G1013" s="30" t="str">
        <x:v>Present</x:v>
      </x:c>
      <x:c r="H1013" s="30" t="str">
        <x:v>Present</x:v>
      </x:c>
      <x:c r="I1013" s="30" t="str">
        <x:v>OK</x:v>
      </x:c>
    </x:row>
    <x:row r="1014" ht="72" customHeight="1">
      <x:c r="A1014" s="30" t="n">
        <x:v>10</x:v>
      </x:c>
      <x:c r="B1014" s="30" t="str">
        <x:v>India</x:v>
      </x:c>
      <x:c r="C1014" s="30" t="str">
        <x:v>Adani Defence</x:v>
      </x:c>
      <x:c r="D1014" s="30" t="str">
        <x:v>Ammunition</x:v>
      </x:c>
      <x:c r="E1014" s="30" t="str">
        <x:v>155 mm Artillery Ammunition Family</x:v>
      </x:c>
      <x:c r="F1014" s="30" t="n">
        <x:v>3</x:v>
      </x:c>
      <x:c r="G1014" s="30" t="str">
        <x:v>Present</x:v>
      </x:c>
      <x:c r="H1014" s="30" t="str">
        <x:v>Present</x:v>
      </x:c>
      <x:c r="I1014" s="30" t="str">
        <x:v>Limited/configuration-dependent public specifications; Family/system/component-level entry — review if exact-model-only view is needed</x:v>
      </x:c>
    </x:row>
    <x:row r="1015" ht="72" customHeight="1">
      <x:c r="A1015" s="30" t="n">
        <x:v>10</x:v>
      </x:c>
      <x:c r="B1015" s="30" t="str">
        <x:v>India</x:v>
      </x:c>
      <x:c r="C1015" s="30" t="str">
        <x:v>Adani Defence</x:v>
      </x:c>
      <x:c r="D1015" s="30" t="str">
        <x:v>Ammunition</x:v>
      </x:c>
      <x:c r="E1015" s="30" t="str">
        <x:v>30 mm Medium-Calibre Ammunition</x:v>
      </x:c>
      <x:c r="F1015" s="30" t="n">
        <x:v>3</x:v>
      </x:c>
      <x:c r="G1015" s="30" t="str">
        <x:v>Present</x:v>
      </x:c>
      <x:c r="H1015" s="30" t="str">
        <x:v>Present</x:v>
      </x:c>
      <x:c r="I1015" s="30" t="str">
        <x:v>Limited/configuration-dependent public specifications</x:v>
      </x:c>
    </x:row>
    <x:row r="1016" ht="72" customHeight="1">
      <x:c r="A1016" s="30" t="n">
        <x:v>10</x:v>
      </x:c>
      <x:c r="B1016" s="30" t="str">
        <x:v>India</x:v>
      </x:c>
      <x:c r="C1016" s="30" t="str">
        <x:v>Adani Defence</x:v>
      </x:c>
      <x:c r="D1016" s="30" t="str">
        <x:v>Ammunition</x:v>
      </x:c>
      <x:c r="E1016" s="30" t="str">
        <x:v>5.56×45 mm Small-Arms Ammunition</x:v>
      </x:c>
      <x:c r="F1016" s="30" t="n">
        <x:v>3</x:v>
      </x:c>
      <x:c r="G1016" s="30" t="str">
        <x:v>Present</x:v>
      </x:c>
      <x:c r="H1016" s="30" t="str">
        <x:v>Present</x:v>
      </x:c>
      <x:c r="I1016" s="30" t="str">
        <x:v>Limited/configuration-dependent public specifications</x:v>
      </x:c>
    </x:row>
    <x:row r="1017" ht="72" customHeight="1">
      <x:c r="A1017" s="30" t="n">
        <x:v>10</x:v>
      </x:c>
      <x:c r="B1017" s="30" t="str">
        <x:v>India</x:v>
      </x:c>
      <x:c r="C1017" s="30" t="str">
        <x:v>Adani Defence</x:v>
      </x:c>
      <x:c r="D1017" s="30" t="str">
        <x:v>Ammunition</x:v>
      </x:c>
      <x:c r="E1017" s="30" t="str">
        <x:v>7.62×39 mm Small-Arms Ammunition</x:v>
      </x:c>
      <x:c r="F1017" s="30" t="n">
        <x:v>3</x:v>
      </x:c>
      <x:c r="G1017" s="30" t="str">
        <x:v>Present</x:v>
      </x:c>
      <x:c r="H1017" s="30" t="str">
        <x:v>Present</x:v>
      </x:c>
      <x:c r="I1017" s="30" t="str">
        <x:v>Limited/configuration-dependent public specifications</x:v>
      </x:c>
    </x:row>
    <x:row r="1018" ht="72" customHeight="1">
      <x:c r="A1018" s="30" t="n">
        <x:v>10</x:v>
      </x:c>
      <x:c r="B1018" s="30" t="str">
        <x:v>India</x:v>
      </x:c>
      <x:c r="C1018" s="30" t="str">
        <x:v>Adani Defence</x:v>
      </x:c>
      <x:c r="D1018" s="30" t="str">
        <x:v>Ammunition</x:v>
      </x:c>
      <x:c r="E1018" s="30" t="str">
        <x:v>7.62×51 mm Small-Arms Ammunition</x:v>
      </x:c>
      <x:c r="F1018" s="30" t="n">
        <x:v>3</x:v>
      </x:c>
      <x:c r="G1018" s="30" t="str">
        <x:v>Present</x:v>
      </x:c>
      <x:c r="H1018" s="30" t="str">
        <x:v>Present</x:v>
      </x:c>
      <x:c r="I1018" s="30" t="str">
        <x:v>Limited/configuration-dependent public specifications</x:v>
      </x:c>
    </x:row>
    <x:row r="1019" ht="72" customHeight="1">
      <x:c r="A1019" s="30" t="n">
        <x:v>10</x:v>
      </x:c>
      <x:c r="B1019" s="30" t="str">
        <x:v>India</x:v>
      </x:c>
      <x:c r="C1019" s="30" t="str">
        <x:v>Adani Defence</x:v>
      </x:c>
      <x:c r="D1019" s="30" t="str">
        <x:v>Ammunition</x:v>
      </x:c>
      <x:c r="E1019" s="30" t="str">
        <x:v>9×19 mm Small-Arms Ammunition</x:v>
      </x:c>
      <x:c r="F1019" s="30" t="n">
        <x:v>3</x:v>
      </x:c>
      <x:c r="G1019" s="30" t="str">
        <x:v>Present</x:v>
      </x:c>
      <x:c r="H1019" s="30" t="str">
        <x:v>Present</x:v>
      </x:c>
      <x:c r="I1019" s="30" t="str">
        <x:v>Limited/configuration-dependent public specifications</x:v>
      </x:c>
    </x:row>
    <x:row r="1020" ht="72" customHeight="1">
      <x:c r="A1020" s="30" t="n">
        <x:v>10</x:v>
      </x:c>
      <x:c r="B1020" s="30" t="str">
        <x:v>India</x:v>
      </x:c>
      <x:c r="C1020" s="30" t="str">
        <x:v>Adani Defence</x:v>
      </x:c>
      <x:c r="D1020" s="30" t="str">
        <x:v>Protected Vehicles</x:v>
      </x:c>
      <x:c r="E1020" s="30" t="str">
        <x:v>Vehicle-Mounted Counter-Drone System</x:v>
      </x:c>
      <x:c r="F1020" s="30" t="n">
        <x:v>1</x:v>
      </x:c>
      <x:c r="G1020" s="30" t="str">
        <x:v>Present</x:v>
      </x:c>
      <x:c r="H1020" s="30" t="str">
        <x:v>Present</x:v>
      </x:c>
      <x:c r="I1020" s="30" t="str">
        <x:v>Family/system/component-level entry — review if exact-model-only view is needed</x:v>
      </x:c>
    </x:row>
    <x:row r="1021" ht="72" customHeight="1">
      <x:c r="A1021" s="30" t="n">
        <x:v>10</x:v>
      </x:c>
      <x:c r="B1021" s="30" t="str">
        <x:v>India</x:v>
      </x:c>
      <x:c r="C1021" s="30" t="str">
        <x:v>Adani Defence</x:v>
      </x:c>
      <x:c r="D1021" s="30" t="str">
        <x:v>Marine/Naval</x:v>
      </x:c>
      <x:c r="E1021" s="30" t="str">
        <x:v>Adani autonomous maritime systems</x:v>
      </x:c>
      <x:c r="F1021" s="30" t="n">
        <x:v>1</x:v>
      </x:c>
      <x:c r="G1021" s="30" t="str">
        <x:v>Present</x:v>
      </x:c>
      <x:c r="H1021" s="30" t="str">
        <x:v>Present</x:v>
      </x:c>
      <x:c r="I1021" s="30" t="str">
        <x:v>Limited/configuration-dependent public specifications; Family/system/component-level entry — review if exact-model-only view is needed</x:v>
      </x:c>
    </x:row>
    <x:row r="1022" ht="72" customHeight="1">
      <x:c r="A1022" s="30" t="n">
        <x:v>10</x:v>
      </x:c>
      <x:c r="B1022" s="30" t="str">
        <x:v>India</x:v>
      </x:c>
      <x:c r="C1022" s="30" t="str">
        <x:v>Adani Defence</x:v>
      </x:c>
      <x:c r="D1022" s="30" t="str">
        <x:v>UAVs/Drones</x:v>
      </x:c>
      <x:c r="E1022" s="30" t="str">
        <x:v>Agnikaa</x:v>
      </x:c>
      <x:c r="F1022" s="30" t="n">
        <x:v>2</x:v>
      </x:c>
      <x:c r="G1022" s="30" t="str">
        <x:v>Present</x:v>
      </x:c>
      <x:c r="H1022" s="30" t="str">
        <x:v>Present</x:v>
      </x:c>
      <x:c r="I1022" s="30" t="str">
        <x:v>Limited/configuration-dependent public specifications</x:v>
      </x:c>
    </x:row>
    <x:row r="1023" ht="72" customHeight="1">
      <x:c r="A1023" s="30" t="n">
        <x:v>10</x:v>
      </x:c>
      <x:c r="B1023" s="30" t="str">
        <x:v>India</x:v>
      </x:c>
      <x:c r="C1023" s="30" t="str">
        <x:v>Adani Defence</x:v>
      </x:c>
      <x:c r="D1023" s="30" t="str">
        <x:v>UAVs/Drones</x:v>
      </x:c>
      <x:c r="E1023" s="30" t="str">
        <x:v>AGNIKAA VTOL-1 FPV Kamikaze Drone</x:v>
      </x:c>
      <x:c r="F1023" s="30" t="n">
        <x:v>2</x:v>
      </x:c>
      <x:c r="G1023" s="30" t="str">
        <x:v>Present</x:v>
      </x:c>
      <x:c r="H1023" s="30" t="str">
        <x:v>Present</x:v>
      </x:c>
      <x:c r="I1023" s="30" t="str">
        <x:v>OK</x:v>
      </x:c>
    </x:row>
    <x:row r="1024" ht="72" customHeight="1">
      <x:c r="A1024" s="30" t="n">
        <x:v>10</x:v>
      </x:c>
      <x:c r="B1024" s="30" t="str">
        <x:v>India</x:v>
      </x:c>
      <x:c r="C1024" s="30" t="str">
        <x:v>Adani Defence</x:v>
      </x:c>
      <x:c r="D1024" s="30" t="str">
        <x:v>UAVs/Drones</x:v>
      </x:c>
      <x:c r="E1024" s="30" t="str">
        <x:v>ALFA-S</x:v>
      </x:c>
      <x:c r="F1024" s="30" t="n">
        <x:v>2</x:v>
      </x:c>
      <x:c r="G1024" s="30" t="str">
        <x:v>Present</x:v>
      </x:c>
      <x:c r="H1024" s="30" t="str">
        <x:v>Present</x:v>
      </x:c>
      <x:c r="I1024" s="30" t="str">
        <x:v>Limited/configuration-dependent public specifications</x:v>
      </x:c>
    </x:row>
    <x:row r="1025" ht="72" customHeight="1">
      <x:c r="A1025" s="30" t="n">
        <x:v>10</x:v>
      </x:c>
      <x:c r="B1025" s="30" t="str">
        <x:v>India</x:v>
      </x:c>
      <x:c r="C1025" s="30" t="str">
        <x:v>Adani Defence</x:v>
      </x:c>
      <x:c r="D1025" s="30" t="str">
        <x:v>UAVs/Drones</x:v>
      </x:c>
      <x:c r="E1025" s="30" t="str">
        <x:v>DRISHTI 10 Starliner</x:v>
      </x:c>
      <x:c r="F1025" s="30" t="n">
        <x:v>5</x:v>
      </x:c>
      <x:c r="G1025" s="30" t="str">
        <x:v>Present</x:v>
      </x:c>
      <x:c r="H1025" s="30" t="str">
        <x:v>Present</x:v>
      </x:c>
      <x:c r="I1025" s="30" t="str">
        <x:v>OK</x:v>
      </x:c>
    </x:row>
    <x:row r="1026" ht="72" customHeight="1">
      <x:c r="A1026" s="30" t="n">
        <x:v>10</x:v>
      </x:c>
      <x:c r="B1026" s="30" t="str">
        <x:v>India</x:v>
      </x:c>
      <x:c r="C1026" s="30" t="str">
        <x:v>Adani Defence</x:v>
      </x:c>
      <x:c r="D1026" s="30" t="str">
        <x:v>UAVs/Drones</x:v>
      </x:c>
      <x:c r="E1026" s="30" t="str">
        <x:v>SkyStriker Loitering Munition</x:v>
      </x:c>
      <x:c r="F1026" s="30" t="n">
        <x:v>3</x:v>
      </x:c>
      <x:c r="G1026" s="30" t="str">
        <x:v>Present</x:v>
      </x:c>
      <x:c r="H1026" s="30" t="str">
        <x:v>Present</x:v>
      </x:c>
      <x:c r="I1026" s="30" t="str">
        <x:v>Limited/configuration-dependent public specifications</x:v>
      </x:c>
    </x:row>
    <x:row r="1027" ht="72" customHeight="1">
      <x:c r="A1027" s="30" t="n">
        <x:v>10</x:v>
      </x:c>
      <x:c r="B1027" s="30" t="str">
        <x:v>India</x:v>
      </x:c>
      <x:c r="C1027" s="30" t="str">
        <x:v>Adani Defence</x:v>
      </x:c>
      <x:c r="D1027" s="30" t="str">
        <x:v>UAVs/Drones</x:v>
      </x:c>
      <x:c r="E1027" s="30" t="str">
        <x:v>UAV-Launched Precision Guided Munition (ULPGM)</x:v>
      </x:c>
      <x:c r="F1027" s="30" t="n">
        <x:v>1</x:v>
      </x:c>
      <x:c r="G1027" s="30" t="str">
        <x:v>Present</x:v>
      </x:c>
      <x:c r="H1027" s="30" t="str">
        <x:v>Present</x:v>
      </x:c>
      <x:c r="I1027" s="30" t="str">
        <x:v>OK</x:v>
      </x:c>
    </x:row>
    <x:row r="1028" ht="72" customHeight="1">
      <x:c r="A1028" s="30" t="n">
        <x:v>10</x:v>
      </x:c>
      <x:c r="B1028" s="30" t="str">
        <x:v>India</x:v>
      </x:c>
      <x:c r="C1028" s="30" t="str">
        <x:v>Adani Defence</x:v>
      </x:c>
      <x:c r="D1028" s="30" t="str">
        <x:v>Missiles</x:v>
      </x:c>
      <x:c r="E1028" s="30" t="str">
        <x:v>ARKA MANPADS</x:v>
      </x:c>
      <x:c r="F1028" s="30" t="n">
        <x:v>2</x:v>
      </x:c>
      <x:c r="G1028" s="30" t="str">
        <x:v>Present</x:v>
      </x:c>
      <x:c r="H1028" s="30" t="str">
        <x:v>Present</x:v>
      </x:c>
      <x:c r="I1028" s="30" t="str">
        <x:v>OK</x:v>
      </x:c>
    </x:row>
    <x:row r="1029" ht="72" customHeight="1">
      <x:c r="A1029" s="30" t="n">
        <x:v>10</x:v>
      </x:c>
      <x:c r="B1029" s="30" t="str">
        <x:v>India</x:v>
      </x:c>
      <x:c r="C1029" s="30" t="str">
        <x:v>BrahMos Aerospace</x:v>
      </x:c>
      <x:c r="D1029" s="30" t="str">
        <x:v>Missiles</x:v>
      </x:c>
      <x:c r="E1029" s="30" t="str">
        <x:v>BRAHMOS Air-Launched Cruise Missile (ALCM)</x:v>
      </x:c>
      <x:c r="F1029" s="30" t="n">
        <x:v>6</x:v>
      </x:c>
      <x:c r="G1029" s="30" t="str">
        <x:v>Present</x:v>
      </x:c>
      <x:c r="H1029" s="30" t="str">
        <x:v>Present</x:v>
      </x:c>
      <x:c r="I1029" s="30" t="str">
        <x:v>OK</x:v>
      </x:c>
    </x:row>
    <x:row r="1030" ht="72" customHeight="1">
      <x:c r="A1030" s="30" t="n">
        <x:v>10</x:v>
      </x:c>
      <x:c r="B1030" s="30" t="str">
        <x:v>India</x:v>
      </x:c>
      <x:c r="C1030" s="30" t="str">
        <x:v>BrahMos Aerospace</x:v>
      </x:c>
      <x:c r="D1030" s="30" t="str">
        <x:v>Missiles</x:v>
      </x:c>
      <x:c r="E1030" s="30" t="str">
        <x:v>BRAHMOS Land Attack Block-I</x:v>
      </x:c>
      <x:c r="F1030" s="30" t="n">
        <x:v>4</x:v>
      </x:c>
      <x:c r="G1030" s="30" t="str">
        <x:v>Present</x:v>
      </x:c>
      <x:c r="H1030" s="30" t="str">
        <x:v>Present</x:v>
      </x:c>
      <x:c r="I1030" s="30" t="str">
        <x:v>OK</x:v>
      </x:c>
    </x:row>
    <x:row r="1031" ht="72" customHeight="1">
      <x:c r="A1031" s="30" t="n">
        <x:v>10</x:v>
      </x:c>
      <x:c r="B1031" s="30" t="str">
        <x:v>India</x:v>
      </x:c>
      <x:c r="C1031" s="30" t="str">
        <x:v>BrahMos Aerospace</x:v>
      </x:c>
      <x:c r="D1031" s="30" t="str">
        <x:v>Missiles</x:v>
      </x:c>
      <x:c r="E1031" s="30" t="str">
        <x:v>BRAHMOS Land Attack Block-II</x:v>
      </x:c>
      <x:c r="F1031" s="30" t="n">
        <x:v>3</x:v>
      </x:c>
      <x:c r="G1031" s="30" t="str">
        <x:v>Present</x:v>
      </x:c>
      <x:c r="H1031" s="30" t="str">
        <x:v>Present</x:v>
      </x:c>
      <x:c r="I1031" s="30" t="str">
        <x:v>OK</x:v>
      </x:c>
    </x:row>
    <x:row r="1032" ht="72" customHeight="1">
      <x:c r="A1032" s="30" t="n">
        <x:v>10</x:v>
      </x:c>
      <x:c r="B1032" s="30" t="str">
        <x:v>India</x:v>
      </x:c>
      <x:c r="C1032" s="30" t="str">
        <x:v>BrahMos Aerospace</x:v>
      </x:c>
      <x:c r="D1032" s="30" t="str">
        <x:v>Missiles</x:v>
      </x:c>
      <x:c r="E1032" s="30" t="str">
        <x:v>BRAHMOS Land Attack Block-III</x:v>
      </x:c>
      <x:c r="F1032" s="30" t="n">
        <x:v>4</x:v>
      </x:c>
      <x:c r="G1032" s="30" t="str">
        <x:v>Present</x:v>
      </x:c>
      <x:c r="H1032" s="30" t="str">
        <x:v>Present</x:v>
      </x:c>
      <x:c r="I1032" s="30" t="str">
        <x:v>OK</x:v>
      </x:c>
    </x:row>
    <x:row r="1033" ht="72" customHeight="1">
      <x:c r="A1033" s="30" t="n">
        <x:v>10</x:v>
      </x:c>
      <x:c r="B1033" s="30" t="str">
        <x:v>India</x:v>
      </x:c>
      <x:c r="C1033" s="30" t="str">
        <x:v>BrahMos Aerospace</x:v>
      </x:c>
      <x:c r="D1033" s="30" t="str">
        <x:v>Missiles</x:v>
      </x:c>
      <x:c r="E1033" s="30" t="str">
        <x:v>BRAHMOS Land-Based Weapon System</x:v>
      </x:c>
      <x:c r="F1033" s="30" t="n">
        <x:v>7</x:v>
      </x:c>
      <x:c r="G1033" s="30" t="str">
        <x:v>Present</x:v>
      </x:c>
      <x:c r="H1033" s="30" t="str">
        <x:v>Present</x:v>
      </x:c>
      <x:c r="I1033" s="30" t="str">
        <x:v>Family/system/component-level entry — review if exact-model-only view is needed</x:v>
      </x:c>
    </x:row>
    <x:row r="1034" ht="72" customHeight="1">
      <x:c r="A1034" s="30" t="n">
        <x:v>10</x:v>
      </x:c>
      <x:c r="B1034" s="30" t="str">
        <x:v>India</x:v>
      </x:c>
      <x:c r="C1034" s="30" t="str">
        <x:v>BrahMos Aerospace</x:v>
      </x:c>
      <x:c r="D1034" s="30" t="str">
        <x:v>Missiles</x:v>
      </x:c>
      <x:c r="E1034" s="30" t="str">
        <x:v>BRAHMOS Ship-Based Weapon System</x:v>
      </x:c>
      <x:c r="F1034" s="30" t="n">
        <x:v>7</x:v>
      </x:c>
      <x:c r="G1034" s="30" t="str">
        <x:v>Present</x:v>
      </x:c>
      <x:c r="H1034" s="30" t="str">
        <x:v>Present</x:v>
      </x:c>
      <x:c r="I1034" s="30" t="str">
        <x:v>Limited/configuration-dependent public specifications; Family/system/component-level entry — review if exact-model-only view is needed</x:v>
      </x:c>
    </x:row>
    <x:row r="1035" ht="72" customHeight="1">
      <x:c r="A1035" s="30" t="n">
        <x:v>10</x:v>
      </x:c>
      <x:c r="B1035" s="30" t="str">
        <x:v>India</x:v>
      </x:c>
      <x:c r="C1035" s="30" t="str">
        <x:v>BrahMos Aerospace</x:v>
      </x:c>
      <x:c r="D1035" s="30" t="str">
        <x:v>Missiles</x:v>
      </x:c>
      <x:c r="E1035" s="30" t="str">
        <x:v>BRAHMOS Submarine-Launched Cruise Missile (SLCM)</x:v>
      </x:c>
      <x:c r="F1035" s="30" t="n">
        <x:v>5</x:v>
      </x:c>
      <x:c r="G1035" s="30" t="str">
        <x:v>Present</x:v>
      </x:c>
      <x:c r="H1035" s="30" t="str">
        <x:v>Present</x:v>
      </x:c>
      <x:c r="I1035" s="30" t="str">
        <x:v>Limited/configuration-dependent public specifications</x:v>
      </x:c>
    </x:row>
    <x:row r="1036" ht="72" customHeight="1">
      <x:c r="A1036" s="30" t="n">
        <x:v>10</x:v>
      </x:c>
      <x:c r="B1036" s="30" t="str">
        <x:v>India</x:v>
      </x:c>
      <x:c r="C1036" s="30" t="str">
        <x:v>BrahMos Aerospace</x:v>
      </x:c>
      <x:c r="D1036" s="30" t="str">
        <x:v>Missiles</x:v>
      </x:c>
      <x:c r="E1036" s="30" t="str">
        <x:v>BRAHMOS-II Hypersonic Cruise Missile</x:v>
      </x:c>
      <x:c r="F1036" s="30" t="n">
        <x:v>4</x:v>
      </x:c>
      <x:c r="G1036" s="30" t="str">
        <x:v>Present</x:v>
      </x:c>
      <x:c r="H1036" s="30" t="str">
        <x:v>Present</x:v>
      </x:c>
      <x:c r="I1036" s="30" t="str">
        <x:v>Limited/configuration-dependent public specifications</x:v>
      </x:c>
    </x:row>
    <x:row r="1037" ht="72" customHeight="1">
      <x:c r="A1037" s="30" t="n">
        <x:v>10</x:v>
      </x:c>
      <x:c r="B1037" s="30" t="str">
        <x:v>India</x:v>
      </x:c>
      <x:c r="C1037" s="30" t="str">
        <x:v>BrahMos Aerospace</x:v>
      </x:c>
      <x:c r="D1037" s="30" t="str">
        <x:v>Missiles</x:v>
      </x:c>
      <x:c r="E1037" s="30" t="str">
        <x:v>BRAHMOS-NG</x:v>
      </x:c>
      <x:c r="F1037" s="30" t="n">
        <x:v>4</x:v>
      </x:c>
      <x:c r="G1037" s="30" t="str">
        <x:v>Present</x:v>
      </x:c>
      <x:c r="H1037" s="30" t="str">
        <x:v>Present</x:v>
      </x:c>
      <x:c r="I1037" s="30" t="str">
        <x:v>OK</x:v>
      </x:c>
    </x:row>
    <x:row r="1038" ht="72" customHeight="1">
      <x:c r="A1038" s="30" t="n">
        <x:v>10</x:v>
      </x:c>
      <x:c r="B1038" s="30" t="str">
        <x:v>India</x:v>
      </x:c>
      <x:c r="C1038" s="30" t="str">
        <x:v>Premier Explosives</x:v>
      </x:c>
      <x:c r="D1038" s="30" t="str">
        <x:v>Ammunition</x:v>
      </x:c>
      <x:c r="E1038" s="30" t="str">
        <x:v>70 mm Rocket</x:v>
      </x:c>
      <x:c r="F1038" s="30" t="n">
        <x:v>1</x:v>
      </x:c>
      <x:c r="G1038" s="30" t="str">
        <x:v>Present</x:v>
      </x:c>
      <x:c r="H1038" s="30" t="str">
        <x:v>Present</x:v>
      </x:c>
      <x:c r="I1038" s="30" t="str">
        <x:v>Limited/configuration-dependent public specifications</x:v>
      </x:c>
    </x:row>
    <x:row r="1039" ht="72" customHeight="1">
      <x:c r="A1039" s="30" t="n">
        <x:v>10</x:v>
      </x:c>
      <x:c r="B1039" s="30" t="str">
        <x:v>India</x:v>
      </x:c>
      <x:c r="C1039" s="30" t="str">
        <x:v>Premier Explosives</x:v>
      </x:c>
      <x:c r="D1039" s="30" t="str">
        <x:v>Ammunition</x:v>
      </x:c>
      <x:c r="E1039" s="30" t="str">
        <x:v>Agni Strategic Pyrogen Igniter / Daisy-II Motor</x:v>
      </x:c>
      <x:c r="F1039" s="30" t="n">
        <x:v>5</x:v>
      </x:c>
      <x:c r="G1039" s="30" t="str">
        <x:v>Present</x:v>
      </x:c>
      <x:c r="H1039" s="30" t="str">
        <x:v>Present</x:v>
      </x:c>
      <x:c r="I1039" s="30" t="str">
        <x:v>Limited/configuration-dependent public specifications; Family/system/component-level entry — review if exact-model-only view is needed</x:v>
      </x:c>
    </x:row>
    <x:row r="1040" ht="72" customHeight="1">
      <x:c r="A1040" s="30" t="n">
        <x:v>10</x:v>
      </x:c>
      <x:c r="B1040" s="30" t="str">
        <x:v>India</x:v>
      </x:c>
      <x:c r="C1040" s="30" t="str">
        <x:v>Premier Explosives</x:v>
      </x:c>
      <x:c r="D1040" s="30" t="str">
        <x:v>Ammunition</x:v>
      </x:c>
      <x:c r="E1040" s="30" t="str">
        <x:v>Air Target Imitator Rocket / Motor</x:v>
      </x:c>
      <x:c r="F1040" s="30" t="n">
        <x:v>4</x:v>
      </x:c>
      <x:c r="G1040" s="30" t="str">
        <x:v>Present</x:v>
      </x:c>
      <x:c r="H1040" s="30" t="str">
        <x:v>Present</x:v>
      </x:c>
      <x:c r="I1040" s="30" t="str">
        <x:v>Limited/configuration-dependent public specifications; Family/system/component-level entry — review if exact-model-only view is needed</x:v>
      </x:c>
    </x:row>
    <x:row r="1041" ht="72" customHeight="1">
      <x:c r="A1041" s="30" t="n">
        <x:v>10</x:v>
      </x:c>
      <x:c r="B1041" s="30" t="str">
        <x:v>India</x:v>
      </x:c>
      <x:c r="C1041" s="30" t="str">
        <x:v>Premier Explosives</x:v>
      </x:c>
      <x:c r="D1041" s="30" t="str">
        <x:v>Ammunition</x:v>
      </x:c>
      <x:c r="E1041" s="30" t="str">
        <x:v>Akash Booster &amp; Sustainer Grains</x:v>
      </x:c>
      <x:c r="F1041" s="30" t="n">
        <x:v>4</x:v>
      </x:c>
      <x:c r="G1041" s="30" t="str">
        <x:v>Present</x:v>
      </x:c>
      <x:c r="H1041" s="30" t="str">
        <x:v>Present</x:v>
      </x:c>
      <x:c r="I1041" s="30" t="str">
        <x:v>Limited/configuration-dependent public specifications; Family/system/component-level entry — review if exact-model-only view is needed</x:v>
      </x:c>
    </x:row>
    <x:row r="1042" ht="72" customHeight="1">
      <x:c r="A1042" s="30" t="n">
        <x:v>10</x:v>
      </x:c>
      <x:c r="B1042" s="30" t="str">
        <x:v>India</x:v>
      </x:c>
      <x:c r="C1042" s="30" t="str">
        <x:v>Premier Explosives</x:v>
      </x:c>
      <x:c r="D1042" s="30" t="str">
        <x:v>Ammunition</x:v>
      </x:c>
      <x:c r="E1042" s="30" t="str">
        <x:v>Astra Solid Propellant</x:v>
      </x:c>
      <x:c r="F1042" s="30" t="n">
        <x:v>4</x:v>
      </x:c>
      <x:c r="G1042" s="30" t="str">
        <x:v>Present</x:v>
      </x:c>
      <x:c r="H1042" s="30" t="str">
        <x:v>Present</x:v>
      </x:c>
      <x:c r="I1042" s="30" t="str">
        <x:v>Limited/configuration-dependent public specifications; Family/system/component-level entry — review if exact-model-only view is needed</x:v>
      </x:c>
    </x:row>
    <x:row r="1043" ht="72" customHeight="1">
      <x:c r="A1043" s="30" t="n">
        <x:v>10</x:v>
      </x:c>
      <x:c r="B1043" s="30" t="str">
        <x:v>India</x:v>
      </x:c>
      <x:c r="C1043" s="30" t="str">
        <x:v>Premier Explosives</x:v>
      </x:c>
      <x:c r="D1043" s="30" t="str">
        <x:v>Ammunition</x:v>
      </x:c>
      <x:c r="E1043" s="30" t="str">
        <x:v>BrahMos Solid-Propellant Booster Material</x:v>
      </x:c>
      <x:c r="F1043" s="30" t="n">
        <x:v>4</x:v>
      </x:c>
      <x:c r="G1043" s="30" t="str">
        <x:v>Present</x:v>
      </x:c>
      <x:c r="H1043" s="30" t="str">
        <x:v>Present</x:v>
      </x:c>
      <x:c r="I1043" s="30" t="str">
        <x:v>Limited/configuration-dependent public specifications; Family/system/component-level entry — review if exact-model-only view is needed</x:v>
      </x:c>
    </x:row>
    <x:row r="1044" ht="72" customHeight="1">
      <x:c r="A1044" s="30" t="n">
        <x:v>10</x:v>
      </x:c>
      <x:c r="B1044" s="30" t="str">
        <x:v>India</x:v>
      </x:c>
      <x:c r="C1044" s="30" t="str">
        <x:v>Premier Explosives</x:v>
      </x:c>
      <x:c r="D1044" s="30" t="str">
        <x:v>Ammunition</x:v>
      </x:c>
      <x:c r="E1044" s="30" t="str">
        <x:v>Chaff &amp; IR Flare Countermeasure Ammunition</x:v>
      </x:c>
      <x:c r="F1044" s="30" t="n">
        <x:v>4</x:v>
      </x:c>
      <x:c r="G1044" s="30" t="str">
        <x:v>Present</x:v>
      </x:c>
      <x:c r="H1044" s="30" t="str">
        <x:v>Present</x:v>
      </x:c>
      <x:c r="I1044" s="30" t="str">
        <x:v>Limited/configuration-dependent public specifications</x:v>
      </x:c>
    </x:row>
    <x:row r="1045" ht="72" customHeight="1">
      <x:c r="A1045" s="30" t="n">
        <x:v>10</x:v>
      </x:c>
      <x:c r="B1045" s="30" t="str">
        <x:v>India</x:v>
      </x:c>
      <x:c r="C1045" s="30" t="str">
        <x:v>Premier Explosives</x:v>
      </x:c>
      <x:c r="D1045" s="30" t="str">
        <x:v>Ammunition</x:v>
      </x:c>
      <x:c r="E1045" s="30" t="str">
        <x:v>LRSAM Solid Propellant</x:v>
      </x:c>
      <x:c r="F1045" s="30" t="n">
        <x:v>3</x:v>
      </x:c>
      <x:c r="G1045" s="30" t="str">
        <x:v>Present</x:v>
      </x:c>
      <x:c r="H1045" s="30" t="str">
        <x:v>Present</x:v>
      </x:c>
      <x:c r="I1045" s="30" t="str">
        <x:v>Family/system/component-level entry — review if exact-model-only view is needed</x:v>
      </x:c>
    </x:row>
    <x:row r="1046" ht="72" customHeight="1">
      <x:c r="A1046" s="30" t="n">
        <x:v>10</x:v>
      </x:c>
      <x:c r="B1046" s="30" t="str">
        <x:v>India</x:v>
      </x:c>
      <x:c r="C1046" s="30" t="str">
        <x:v>Premier Explosives</x:v>
      </x:c>
      <x:c r="D1046" s="30" t="str">
        <x:v>Ammunition</x:v>
      </x:c>
      <x:c r="E1046" s="30" t="str">
        <x:v>MRSAM Solid Propellant</x:v>
      </x:c>
      <x:c r="F1046" s="30" t="n">
        <x:v>4</x:v>
      </x:c>
      <x:c r="G1046" s="30" t="str">
        <x:v>Present</x:v>
      </x:c>
      <x:c r="H1046" s="30" t="str">
        <x:v>Present</x:v>
      </x:c>
      <x:c r="I1046" s="30" t="str">
        <x:v>Limited/configuration-dependent public specifications; Family/system/component-level entry — review if exact-model-only view is needed</x:v>
      </x:c>
    </x:row>
    <x:row r="1047" ht="72" customHeight="1">
      <x:c r="A1047" s="30" t="n">
        <x:v>10</x:v>
      </x:c>
      <x:c r="B1047" s="30" t="str">
        <x:v>India</x:v>
      </x:c>
      <x:c r="C1047" s="30" t="str">
        <x:v>Premier Explosives</x:v>
      </x:c>
      <x:c r="D1047" s="30" t="str">
        <x:v>Ammunition</x:v>
      </x:c>
      <x:c r="E1047" s="30" t="str">
        <x:v>Pinaka Mk-I Rocket</x:v>
      </x:c>
      <x:c r="F1047" s="30" t="n">
        <x:v>3</x:v>
      </x:c>
      <x:c r="G1047" s="30" t="str">
        <x:v>Present</x:v>
      </x:c>
      <x:c r="H1047" s="30" t="str">
        <x:v>Present</x:v>
      </x:c>
      <x:c r="I1047" s="30" t="str">
        <x:v>OK</x:v>
      </x:c>
    </x:row>
    <x:row r="1048" ht="72" customHeight="1">
      <x:c r="A1048" s="30" t="n">
        <x:v>10</x:v>
      </x:c>
      <x:c r="B1048" s="30" t="str">
        <x:v>India</x:v>
      </x:c>
      <x:c r="C1048" s="30" t="str">
        <x:v>Premier Explosives</x:v>
      </x:c>
      <x:c r="D1048" s="30" t="str">
        <x:v>Ammunition</x:v>
      </x:c>
      <x:c r="E1048" s="30" t="str">
        <x:v>Pinaka Mk-II Rocket</x:v>
      </x:c>
      <x:c r="F1048" s="30" t="n">
        <x:v>3</x:v>
      </x:c>
      <x:c r="G1048" s="30" t="str">
        <x:v>Present</x:v>
      </x:c>
      <x:c r="H1048" s="30" t="str">
        <x:v>Present</x:v>
      </x:c>
      <x:c r="I1048" s="30" t="str">
        <x:v>Limited/configuration-dependent public specifications</x:v>
      </x:c>
    </x:row>
    <x:row r="1049" ht="72" customHeight="1">
      <x:c r="A1049" s="30" t="n">
        <x:v>10</x:v>
      </x:c>
      <x:c r="B1049" s="30" t="str">
        <x:v>India</x:v>
      </x:c>
      <x:c r="C1049" s="30" t="str">
        <x:v>Premier Explosives</x:v>
      </x:c>
      <x:c r="D1049" s="30" t="str">
        <x:v>Ammunition</x:v>
      </x:c>
      <x:c r="E1049" s="30" t="str">
        <x:v>Pinaka Rocket Propellant</x:v>
      </x:c>
      <x:c r="F1049" s="30" t="n">
        <x:v>1</x:v>
      </x:c>
      <x:c r="G1049" s="30" t="str">
        <x:v>Present</x:v>
      </x:c>
      <x:c r="H1049" s="30" t="str">
        <x:v>Present</x:v>
      </x:c>
      <x:c r="I1049" s="30" t="str">
        <x:v>Limited/configuration-dependent public specifications; Family/system/component-level entry — review if exact-model-only view is needed</x:v>
      </x:c>
    </x:row>
    <x:row r="1050" ht="72" customHeight="1">
      <x:c r="A1050" s="30" t="n">
        <x:v>10</x:v>
      </x:c>
      <x:c r="B1050" s="30" t="str">
        <x:v>India</x:v>
      </x:c>
      <x:c r="C1050" s="30" t="str">
        <x:v>Premier Explosives</x:v>
      </x:c>
      <x:c r="D1050" s="30" t="str">
        <x:v>Ammunition</x:v>
      </x:c>
      <x:c r="E1050" s="30" t="str">
        <x:v>QRSAM / NGARM Solid Propellant Family</x:v>
      </x:c>
      <x:c r="F1050" s="30" t="n">
        <x:v>4</x:v>
      </x:c>
      <x:c r="G1050" s="30" t="str">
        <x:v>Present</x:v>
      </x:c>
      <x:c r="H1050" s="30" t="str">
        <x:v>Present</x:v>
      </x:c>
      <x:c r="I1050" s="30" t="str">
        <x:v>Limited/configuration-dependent public specifications; Family/system/component-level entry — review if exact-model-only view is needed</x:v>
      </x:c>
    </x:row>
    <x:row r="1051" ht="72" customHeight="1">
      <x:c r="A1051" s="30" t="n">
        <x:v>10</x:v>
      </x:c>
      <x:c r="B1051" s="30" t="str">
        <x:v>India</x:v>
      </x:c>
      <x:c r="C1051" s="30" t="str">
        <x:v>Premier Explosives</x:v>
      </x:c>
      <x:c r="D1051" s="30" t="str">
        <x:v>Ammunition</x:v>
      </x:c>
      <x:c r="E1051" s="30" t="str">
        <x:v>Rocket Motor Hardware</x:v>
      </x:c>
      <x:c r="F1051" s="30" t="n">
        <x:v>1</x:v>
      </x:c>
      <x:c r="G1051" s="30" t="str">
        <x:v>Present</x:v>
      </x:c>
      <x:c r="H1051" s="30" t="str">
        <x:v>Present</x:v>
      </x:c>
      <x:c r="I1051" s="30" t="str">
        <x:v>Limited/configuration-dependent public specifications; Family/system/component-level entry — review if exact-model-only view is needed</x:v>
      </x:c>
    </x:row>
    <x:row r="1052" ht="72" customHeight="1">
      <x:c r="A1052" s="30" t="n">
        <x:v>10</x:v>
      </x:c>
      <x:c r="B1052" s="30" t="str">
        <x:v>India</x:v>
      </x:c>
      <x:c r="C1052" s="30" t="str">
        <x:v>Premier Explosives</x:v>
      </x:c>
      <x:c r="D1052" s="30" t="str">
        <x:v>Ammunition</x:v>
      </x:c>
      <x:c r="E1052" s="30" t="str">
        <x:v>Sledge Rocket Motor</x:v>
      </x:c>
      <x:c r="F1052" s="30" t="n">
        <x:v>3</x:v>
      </x:c>
      <x:c r="G1052" s="30" t="str">
        <x:v>Present</x:v>
      </x:c>
      <x:c r="H1052" s="30" t="str">
        <x:v>Present</x:v>
      </x:c>
      <x:c r="I1052" s="30" t="str">
        <x:v>Family/system/component-level entry — review if exact-model-only view is needed</x:v>
      </x:c>
    </x:row>
    <x:row r="1053" ht="72" customHeight="1">
      <x:c r="A1053" s="30" t="n">
        <x:v>10</x:v>
      </x:c>
      <x:c r="B1053" s="30" t="str">
        <x:v>India</x:v>
      </x:c>
      <x:c r="C1053" s="30" t="str">
        <x:v>Premier Explosives</x:v>
      </x:c>
      <x:c r="D1053" s="30" t="str">
        <x:v>Ammunition</x:v>
      </x:c>
      <x:c r="E1053" s="30" t="str">
        <x:v>Solid Propellant Families</x:v>
      </x:c>
      <x:c r="F1053" s="30" t="n">
        <x:v>2</x:v>
      </x:c>
      <x:c r="G1053" s="30" t="str">
        <x:v>Present</x:v>
      </x:c>
      <x:c r="H1053" s="30" t="str">
        <x:v>Present</x:v>
      </x:c>
      <x:c r="I1053" s="30" t="str">
        <x:v>Family/system/component-level entry — review if exact-model-only view is needed</x:v>
      </x:c>
    </x:row>
    <x:row r="1054" ht="72" customHeight="1">
      <x:c r="A1054" s="30" t="n">
        <x:v>10</x:v>
      </x:c>
      <x:c r="B1054" s="30" t="str">
        <x:v>India</x:v>
      </x:c>
      <x:c r="C1054" s="30" t="str">
        <x:v>Premier Explosives</x:v>
      </x:c>
      <x:c r="D1054" s="30" t="str">
        <x:v>Ammunition</x:v>
      </x:c>
      <x:c r="E1054" s="30" t="str">
        <x:v>Warhead / High-Energy Material Products</x:v>
      </x:c>
      <x:c r="F1054" s="30" t="n">
        <x:v>1</x:v>
      </x:c>
      <x:c r="G1054" s="30" t="str">
        <x:v>Present</x:v>
      </x:c>
      <x:c r="H1054" s="30" t="str">
        <x:v>Present</x:v>
      </x:c>
      <x:c r="I1054" s="30" t="str">
        <x:v>Family/system/component-level entry — review if exact-model-only view is needed</x:v>
      </x:c>
    </x:row>
    <x:row r="1055" ht="72" customHeight="1">
      <x:c r="A1055" s="30" t="n">
        <x:v>10</x:v>
      </x:c>
      <x:c r="B1055" s="30" t="str">
        <x:v>India</x:v>
      </x:c>
      <x:c r="C1055" s="30" t="str">
        <x:v>Solar Industries</x:v>
      </x:c>
      <x:c r="D1055" s="30" t="str">
        <x:v>Ammunition</x:v>
      </x:c>
      <x:c r="E1055" s="30" t="str">
        <x:v>155 mm Artillery Shell Family</x:v>
      </x:c>
      <x:c r="F1055" s="30" t="n">
        <x:v>2</x:v>
      </x:c>
      <x:c r="G1055" s="30" t="str">
        <x:v>Present</x:v>
      </x:c>
      <x:c r="H1055" s="30" t="str">
        <x:v>Present</x:v>
      </x:c>
      <x:c r="I1055" s="30" t="str">
        <x:v>Limited/configuration-dependent public specifications; Family/system/component-level entry — review if exact-model-only view is needed</x:v>
      </x:c>
    </x:row>
    <x:row r="1056" ht="72" customHeight="1">
      <x:c r="A1056" s="30" t="n">
        <x:v>10</x:v>
      </x:c>
      <x:c r="B1056" s="30" t="str">
        <x:v>India</x:v>
      </x:c>
      <x:c r="C1056" s="30" t="str">
        <x:v>Solar Industries</x:v>
      </x:c>
      <x:c r="D1056" s="30" t="str">
        <x:v>Ammunition</x:v>
      </x:c>
      <x:c r="E1056" s="30" t="str">
        <x:v>23 mm Ammunition</x:v>
      </x:c>
      <x:c r="F1056" s="30" t="n">
        <x:v>1</x:v>
      </x:c>
      <x:c r="G1056" s="30" t="str">
        <x:v>Present</x:v>
      </x:c>
      <x:c r="H1056" s="30" t="str">
        <x:v>Present</x:v>
      </x:c>
      <x:c r="I1056" s="30" t="str">
        <x:v>Limited/configuration-dependent public specifications</x:v>
      </x:c>
    </x:row>
    <x:row r="1057" ht="72" customHeight="1">
      <x:c r="A1057" s="30" t="n">
        <x:v>10</x:v>
      </x:c>
      <x:c r="B1057" s="30" t="str">
        <x:v>India</x:v>
      </x:c>
      <x:c r="C1057" s="30" t="str">
        <x:v>Solar Industries</x:v>
      </x:c>
      <x:c r="D1057" s="30" t="str">
        <x:v>Ammunition</x:v>
      </x:c>
      <x:c r="E1057" s="30" t="str">
        <x:v>30 mm AK-630 HE-T</x:v>
      </x:c>
      <x:c r="F1057" s="30" t="n">
        <x:v>1</x:v>
      </x:c>
      <x:c r="G1057" s="30" t="str">
        <x:v>Present</x:v>
      </x:c>
      <x:c r="H1057" s="30" t="str">
        <x:v>Present</x:v>
      </x:c>
      <x:c r="I1057" s="30" t="str">
        <x:v>OK</x:v>
      </x:c>
    </x:row>
    <x:row r="1058" ht="72" customHeight="1">
      <x:c r="A1058" s="30" t="n">
        <x:v>10</x:v>
      </x:c>
      <x:c r="B1058" s="30" t="str">
        <x:v>India</x:v>
      </x:c>
      <x:c r="C1058" s="30" t="str">
        <x:v>Solar Industries</x:v>
      </x:c>
      <x:c r="D1058" s="30" t="str">
        <x:v>Ammunition</x:v>
      </x:c>
      <x:c r="E1058" s="30" t="str">
        <x:v>30 mm AK-630 HEI</x:v>
      </x:c>
      <x:c r="F1058" s="30" t="n">
        <x:v>1</x:v>
      </x:c>
      <x:c r="G1058" s="30" t="str">
        <x:v>Present</x:v>
      </x:c>
      <x:c r="H1058" s="30" t="str">
        <x:v>Present</x:v>
      </x:c>
      <x:c r="I1058" s="30" t="str">
        <x:v>OK</x:v>
      </x:c>
    </x:row>
    <x:row r="1059" ht="72" customHeight="1">
      <x:c r="A1059" s="30" t="n">
        <x:v>10</x:v>
      </x:c>
      <x:c r="B1059" s="30" t="str">
        <x:v>India</x:v>
      </x:c>
      <x:c r="C1059" s="30" t="str">
        <x:v>Solar Industries</x:v>
      </x:c>
      <x:c r="D1059" s="30" t="str">
        <x:v>Ammunition</x:v>
      </x:c>
      <x:c r="E1059" s="30" t="str">
        <x:v>30 mm BMP-II HEI / HE-T Family</x:v>
      </x:c>
      <x:c r="F1059" s="30" t="n">
        <x:v>1</x:v>
      </x:c>
      <x:c r="G1059" s="30" t="str">
        <x:v>Present</x:v>
      </x:c>
      <x:c r="H1059" s="30" t="str">
        <x:v>Present</x:v>
      </x:c>
      <x:c r="I1059" s="30" t="str">
        <x:v>Family/system/component-level entry — review if exact-model-only view is needed</x:v>
      </x:c>
    </x:row>
    <x:row r="1060" ht="72" customHeight="1">
      <x:c r="A1060" s="30" t="n">
        <x:v>10</x:v>
      </x:c>
      <x:c r="B1060" s="30" t="str">
        <x:v>India</x:v>
      </x:c>
      <x:c r="C1060" s="30" t="str">
        <x:v>Solar Industries</x:v>
      </x:c>
      <x:c r="D1060" s="30" t="str">
        <x:v>Ammunition</x:v>
      </x:c>
      <x:c r="E1060" s="30" t="str">
        <x:v>40 mm Ammunition</x:v>
      </x:c>
      <x:c r="F1060" s="30" t="n">
        <x:v>1</x:v>
      </x:c>
      <x:c r="G1060" s="30" t="str">
        <x:v>Present</x:v>
      </x:c>
      <x:c r="H1060" s="30" t="str">
        <x:v>Present</x:v>
      </x:c>
      <x:c r="I1060" s="30" t="str">
        <x:v>Limited/configuration-dependent public specifications</x:v>
      </x:c>
    </x:row>
    <x:row r="1061" ht="72" customHeight="1">
      <x:c r="A1061" s="30" t="n">
        <x:v>10</x:v>
      </x:c>
      <x:c r="B1061" s="30" t="str">
        <x:v>India</x:v>
      </x:c>
      <x:c r="C1061" s="30" t="str">
        <x:v>Solar Industries</x:v>
      </x:c>
      <x:c r="D1061" s="30" t="str">
        <x:v>Ammunition</x:v>
      </x:c>
      <x:c r="E1061" s="30" t="str">
        <x:v>81 mm AT-AL Smoke Grenade</x:v>
      </x:c>
      <x:c r="F1061" s="30" t="n">
        <x:v>1</x:v>
      </x:c>
      <x:c r="G1061" s="30" t="str">
        <x:v>Present</x:v>
      </x:c>
      <x:c r="H1061" s="30" t="str">
        <x:v>Present</x:v>
      </x:c>
      <x:c r="I1061" s="30" t="str">
        <x:v>Limited/configuration-dependent public specifications</x:v>
      </x:c>
    </x:row>
    <x:row r="1062" ht="72" customHeight="1">
      <x:c r="A1062" s="30" t="n">
        <x:v>10</x:v>
      </x:c>
      <x:c r="B1062" s="30" t="str">
        <x:v>India</x:v>
      </x:c>
      <x:c r="C1062" s="30" t="str">
        <x:v>Solar Industries</x:v>
      </x:c>
      <x:c r="D1062" s="30" t="str">
        <x:v>Ammunition</x:v>
      </x:c>
      <x:c r="E1062" s="30" t="str">
        <x:v>Air Bomb Family — 125/250/500/1000 kg</x:v>
      </x:c>
      <x:c r="F1062" s="30" t="n">
        <x:v>2</x:v>
      </x:c>
      <x:c r="G1062" s="30" t="str">
        <x:v>Present</x:v>
      </x:c>
      <x:c r="H1062" s="30" t="str">
        <x:v>Present</x:v>
      </x:c>
      <x:c r="I1062" s="30" t="str">
        <x:v>Limited/configuration-dependent public specifications; Family/system/component-level entry — review if exact-model-only view is needed</x:v>
      </x:c>
    </x:row>
    <x:row r="1063" ht="72" customHeight="1">
      <x:c r="A1063" s="30" t="n">
        <x:v>10</x:v>
      </x:c>
      <x:c r="B1063" s="30" t="str">
        <x:v>India</x:v>
      </x:c>
      <x:c r="C1063" s="30" t="str">
        <x:v>Solar Industries</x:v>
      </x:c>
      <x:c r="D1063" s="30" t="str">
        <x:v>Ammunition</x:v>
      </x:c>
      <x:c r="E1063" s="30" t="str">
        <x:v>Akash Composite Propellant</x:v>
      </x:c>
      <x:c r="F1063" s="30" t="n">
        <x:v>2</x:v>
      </x:c>
      <x:c r="G1063" s="30" t="str">
        <x:v>Present</x:v>
      </x:c>
      <x:c r="H1063" s="30" t="str">
        <x:v>Present</x:v>
      </x:c>
      <x:c r="I1063" s="30" t="str">
        <x:v>Family/system/component-level entry — review if exact-model-only view is needed</x:v>
      </x:c>
    </x:row>
    <x:row r="1064" ht="72" customHeight="1">
      <x:c r="A1064" s="30" t="n">
        <x:v>10</x:v>
      </x:c>
      <x:c r="B1064" s="30" t="str">
        <x:v>India</x:v>
      </x:c>
      <x:c r="C1064" s="30" t="str">
        <x:v>Solar Industries</x:v>
      </x:c>
      <x:c r="D1064" s="30" t="str">
        <x:v>Ammunition</x:v>
      </x:c>
      <x:c r="E1064" s="30" t="str">
        <x:v>BrahMos Composite Propellant / Booster Materials</x:v>
      </x:c>
      <x:c r="F1064" s="30" t="n">
        <x:v>3</x:v>
      </x:c>
      <x:c r="G1064" s="30" t="str">
        <x:v>Present</x:v>
      </x:c>
      <x:c r="H1064" s="30" t="str">
        <x:v>Present</x:v>
      </x:c>
      <x:c r="I1064" s="30" t="str">
        <x:v>Limited/configuration-dependent public specifications; Family/system/component-level entry — review if exact-model-only view is needed</x:v>
      </x:c>
    </x:row>
    <x:row r="1065" ht="72" customHeight="1">
      <x:c r="A1065" s="30" t="n">
        <x:v>10</x:v>
      </x:c>
      <x:c r="B1065" s="30" t="str">
        <x:v>India</x:v>
      </x:c>
      <x:c r="C1065" s="30" t="str">
        <x:v>Solar Industries</x:v>
      </x:c>
      <x:c r="D1065" s="30" t="str">
        <x:v>Ammunition</x:v>
      </x:c>
      <x:c r="E1065" s="30" t="str">
        <x:v>Chaff Rocket 118 — Long Range</x:v>
      </x:c>
      <x:c r="F1065" s="30" t="n">
        <x:v>1</x:v>
      </x:c>
      <x:c r="G1065" s="30" t="str">
        <x:v>Present</x:v>
      </x:c>
      <x:c r="H1065" s="30" t="str">
        <x:v>Present</x:v>
      </x:c>
      <x:c r="I1065" s="30" t="str">
        <x:v>Limited/configuration-dependent public specifications</x:v>
      </x:c>
    </x:row>
    <x:row r="1066" ht="72" customHeight="1">
      <x:c r="A1066" s="30" t="n">
        <x:v>10</x:v>
      </x:c>
      <x:c r="B1066" s="30" t="str">
        <x:v>India</x:v>
      </x:c>
      <x:c r="C1066" s="30" t="str">
        <x:v>Solar Industries</x:v>
      </x:c>
      <x:c r="D1066" s="30" t="str">
        <x:v>Ammunition</x:v>
      </x:c>
      <x:c r="E1066" s="30" t="str">
        <x:v>Chaff Rocket 118 — Medium Range</x:v>
      </x:c>
      <x:c r="F1066" s="30" t="n">
        <x:v>1</x:v>
      </x:c>
      <x:c r="G1066" s="30" t="str">
        <x:v>Present</x:v>
      </x:c>
      <x:c r="H1066" s="30" t="str">
        <x:v>Present</x:v>
      </x:c>
      <x:c r="I1066" s="30" t="str">
        <x:v>Limited/configuration-dependent public specifications</x:v>
      </x:c>
    </x:row>
    <x:row r="1067" ht="72" customHeight="1">
      <x:c r="A1067" s="30" t="n">
        <x:v>10</x:v>
      </x:c>
      <x:c r="B1067" s="30" t="str">
        <x:v>India</x:v>
      </x:c>
      <x:c r="C1067" s="30" t="str">
        <x:v>Solar Industries</x:v>
      </x:c>
      <x:c r="D1067" s="30" t="str">
        <x:v>Ammunition</x:v>
      </x:c>
      <x:c r="E1067" s="30" t="str">
        <x:v>Guided Pinaka Rocket</x:v>
      </x:c>
      <x:c r="F1067" s="30" t="n">
        <x:v>3</x:v>
      </x:c>
      <x:c r="G1067" s="30" t="str">
        <x:v>Present</x:v>
      </x:c>
      <x:c r="H1067" s="30" t="str">
        <x:v>Present</x:v>
      </x:c>
      <x:c r="I1067" s="30" t="str">
        <x:v>OK</x:v>
      </x:c>
    </x:row>
    <x:row r="1068" ht="72" customHeight="1">
      <x:c r="A1068" s="30" t="n">
        <x:v>10</x:v>
      </x:c>
      <x:c r="B1068" s="30" t="str">
        <x:v>India</x:v>
      </x:c>
      <x:c r="C1068" s="30" t="str">
        <x:v>Solar Industries</x:v>
      </x:c>
      <x:c r="D1068" s="30" t="str">
        <x:v>Ammunition</x:v>
      </x:c>
      <x:c r="E1068" s="30" t="str">
        <x:v>High-Energy Naval Explosives / Torpedo Warheads</x:v>
      </x:c>
      <x:c r="F1068" s="30" t="n">
        <x:v>1</x:v>
      </x:c>
      <x:c r="G1068" s="30" t="str">
        <x:v>Present</x:v>
      </x:c>
      <x:c r="H1068" s="30" t="str">
        <x:v>Present</x:v>
      </x:c>
      <x:c r="I1068" s="30" t="str">
        <x:v>Limited/configuration-dependent public specifications; Family/system/component-level entry — review if exact-model-only view is needed</x:v>
      </x:c>
    </x:row>
    <x:row r="1069" ht="72" customHeight="1">
      <x:c r="A1069" s="30" t="n">
        <x:v>10</x:v>
      </x:c>
      <x:c r="B1069" s="30" t="str">
        <x:v>India</x:v>
      </x:c>
      <x:c r="C1069" s="30" t="str">
        <x:v>Solar Industries</x:v>
      </x:c>
      <x:c r="D1069" s="30" t="str">
        <x:v>Ammunition</x:v>
      </x:c>
      <x:c r="E1069" s="30" t="str">
        <x:v>HMX / RDX / TNT High-Energy Materials</x:v>
      </x:c>
      <x:c r="F1069" s="30" t="n">
        <x:v>4</x:v>
      </x:c>
      <x:c r="G1069" s="30" t="str">
        <x:v>Present</x:v>
      </x:c>
      <x:c r="H1069" s="30" t="str">
        <x:v>Present</x:v>
      </x:c>
      <x:c r="I1069" s="30" t="str">
        <x:v>OK</x:v>
      </x:c>
    </x:row>
    <x:row r="1070" ht="72" customHeight="1">
      <x:c r="A1070" s="30" t="n">
        <x:v>10</x:v>
      </x:c>
      <x:c r="B1070" s="30" t="str">
        <x:v>India</x:v>
      </x:c>
      <x:c r="C1070" s="30" t="str">
        <x:v>Solar Industries</x:v>
      </x:c>
      <x:c r="D1070" s="30" t="str">
        <x:v>Ammunition</x:v>
      </x:c>
      <x:c r="E1070" s="30" t="str">
        <x:v>Mines — Tandav / Adrushi / M55 / M95</x:v>
      </x:c>
      <x:c r="F1070" s="30" t="n">
        <x:v>1</x:v>
      </x:c>
      <x:c r="G1070" s="30" t="str">
        <x:v>Present</x:v>
      </x:c>
      <x:c r="H1070" s="30" t="str">
        <x:v>Present</x:v>
      </x:c>
      <x:c r="I1070" s="30" t="str">
        <x:v>Limited/configuration-dependent public specifications</x:v>
      </x:c>
    </x:row>
    <x:row r="1071" ht="72" customHeight="1">
      <x:c r="A1071" s="30" t="n">
        <x:v>10</x:v>
      </x:c>
      <x:c r="B1071" s="30" t="str">
        <x:v>India</x:v>
      </x:c>
      <x:c r="C1071" s="30" t="str">
        <x:v>Solar Industries</x:v>
      </x:c>
      <x:c r="D1071" s="30" t="str">
        <x:v>Ammunition</x:v>
      </x:c>
      <x:c r="E1071" s="30" t="str">
        <x:v>Multi-Mode Hand Grenade</x:v>
      </x:c>
      <x:c r="F1071" s="30" t="n">
        <x:v>2</x:v>
      </x:c>
      <x:c r="G1071" s="30" t="str">
        <x:v>Present</x:v>
      </x:c>
      <x:c r="H1071" s="30" t="str">
        <x:v>Present</x:v>
      </x:c>
      <x:c r="I1071" s="30" t="str">
        <x:v>Limited/configuration-dependent public specifications</x:v>
      </x:c>
    </x:row>
    <x:row r="1072" ht="72" customHeight="1">
      <x:c r="A1072" s="30" t="n">
        <x:v>10</x:v>
      </x:c>
      <x:c r="B1072" s="30" t="str">
        <x:v>India</x:v>
      </x:c>
      <x:c r="C1072" s="30" t="str">
        <x:v>Solar Industries</x:v>
      </x:c>
      <x:c r="D1072" s="30" t="str">
        <x:v>Ammunition</x:v>
      </x:c>
      <x:c r="E1072" s="30" t="str">
        <x:v>Pinaka Area Denial Munition (ADM) Type-1</x:v>
      </x:c>
      <x:c r="F1072" s="30" t="n">
        <x:v>1</x:v>
      </x:c>
      <x:c r="G1072" s="30" t="str">
        <x:v>Present</x:v>
      </x:c>
      <x:c r="H1072" s="30" t="str">
        <x:v>Present</x:v>
      </x:c>
      <x:c r="I1072" s="30" t="str">
        <x:v>OK</x:v>
      </x:c>
    </x:row>
    <x:row r="1073" ht="72" customHeight="1">
      <x:c r="A1073" s="30" t="n">
        <x:v>10</x:v>
      </x:c>
      <x:c r="B1073" s="30" t="str">
        <x:v>India</x:v>
      </x:c>
      <x:c r="C1073" s="30" t="str">
        <x:v>Solar Industries</x:v>
      </x:c>
      <x:c r="D1073" s="30" t="str">
        <x:v>Ammunition</x:v>
      </x:c>
      <x:c r="E1073" s="30" t="str">
        <x:v>Pinaka ER Rocket</x:v>
      </x:c>
      <x:c r="F1073" s="30" t="n">
        <x:v>2</x:v>
      </x:c>
      <x:c r="G1073" s="30" t="str">
        <x:v>Present</x:v>
      </x:c>
      <x:c r="H1073" s="30" t="str">
        <x:v>Present</x:v>
      </x:c>
      <x:c r="I1073" s="30" t="str">
        <x:v>Limited/configuration-dependent public specifications</x:v>
      </x:c>
    </x:row>
    <x:row r="1074" ht="72" customHeight="1">
      <x:c r="A1074" s="30" t="n">
        <x:v>10</x:v>
      </x:c>
      <x:c r="B1074" s="30" t="str">
        <x:v>India</x:v>
      </x:c>
      <x:c r="C1074" s="30" t="str">
        <x:v>Solar Industries</x:v>
      </x:c>
      <x:c r="D1074" s="30" t="str">
        <x:v>Ammunition</x:v>
      </x:c>
      <x:c r="E1074" s="30" t="str">
        <x:v>Pinaka HEPF Mk-I (Enhanced) Rocket</x:v>
      </x:c>
      <x:c r="F1074" s="30" t="n">
        <x:v>4</x:v>
      </x:c>
      <x:c r="G1074" s="30" t="str">
        <x:v>Present</x:v>
      </x:c>
      <x:c r="H1074" s="30" t="str">
        <x:v>Present</x:v>
      </x:c>
      <x:c r="I1074" s="30" t="str">
        <x:v>OK</x:v>
      </x:c>
    </x:row>
    <x:row r="1075" ht="72" customHeight="1">
      <x:c r="A1075" s="30" t="n">
        <x:v>10</x:v>
      </x:c>
      <x:c r="B1075" s="30" t="str">
        <x:v>India</x:v>
      </x:c>
      <x:c r="C1075" s="30" t="str">
        <x:v>Solar Industries</x:v>
      </x:c>
      <x:c r="D1075" s="30" t="str">
        <x:v>Ammunition</x:v>
      </x:c>
      <x:c r="E1075" s="30" t="str">
        <x:v>Pinaka Mk-I Rocket</x:v>
      </x:c>
      <x:c r="F1075" s="30" t="n">
        <x:v>1</x:v>
      </x:c>
      <x:c r="G1075" s="30" t="str">
        <x:v>Present</x:v>
      </x:c>
      <x:c r="H1075" s="30" t="str">
        <x:v>Present</x:v>
      </x:c>
      <x:c r="I1075" s="30" t="str">
        <x:v>OK</x:v>
      </x:c>
    </x:row>
    <x:row r="1076" ht="72" customHeight="1">
      <x:c r="A1076" s="30" t="n">
        <x:v>10</x:v>
      </x:c>
      <x:c r="B1076" s="30" t="str">
        <x:v>India</x:v>
      </x:c>
      <x:c r="C1076" s="30" t="str">
        <x:v>Solar Industries</x:v>
      </x:c>
      <x:c r="D1076" s="30" t="str">
        <x:v>Ammunition</x:v>
      </x:c>
      <x:c r="E1076" s="30" t="str">
        <x:v>Pinaka Rocket Propellant</x:v>
      </x:c>
      <x:c r="F1076" s="30" t="n">
        <x:v>2</x:v>
      </x:c>
      <x:c r="G1076" s="30" t="str">
        <x:v>Present</x:v>
      </x:c>
      <x:c r="H1076" s="30" t="str">
        <x:v>Present</x:v>
      </x:c>
      <x:c r="I1076" s="30" t="str">
        <x:v>Family/system/component-level entry — review if exact-model-only view is needed</x:v>
      </x:c>
    </x:row>
    <x:row r="1077" ht="72" customHeight="1">
      <x:c r="A1077" s="30" t="n">
        <x:v>10</x:v>
      </x:c>
      <x:c r="B1077" s="30" t="str">
        <x:v>India</x:v>
      </x:c>
      <x:c r="C1077" s="30" t="str">
        <x:v>Solar Industries</x:v>
      </x:c>
      <x:c r="D1077" s="30" t="str">
        <x:v>Ammunition</x:v>
      </x:c>
      <x:c r="E1077" s="30" t="str">
        <x:v>YDB-60 Fuze</x:v>
      </x:c>
      <x:c r="F1077" s="30" t="n">
        <x:v>1</x:v>
      </x:c>
      <x:c r="G1077" s="30" t="str">
        <x:v>Present</x:v>
      </x:c>
      <x:c r="H1077" s="30" t="str">
        <x:v>Present</x:v>
      </x:c>
      <x:c r="I1077" s="30" t="str">
        <x:v>Limited/configuration-dependent public specifications; Family/system/component-level entry — review if exact-model-only view is needed</x:v>
      </x:c>
    </x:row>
    <x:row r="1078" ht="72" customHeight="1">
      <x:c r="A1078" s="30" t="n">
        <x:v>10</x:v>
      </x:c>
      <x:c r="B1078" s="30" t="str">
        <x:v>India</x:v>
      </x:c>
      <x:c r="C1078" s="30" t="str">
        <x:v>Solar Industries</x:v>
      </x:c>
      <x:c r="D1078" s="30" t="str">
        <x:v>UAVs/Drones</x:v>
      </x:c>
      <x:c r="E1078" s="30" t="str">
        <x:v>NAGASTRA-1</x:v>
      </x:c>
      <x:c r="F1078" s="30" t="n">
        <x:v>4</x:v>
      </x:c>
      <x:c r="G1078" s="30" t="str">
        <x:v>Present</x:v>
      </x:c>
      <x:c r="H1078" s="30" t="str">
        <x:v>Present</x:v>
      </x:c>
      <x:c r="I1078" s="30" t="str">
        <x:v>OK</x:v>
      </x:c>
    </x:row>
    <x:row r="1079" ht="72" customHeight="1">
      <x:c r="A1079" s="30" t="n">
        <x:v>10</x:v>
      </x:c>
      <x:c r="B1079" s="30" t="str">
        <x:v>India</x:v>
      </x:c>
      <x:c r="C1079" s="30" t="str">
        <x:v>Solar Industries</x:v>
      </x:c>
      <x:c r="D1079" s="30" t="str">
        <x:v>UAVs/Drones</x:v>
      </x:c>
      <x:c r="E1079" s="30" t="str">
        <x:v>NAGASTRA-1R</x:v>
      </x:c>
      <x:c r="F1079" s="30" t="n">
        <x:v>1</x:v>
      </x:c>
      <x:c r="G1079" s="30" t="str">
        <x:v>Present</x:v>
      </x:c>
      <x:c r="H1079" s="30" t="str">
        <x:v>Present</x:v>
      </x:c>
      <x:c r="I1079" s="30" t="str">
        <x:v>OK</x:v>
      </x:c>
    </x:row>
    <x:row r="1080" ht="72" customHeight="1">
      <x:c r="A1080" s="30" t="n">
        <x:v>10</x:v>
      </x:c>
      <x:c r="B1080" s="30" t="str">
        <x:v>India</x:v>
      </x:c>
      <x:c r="C1080" s="30" t="str">
        <x:v>Solar Industries</x:v>
      </x:c>
      <x:c r="D1080" s="30" t="str">
        <x:v>UAVs/Drones</x:v>
      </x:c>
      <x:c r="E1080" s="30" t="str">
        <x:v>NAGASTRA-2</x:v>
      </x:c>
      <x:c r="F1080" s="30" t="n">
        <x:v>2</x:v>
      </x:c>
      <x:c r="G1080" s="30" t="str">
        <x:v>Present</x:v>
      </x:c>
      <x:c r="H1080" s="30" t="str">
        <x:v>Present</x:v>
      </x:c>
      <x:c r="I1080" s="30" t="str">
        <x:v>OK</x:v>
      </x:c>
    </x:row>
    <x:row r="1081" ht="72" customHeight="1">
      <x:c r="A1081" s="30" t="n">
        <x:v>10</x:v>
      </x:c>
      <x:c r="B1081" s="30" t="str">
        <x:v>India</x:v>
      </x:c>
      <x:c r="C1081" s="30" t="str">
        <x:v>Solar Industries</x:v>
      </x:c>
      <x:c r="D1081" s="30" t="str">
        <x:v>UAVs/Drones</x:v>
      </x:c>
      <x:c r="E1081" s="30" t="str">
        <x:v>NAGASTRA-3</x:v>
      </x:c>
      <x:c r="F1081" s="30" t="n">
        <x:v>2</x:v>
      </x:c>
      <x:c r="G1081" s="30" t="str">
        <x:v>Present</x:v>
      </x:c>
      <x:c r="H1081" s="30" t="str">
        <x:v>Present</x:v>
      </x:c>
      <x:c r="I1081" s="30" t="str">
        <x:v>Limited/configuration-dependent public specifications</x:v>
      </x:c>
    </x:row>
    <x:row r="1082" ht="72" customHeight="1">
      <x:c r="A1082" s="30" t="n">
        <x:v>10</x:v>
      </x:c>
      <x:c r="B1082" s="30" t="str">
        <x:v>India</x:v>
      </x:c>
      <x:c r="C1082" s="30" t="str">
        <x:v>Solar Industries</x:v>
      </x:c>
      <x:c r="D1082" s="30" t="str">
        <x:v>UAVs/Drones</x:v>
      </x:c>
      <x:c r="E1082" s="30" t="str">
        <x:v>Rudrastra</x:v>
      </x:c>
      <x:c r="F1082" s="30" t="n">
        <x:v>2</x:v>
      </x:c>
      <x:c r="G1082" s="30" t="str">
        <x:v>Present</x:v>
      </x:c>
      <x:c r="H1082" s="30" t="str">
        <x:v>Present</x:v>
      </x:c>
      <x:c r="I1082" s="30" t="str">
        <x:v>OK</x:v>
      </x:c>
    </x:row>
    <x:row r="1083" ht="72" customHeight="1">
      <x:c r="A1083" s="30" t="n">
        <x:v>10</x:v>
      </x:c>
      <x:c r="B1083" s="30" t="str">
        <x:v>India</x:v>
      </x:c>
      <x:c r="C1083" s="30" t="str">
        <x:v>Solar Industries</x:v>
      </x:c>
      <x:c r="D1083" s="30" t="str">
        <x:v>UAVs/Drones</x:v>
      </x:c>
      <x:c r="E1083" s="30" t="str">
        <x:v>VTOL UAV Family</x:v>
      </x:c>
      <x:c r="F1083" s="30" t="n">
        <x:v>1</x:v>
      </x:c>
      <x:c r="G1083" s="30" t="str">
        <x:v>Present</x:v>
      </x:c>
      <x:c r="H1083" s="30" t="str">
        <x:v>Present</x:v>
      </x:c>
      <x:c r="I1083" s="30" t="str">
        <x:v>Limited/configuration-dependent public specifications; Family/system/component-level entry — review if exact-model-only view is needed</x:v>
      </x:c>
    </x:row>
    <x:row r="1084" ht="72" customHeight="1">
      <x:c r="A1084" s="30" t="n">
        <x:v>10</x:v>
      </x:c>
      <x:c r="B1084" s="30" t="str">
        <x:v>India</x:v>
      </x:c>
      <x:c r="C1084" s="30" t="str">
        <x:v>Solar Industries</x:v>
      </x:c>
      <x:c r="D1084" s="30" t="str">
        <x:v>Missiles</x:v>
      </x:c>
      <x:c r="E1084" s="30" t="str">
        <x:v>Bhargavastra Counter-Drone Micro-Missile System</x:v>
      </x:c>
      <x:c r="F1084" s="30" t="n">
        <x:v>3</x:v>
      </x:c>
      <x:c r="G1084" s="30" t="str">
        <x:v>Present</x:v>
      </x:c>
      <x:c r="H1084" s="30" t="str">
        <x:v>Present</x:v>
      </x:c>
      <x:c r="I1084" s="30" t="str">
        <x:v>Family/system/component-level entry — review if exact-model-only view is needed</x:v>
      </x:c>
    </x:row>
  </x:sheetData>
  <x:conditionalFormatting sqref="F2:F108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{4D0D13B9-5551-A7E8-03A4-E9160C1E4989}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de1014d295f467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D0D13B9-5551-A7E8-03A4-E9160C1E4989}">
            <x14:dataBar gradient="1">
              <x14:cfvo type="min"/>
              <x14:cfvo type="max"/>
              <x14:fillColor rgb="FFA02B93"/>
            </x14:dataBar>
          </x14:cfRule>
          <xm:sqref>F2:F1084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4" t="str">
        <x:v>Company</x:v>
      </x:c>
      <x:c r="B1" s="24" t="str">
        <x:v>Artillery</x:v>
      </x:c>
      <x:c r="C1" s="24" t="str">
        <x:v>Ammunition</x:v>
      </x:c>
      <x:c r="D1" s="24" t="str">
        <x:v>Small Arms</x:v>
      </x:c>
      <x:c r="E1" s="24" t="str">
        <x:v>Protected Vehicles</x:v>
      </x:c>
      <x:c r="F1" s="24" t="str">
        <x:v>Marine/Naval</x:v>
      </x:c>
      <x:c r="G1" s="24" t="str">
        <x:v>UAVs/Drones</x:v>
      </x:c>
      <x:c r="H1" s="24" t="str">
        <x:v>Missiles</x:v>
      </x:c>
      <x:c r="I1" s="24" t="str">
        <x:v>Total</x:v>
      </x:c>
    </x:row>
    <x:row r="2">
      <x:c r="A2" t="str">
        <x:v>AWEIL</x:v>
      </x:c>
      <x:c r="B2" t="n">
        <x:f>COUNTIFS('PRODUCT MASTER'!$A$2:$A$1084,$A2,'PRODUCT MASTER'!$B$2:$B$1084,B$1)</x:f>
        <x:v>10</x:v>
      </x:c>
      <x:c r="C2" t="n">
        <x:f>COUNTIFS('PRODUCT MASTER'!$A$2:$A$1084,$A2,'PRODUCT MASTER'!$B$2:$B$1084,C$1)</x:f>
        <x:v>12</x:v>
      </x:c>
      <x:c r="D2" t="n">
        <x:f>COUNTIFS('PRODUCT MASTER'!$A$2:$A$1084,$A2,'PRODUCT MASTER'!$B$2:$B$1084,D$1)</x:f>
        <x:v>23</x:v>
      </x:c>
      <x:c r="E2" t="n">
        <x:f>COUNTIFS('PRODUCT MASTER'!$A$2:$A$1084,$A2,'PRODUCT MASTER'!$B$2:$B$1084,E$1)</x:f>
        <x:v>0</x:v>
      </x:c>
      <x:c r="F2" t="n">
        <x:f>COUNTIFS('PRODUCT MASTER'!$A$2:$A$1084,$A2,'PRODUCT MASTER'!$B$2:$B$1084,F$1)</x:f>
        <x:v>3</x:v>
      </x:c>
      <x:c r="G2" t="n">
        <x:f>COUNTIFS('PRODUCT MASTER'!$A$2:$A$1084,$A2,'PRODUCT MASTER'!$B$2:$B$1084,G$1)</x:f>
        <x:v>0</x:v>
      </x:c>
      <x:c r="H2" t="n">
        <x:f>COUNTIFS('PRODUCT MASTER'!$A$2:$A$1084,$A2,'PRODUCT MASTER'!$B$2:$B$1084,H$1)</x:f>
        <x:v>0</x:v>
      </x:c>
      <x:c r="I2" t="n">
        <x:f>SUM(B2:H2)</x:f>
        <x:v>48</x:v>
      </x:c>
    </x:row>
    <x:row r="3">
      <x:c r="A3" t="str">
        <x:v>Nexter (KNDS France)</x:v>
      </x:c>
      <x:c r="B3" t="n">
        <x:f>COUNTIFS('PRODUCT MASTER'!$A$2:$A$1084,$A3,'PRODUCT MASTER'!$B$2:$B$1084,B$1)</x:f>
        <x:v>4</x:v>
      </x:c>
      <x:c r="C3" t="n">
        <x:f>COUNTIFS('PRODUCT MASTER'!$A$2:$A$1084,$A3,'PRODUCT MASTER'!$B$2:$B$1084,C$1)</x:f>
        <x:v>20</x:v>
      </x:c>
      <x:c r="D3" t="n">
        <x:f>COUNTIFS('PRODUCT MASTER'!$A$2:$A$1084,$A3,'PRODUCT MASTER'!$B$2:$B$1084,D$1)</x:f>
        <x:v>0</x:v>
      </x:c>
      <x:c r="E3" t="n">
        <x:f>COUNTIFS('PRODUCT MASTER'!$A$2:$A$1084,$A3,'PRODUCT MASTER'!$B$2:$B$1084,E$1)</x:f>
        <x:v>8</x:v>
      </x:c>
      <x:c r="F3" t="n">
        <x:f>COUNTIFS('PRODUCT MASTER'!$A$2:$A$1084,$A3,'PRODUCT MASTER'!$B$2:$B$1084,F$1)</x:f>
        <x:v>1</x:v>
      </x:c>
      <x:c r="G3" t="n">
        <x:f>COUNTIFS('PRODUCT MASTER'!$A$2:$A$1084,$A3,'PRODUCT MASTER'!$B$2:$B$1084,G$1)</x:f>
        <x:v>5</x:v>
      </x:c>
      <x:c r="H3" t="n">
        <x:f>COUNTIFS('PRODUCT MASTER'!$A$2:$A$1084,$A3,'PRODUCT MASTER'!$B$2:$B$1084,H$1)</x:f>
        <x:v>0</x:v>
      </x:c>
      <x:c r="I3" t="n">
        <x:f>SUM(B3:H3)</x:f>
        <x:v>38</x:v>
      </x:c>
    </x:row>
    <x:row r="4">
      <x:c r="A4" t="str">
        <x:v>KNDS Germany</x:v>
      </x:c>
      <x:c r="B4" t="n">
        <x:f>COUNTIFS('PRODUCT MASTER'!$A$2:$A$1084,$A4,'PRODUCT MASTER'!$B$2:$B$1084,B$1)</x:f>
        <x:v>6</x:v>
      </x:c>
      <x:c r="C4" t="n">
        <x:f>COUNTIFS('PRODUCT MASTER'!$A$2:$A$1084,$A4,'PRODUCT MASTER'!$B$2:$B$1084,C$1)</x:f>
        <x:v>0</x:v>
      </x:c>
      <x:c r="D4" t="n">
        <x:f>COUNTIFS('PRODUCT MASTER'!$A$2:$A$1084,$A4,'PRODUCT MASTER'!$B$2:$B$1084,D$1)</x:f>
        <x:v>0</x:v>
      </x:c>
      <x:c r="E4" t="n">
        <x:f>COUNTIFS('PRODUCT MASTER'!$A$2:$A$1084,$A4,'PRODUCT MASTER'!$B$2:$B$1084,E$1)</x:f>
        <x:v>14</x:v>
      </x:c>
      <x:c r="F4" t="n">
        <x:f>COUNTIFS('PRODUCT MASTER'!$A$2:$A$1084,$A4,'PRODUCT MASTER'!$B$2:$B$1084,F$1)</x:f>
        <x:v>0</x:v>
      </x:c>
      <x:c r="G4" t="n">
        <x:f>COUNTIFS('PRODUCT MASTER'!$A$2:$A$1084,$A4,'PRODUCT MASTER'!$B$2:$B$1084,G$1)</x:f>
        <x:v>0</x:v>
      </x:c>
      <x:c r="H4" t="n">
        <x:f>COUNTIFS('PRODUCT MASTER'!$A$2:$A$1084,$A4,'PRODUCT MASTER'!$B$2:$B$1084,H$1)</x:f>
        <x:v>0</x:v>
      </x:c>
      <x:c r="I4" t="n">
        <x:f>SUM(B4:H4)</x:f>
        <x:v>20</x:v>
      </x:c>
    </x:row>
    <x:row r="5">
      <x:c r="A5" t="str">
        <x:v>BAE Systems</x:v>
      </x:c>
      <x:c r="B5" t="n">
        <x:f>COUNTIFS('PRODUCT MASTER'!$A$2:$A$1084,$A5,'PRODUCT MASTER'!$B$2:$B$1084,B$1)</x:f>
        <x:v>5</x:v>
      </x:c>
      <x:c r="C5" t="n">
        <x:f>COUNTIFS('PRODUCT MASTER'!$A$2:$A$1084,$A5,'PRODUCT MASTER'!$B$2:$B$1084,C$1)</x:f>
        <x:v>12</x:v>
      </x:c>
      <x:c r="D5" t="n">
        <x:f>COUNTIFS('PRODUCT MASTER'!$A$2:$A$1084,$A5,'PRODUCT MASTER'!$B$2:$B$1084,D$1)</x:f>
        <x:v>0</x:v>
      </x:c>
      <x:c r="E5" t="n">
        <x:f>COUNTIFS('PRODUCT MASTER'!$A$2:$A$1084,$A5,'PRODUCT MASTER'!$B$2:$B$1084,E$1)</x:f>
        <x:v>12</x:v>
      </x:c>
      <x:c r="F5" t="n">
        <x:f>COUNTIFS('PRODUCT MASTER'!$A$2:$A$1084,$A5,'PRODUCT MASTER'!$B$2:$B$1084,F$1)</x:f>
        <x:v>12</x:v>
      </x:c>
      <x:c r="G5" t="n">
        <x:f>COUNTIFS('PRODUCT MASTER'!$A$2:$A$1084,$A5,'PRODUCT MASTER'!$B$2:$B$1084,G$1)</x:f>
        <x:v>11</x:v>
      </x:c>
      <x:c r="H5" t="n">
        <x:f>COUNTIFS('PRODUCT MASTER'!$A$2:$A$1084,$A5,'PRODUCT MASTER'!$B$2:$B$1084,H$1)</x:f>
        <x:v>1</x:v>
      </x:c>
      <x:c r="I5" t="n">
        <x:f>SUM(B5:H5)</x:f>
        <x:v>53</x:v>
      </x:c>
    </x:row>
    <x:row r="6">
      <x:c r="A6" t="str">
        <x:v>Leonardo</x:v>
      </x:c>
      <x:c r="B6" t="n">
        <x:f>COUNTIFS('PRODUCT MASTER'!$A$2:$A$1084,$A6,'PRODUCT MASTER'!$B$2:$B$1084,B$1)</x:f>
        <x:v>3</x:v>
      </x:c>
      <x:c r="C6" t="n">
        <x:f>COUNTIFS('PRODUCT MASTER'!$A$2:$A$1084,$A6,'PRODUCT MASTER'!$B$2:$B$1084,C$1)</x:f>
        <x:v>6</x:v>
      </x:c>
      <x:c r="D6" t="n">
        <x:f>COUNTIFS('PRODUCT MASTER'!$A$2:$A$1084,$A6,'PRODUCT MASTER'!$B$2:$B$1084,D$1)</x:f>
        <x:v>0</x:v>
      </x:c>
      <x:c r="E6" t="n">
        <x:f>COUNTIFS('PRODUCT MASTER'!$A$2:$A$1084,$A6,'PRODUCT MASTER'!$B$2:$B$1084,E$1)</x:f>
        <x:v>9</x:v>
      </x:c>
      <x:c r="F6" t="n">
        <x:f>COUNTIFS('PRODUCT MASTER'!$A$2:$A$1084,$A6,'PRODUCT MASTER'!$B$2:$B$1084,F$1)</x:f>
        <x:v>10</x:v>
      </x:c>
      <x:c r="G6" t="n">
        <x:f>COUNTIFS('PRODUCT MASTER'!$A$2:$A$1084,$A6,'PRODUCT MASTER'!$B$2:$B$1084,G$1)</x:f>
        <x:v>5</x:v>
      </x:c>
      <x:c r="H6" t="n">
        <x:f>COUNTIFS('PRODUCT MASTER'!$A$2:$A$1084,$A6,'PRODUCT MASTER'!$B$2:$B$1084,H$1)</x:f>
        <x:v>0</x:v>
      </x:c>
      <x:c r="I6" t="n">
        <x:f>SUM(B6:H6)</x:f>
        <x:v>33</x:v>
      </x:c>
    </x:row>
    <x:row r="7">
      <x:c r="A7" t="str">
        <x:v>Rheinmetall</x:v>
      </x:c>
      <x:c r="B7" t="n">
        <x:f>COUNTIFS('PRODUCT MASTER'!$A$2:$A$1084,$A7,'PRODUCT MASTER'!$B$2:$B$1084,B$1)</x:f>
        <x:v>3</x:v>
      </x:c>
      <x:c r="C7" t="n">
        <x:f>COUNTIFS('PRODUCT MASTER'!$A$2:$A$1084,$A7,'PRODUCT MASTER'!$B$2:$B$1084,C$1)</x:f>
        <x:v>1</x:v>
      </x:c>
      <x:c r="D7" t="n">
        <x:f>COUNTIFS('PRODUCT MASTER'!$A$2:$A$1084,$A7,'PRODUCT MASTER'!$B$2:$B$1084,D$1)</x:f>
        <x:v>0</x:v>
      </x:c>
      <x:c r="E7" t="n">
        <x:f>COUNTIFS('PRODUCT MASTER'!$A$2:$A$1084,$A7,'PRODUCT MASTER'!$B$2:$B$1084,E$1)</x:f>
        <x:v>5</x:v>
      </x:c>
      <x:c r="F7" t="n">
        <x:f>COUNTIFS('PRODUCT MASTER'!$A$2:$A$1084,$A7,'PRODUCT MASTER'!$B$2:$B$1084,F$1)</x:f>
        <x:v>1</x:v>
      </x:c>
      <x:c r="G7" t="n">
        <x:f>COUNTIFS('PRODUCT MASTER'!$A$2:$A$1084,$A7,'PRODUCT MASTER'!$B$2:$B$1084,G$1)</x:f>
        <x:v>2</x:v>
      </x:c>
      <x:c r="H7" t="n">
        <x:f>COUNTIFS('PRODUCT MASTER'!$A$2:$A$1084,$A7,'PRODUCT MASTER'!$B$2:$B$1084,H$1)</x:f>
        <x:v>0</x:v>
      </x:c>
      <x:c r="I7" t="n">
        <x:f>SUM(B7:H7)</x:f>
        <x:v>12</x:v>
      </x:c>
    </x:row>
    <x:row r="8">
      <x:c r="A8" t="str">
        <x:v>Hanwha (Aerospace/Group)</x:v>
      </x:c>
      <x:c r="B8" t="n">
        <x:f>COUNTIFS('PRODUCT MASTER'!$A$2:$A$1084,$A8,'PRODUCT MASTER'!$B$2:$B$1084,B$1)</x:f>
        <x:v>6</x:v>
      </x:c>
      <x:c r="C8" t="n">
        <x:f>COUNTIFS('PRODUCT MASTER'!$A$2:$A$1084,$A8,'PRODUCT MASTER'!$B$2:$B$1084,C$1)</x:f>
        <x:v>3</x:v>
      </x:c>
      <x:c r="D8" t="n">
        <x:f>COUNTIFS('PRODUCT MASTER'!$A$2:$A$1084,$A8,'PRODUCT MASTER'!$B$2:$B$1084,D$1)</x:f>
        <x:v>0</x:v>
      </x:c>
      <x:c r="E8" t="n">
        <x:f>COUNTIFS('PRODUCT MASTER'!$A$2:$A$1084,$A8,'PRODUCT MASTER'!$B$2:$B$1084,E$1)</x:f>
        <x:v>3</x:v>
      </x:c>
      <x:c r="F8" t="n">
        <x:f>COUNTIFS('PRODUCT MASTER'!$A$2:$A$1084,$A8,'PRODUCT MASTER'!$B$2:$B$1084,F$1)</x:f>
        <x:v>3</x:v>
      </x:c>
      <x:c r="G8" t="n">
        <x:f>COUNTIFS('PRODUCT MASTER'!$A$2:$A$1084,$A8,'PRODUCT MASTER'!$B$2:$B$1084,G$1)</x:f>
        <x:v>0</x:v>
      </x:c>
      <x:c r="H8" t="n">
        <x:f>COUNTIFS('PRODUCT MASTER'!$A$2:$A$1084,$A8,'PRODUCT MASTER'!$B$2:$B$1084,H$1)</x:f>
        <x:v>3</x:v>
      </x:c>
      <x:c r="I8" t="n">
        <x:f>SUM(B8:H8)</x:f>
        <x:v>18</x:v>
      </x:c>
    </x:row>
    <x:row r="9">
      <x:c r="A9" t="str">
        <x:v>Elbit Systems</x:v>
      </x:c>
      <x:c r="B9" t="n">
        <x:f>COUNTIFS('PRODUCT MASTER'!$A$2:$A$1084,$A9,'PRODUCT MASTER'!$B$2:$B$1084,B$1)</x:f>
        <x:v>6</x:v>
      </x:c>
      <x:c r="C9" t="n">
        <x:f>COUNTIFS('PRODUCT MASTER'!$A$2:$A$1084,$A9,'PRODUCT MASTER'!$B$2:$B$1084,C$1)</x:f>
        <x:v>1</x:v>
      </x:c>
      <x:c r="D9" t="n">
        <x:f>COUNTIFS('PRODUCT MASTER'!$A$2:$A$1084,$A9,'PRODUCT MASTER'!$B$2:$B$1084,D$1)</x:f>
        <x:v>0</x:v>
      </x:c>
      <x:c r="E9" t="n">
        <x:f>COUNTIFS('PRODUCT MASTER'!$A$2:$A$1084,$A9,'PRODUCT MASTER'!$B$2:$B$1084,E$1)</x:f>
        <x:v>0</x:v>
      </x:c>
      <x:c r="F9" t="n">
        <x:f>COUNTIFS('PRODUCT MASTER'!$A$2:$A$1084,$A9,'PRODUCT MASTER'!$B$2:$B$1084,F$1)</x:f>
        <x:v>1</x:v>
      </x:c>
      <x:c r="G9" t="n">
        <x:f>COUNTIFS('PRODUCT MASTER'!$A$2:$A$1084,$A9,'PRODUCT MASTER'!$B$2:$B$1084,G$1)</x:f>
        <x:v>5</x:v>
      </x:c>
      <x:c r="H9" t="n">
        <x:f>COUNTIFS('PRODUCT MASTER'!$A$2:$A$1084,$A9,'PRODUCT MASTER'!$B$2:$B$1084,H$1)</x:f>
        <x:v>4</x:v>
      </x:c>
      <x:c r="I9" t="n">
        <x:f>SUM(B9:H9)</x:f>
        <x:v>17</x:v>
      </x:c>
    </x:row>
    <x:row r="10">
      <x:c r="A10" t="str">
        <x:v>General Dynamics</x:v>
      </x:c>
      <x:c r="B10" t="n">
        <x:f>COUNTIFS('PRODUCT MASTER'!$A$2:$A$1084,$A10,'PRODUCT MASTER'!$B$2:$B$1084,B$1)</x:f>
        <x:v>0</x:v>
      </x:c>
      <x:c r="C10" t="n">
        <x:f>COUNTIFS('PRODUCT MASTER'!$A$2:$A$1084,$A10,'PRODUCT MASTER'!$B$2:$B$1084,C$1)</x:f>
        <x:v>5</x:v>
      </x:c>
      <x:c r="D10" t="n">
        <x:f>COUNTIFS('PRODUCT MASTER'!$A$2:$A$1084,$A10,'PRODUCT MASTER'!$B$2:$B$1084,D$1)</x:f>
        <x:v>1</x:v>
      </x:c>
      <x:c r="E10" t="n">
        <x:f>COUNTIFS('PRODUCT MASTER'!$A$2:$A$1084,$A10,'PRODUCT MASTER'!$B$2:$B$1084,E$1)</x:f>
        <x:v>3</x:v>
      </x:c>
      <x:c r="F10" t="n">
        <x:f>COUNTIFS('PRODUCT MASTER'!$A$2:$A$1084,$A10,'PRODUCT MASTER'!$B$2:$B$1084,F$1)</x:f>
        <x:v>7</x:v>
      </x:c>
      <x:c r="G10" t="n">
        <x:f>COUNTIFS('PRODUCT MASTER'!$A$2:$A$1084,$A10,'PRODUCT MASTER'!$B$2:$B$1084,G$1)</x:f>
        <x:v>0</x:v>
      </x:c>
      <x:c r="H10" t="n">
        <x:f>COUNTIFS('PRODUCT MASTER'!$A$2:$A$1084,$A10,'PRODUCT MASTER'!$B$2:$B$1084,H$1)</x:f>
        <x:v>1</x:v>
      </x:c>
      <x:c r="I10" t="n">
        <x:f>SUM(B10:H10)</x:f>
        <x:v>17</x:v>
      </x:c>
    </x:row>
    <x:row r="11">
      <x:c r="A11" t="str">
        <x:v>NORINCO</x:v>
      </x:c>
      <x:c r="B11" t="n">
        <x:f>COUNTIFS('PRODUCT MASTER'!$A$2:$A$1084,$A11,'PRODUCT MASTER'!$B$2:$B$1084,B$1)</x:f>
        <x:v>8</x:v>
      </x:c>
      <x:c r="C11" t="n">
        <x:f>COUNTIFS('PRODUCT MASTER'!$A$2:$A$1084,$A11,'PRODUCT MASTER'!$B$2:$B$1084,C$1)</x:f>
        <x:v>1</x:v>
      </x:c>
      <x:c r="D11" t="n">
        <x:f>COUNTIFS('PRODUCT MASTER'!$A$2:$A$1084,$A11,'PRODUCT MASTER'!$B$2:$B$1084,D$1)</x:f>
        <x:v>3</x:v>
      </x:c>
      <x:c r="E11" t="n">
        <x:f>COUNTIFS('PRODUCT MASTER'!$A$2:$A$1084,$A11,'PRODUCT MASTER'!$B$2:$B$1084,E$1)</x:f>
        <x:v>3</x:v>
      </x:c>
      <x:c r="F11" t="n">
        <x:f>COUNTIFS('PRODUCT MASTER'!$A$2:$A$1084,$A11,'PRODUCT MASTER'!$B$2:$B$1084,F$1)</x:f>
        <x:v>0</x:v>
      </x:c>
      <x:c r="G11" t="n">
        <x:f>COUNTIFS('PRODUCT MASTER'!$A$2:$A$1084,$A11,'PRODUCT MASTER'!$B$2:$B$1084,G$1)</x:f>
        <x:v>0</x:v>
      </x:c>
      <x:c r="H11" t="n">
        <x:f>COUNTIFS('PRODUCT MASTER'!$A$2:$A$1084,$A11,'PRODUCT MASTER'!$B$2:$B$1084,H$1)</x:f>
        <x:v>3</x:v>
      </x:c>
      <x:c r="I11" t="n">
        <x:f>SUM(B11:H11)</x:f>
        <x:v>18</x:v>
      </x:c>
    </x:row>
    <x:row r="12">
      <x:c r="A12" t="str">
        <x:v>Tata Advanced Systems</x:v>
      </x:c>
      <x:c r="B12" t="n">
        <x:f>COUNTIFS('PRODUCT MASTER'!$A$2:$A$1084,$A12,'PRODUCT MASTER'!$B$2:$B$1084,B$1)</x:f>
        <x:v>5</x:v>
      </x:c>
      <x:c r="C12" t="n">
        <x:f>COUNTIFS('PRODUCT MASTER'!$A$2:$A$1084,$A12,'PRODUCT MASTER'!$B$2:$B$1084,C$1)</x:f>
        <x:v>0</x:v>
      </x:c>
      <x:c r="D12" t="n">
        <x:f>COUNTIFS('PRODUCT MASTER'!$A$2:$A$1084,$A12,'PRODUCT MASTER'!$B$2:$B$1084,D$1)</x:f>
        <x:v>0</x:v>
      </x:c>
      <x:c r="E12" t="n">
        <x:f>COUNTIFS('PRODUCT MASTER'!$A$2:$A$1084,$A12,'PRODUCT MASTER'!$B$2:$B$1084,E$1)</x:f>
        <x:v>8</x:v>
      </x:c>
      <x:c r="F12" t="n">
        <x:f>COUNTIFS('PRODUCT MASTER'!$A$2:$A$1084,$A12,'PRODUCT MASTER'!$B$2:$B$1084,F$1)</x:f>
        <x:v>0</x:v>
      </x:c>
      <x:c r="G12" t="n">
        <x:f>COUNTIFS('PRODUCT MASTER'!$A$2:$A$1084,$A12,'PRODUCT MASTER'!$B$2:$B$1084,G$1)</x:f>
        <x:v>5</x:v>
      </x:c>
      <x:c r="H12" t="n">
        <x:f>COUNTIFS('PRODUCT MASTER'!$A$2:$A$1084,$A12,'PRODUCT MASTER'!$B$2:$B$1084,H$1)</x:f>
        <x:v>5</x:v>
      </x:c>
      <x:c r="I12" t="n">
        <x:f>SUM(B12:H12)</x:f>
        <x:v>23</x:v>
      </x:c>
    </x:row>
    <x:row r="13">
      <x:c r="A13" t="str">
        <x:v>Mahindra Defence</x:v>
      </x:c>
      <x:c r="B13" t="n">
        <x:f>COUNTIFS('PRODUCT MASTER'!$A$2:$A$1084,$A13,'PRODUCT MASTER'!$B$2:$B$1084,B$1)</x:f>
        <x:v>0</x:v>
      </x:c>
      <x:c r="C13" t="n">
        <x:f>COUNTIFS('PRODUCT MASTER'!$A$2:$A$1084,$A13,'PRODUCT MASTER'!$B$2:$B$1084,C$1)</x:f>
        <x:v>2</x:v>
      </x:c>
      <x:c r="D13" t="n">
        <x:f>COUNTIFS('PRODUCT MASTER'!$A$2:$A$1084,$A13,'PRODUCT MASTER'!$B$2:$B$1084,D$1)</x:f>
        <x:v>0</x:v>
      </x:c>
      <x:c r="E13" t="n">
        <x:f>COUNTIFS('PRODUCT MASTER'!$A$2:$A$1084,$A13,'PRODUCT MASTER'!$B$2:$B$1084,E$1)</x:f>
        <x:v>10</x:v>
      </x:c>
      <x:c r="F13" t="n">
        <x:f>COUNTIFS('PRODUCT MASTER'!$A$2:$A$1084,$A13,'PRODUCT MASTER'!$B$2:$B$1084,F$1)</x:f>
        <x:v>4</x:v>
      </x:c>
      <x:c r="G13" t="n">
        <x:f>COUNTIFS('PRODUCT MASTER'!$A$2:$A$1084,$A13,'PRODUCT MASTER'!$B$2:$B$1084,G$1)</x:f>
        <x:v>0</x:v>
      </x:c>
      <x:c r="H13" t="n">
        <x:f>COUNTIFS('PRODUCT MASTER'!$A$2:$A$1084,$A13,'PRODUCT MASTER'!$B$2:$B$1084,H$1)</x:f>
        <x:v>0</x:v>
      </x:c>
      <x:c r="I13" t="n">
        <x:f>SUM(B13:H13)</x:f>
        <x:v>16</x:v>
      </x:c>
    </x:row>
    <x:row r="14">
      <x:c r="A14" t="str">
        <x:v>Larsen &amp; Toubro (L&amp;T)</x:v>
      </x:c>
      <x:c r="B14" t="n">
        <x:f>COUNTIFS('PRODUCT MASTER'!$A$2:$A$1084,$A14,'PRODUCT MASTER'!$B$2:$B$1084,B$1)</x:f>
        <x:v>2</x:v>
      </x:c>
      <x:c r="C14" t="n">
        <x:f>COUNTIFS('PRODUCT MASTER'!$A$2:$A$1084,$A14,'PRODUCT MASTER'!$B$2:$B$1084,C$1)</x:f>
        <x:v>0</x:v>
      </x:c>
      <x:c r="D14" t="n">
        <x:f>COUNTIFS('PRODUCT MASTER'!$A$2:$A$1084,$A14,'PRODUCT MASTER'!$B$2:$B$1084,D$1)</x:f>
        <x:v>0</x:v>
      </x:c>
      <x:c r="E14" t="n">
        <x:f>COUNTIFS('PRODUCT MASTER'!$A$2:$A$1084,$A14,'PRODUCT MASTER'!$B$2:$B$1084,E$1)</x:f>
        <x:v>1</x:v>
      </x:c>
      <x:c r="F14" t="n">
        <x:f>COUNTIFS('PRODUCT MASTER'!$A$2:$A$1084,$A14,'PRODUCT MASTER'!$B$2:$B$1084,F$1)</x:f>
        <x:v>9</x:v>
      </x:c>
      <x:c r="G14" t="n">
        <x:f>COUNTIFS('PRODUCT MASTER'!$A$2:$A$1084,$A14,'PRODUCT MASTER'!$B$2:$B$1084,G$1)</x:f>
        <x:v>5</x:v>
      </x:c>
      <x:c r="H14" t="n">
        <x:f>COUNTIFS('PRODUCT MASTER'!$A$2:$A$1084,$A14,'PRODUCT MASTER'!$B$2:$B$1084,H$1)</x:f>
        <x:v>4</x:v>
      </x:c>
      <x:c r="I14" t="n">
        <x:f>SUM(B14:H14)</x:f>
        <x:v>21</x:v>
      </x:c>
    </x:row>
    <x:row r="15">
      <x:c r="A15" t="str">
        <x:v>Patria</x:v>
      </x:c>
      <x:c r="B15" t="n">
        <x:f>COUNTIFS('PRODUCT MASTER'!$A$2:$A$1084,$A15,'PRODUCT MASTER'!$B$2:$B$1084,B$1)</x:f>
        <x:v>4</x:v>
      </x:c>
      <x:c r="C15" t="n">
        <x:f>COUNTIFS('PRODUCT MASTER'!$A$2:$A$1084,$A15,'PRODUCT MASTER'!$B$2:$B$1084,C$1)</x:f>
        <x:v>0</x:v>
      </x:c>
      <x:c r="D15" t="n">
        <x:f>COUNTIFS('PRODUCT MASTER'!$A$2:$A$1084,$A15,'PRODUCT MASTER'!$B$2:$B$1084,D$1)</x:f>
        <x:v>0</x:v>
      </x:c>
      <x:c r="E15" t="n">
        <x:f>COUNTIFS('PRODUCT MASTER'!$A$2:$A$1084,$A15,'PRODUCT MASTER'!$B$2:$B$1084,E$1)</x:f>
        <x:v>4</x:v>
      </x:c>
      <x:c r="F15" t="n">
        <x:f>COUNTIFS('PRODUCT MASTER'!$A$2:$A$1084,$A15,'PRODUCT MASTER'!$B$2:$B$1084,F$1)</x:f>
        <x:v>1</x:v>
      </x:c>
      <x:c r="G15" t="n">
        <x:f>COUNTIFS('PRODUCT MASTER'!$A$2:$A$1084,$A15,'PRODUCT MASTER'!$B$2:$B$1084,G$1)</x:f>
        <x:v>3</x:v>
      </x:c>
      <x:c r="H15" t="n">
        <x:f>COUNTIFS('PRODUCT MASTER'!$A$2:$A$1084,$A15,'PRODUCT MASTER'!$B$2:$B$1084,H$1)</x:f>
        <x:v>0</x:v>
      </x:c>
      <x:c r="I15" t="n">
        <x:f>SUM(B15:H15)</x:f>
        <x:v>12</x:v>
      </x:c>
    </x:row>
    <x:row r="16">
      <x:c r="A16" t="str">
        <x:v>Supacat</x:v>
      </x:c>
      <x:c r="B16" t="n">
        <x:f>COUNTIFS('PRODUCT MASTER'!$A$2:$A$1084,$A16,'PRODUCT MASTER'!$B$2:$B$1084,B$1)</x:f>
        <x:v>1</x:v>
      </x:c>
      <x:c r="C16" t="n">
        <x:f>COUNTIFS('PRODUCT MASTER'!$A$2:$A$1084,$A16,'PRODUCT MASTER'!$B$2:$B$1084,C$1)</x:f>
        <x:v>0</x:v>
      </x:c>
      <x:c r="D16" t="n">
        <x:f>COUNTIFS('PRODUCT MASTER'!$A$2:$A$1084,$A16,'PRODUCT MASTER'!$B$2:$B$1084,D$1)</x:f>
        <x:v>0</x:v>
      </x:c>
      <x:c r="E16" t="n">
        <x:f>COUNTIFS('PRODUCT MASTER'!$A$2:$A$1084,$A16,'PRODUCT MASTER'!$B$2:$B$1084,E$1)</x:f>
        <x:v>8</x:v>
      </x:c>
      <x:c r="F16" t="n">
        <x:f>COUNTIFS('PRODUCT MASTER'!$A$2:$A$1084,$A16,'PRODUCT MASTER'!$B$2:$B$1084,F$1)</x:f>
        <x:v>0</x:v>
      </x:c>
      <x:c r="G16" t="n">
        <x:f>COUNTIFS('PRODUCT MASTER'!$A$2:$A$1084,$A16,'PRODUCT MASTER'!$B$2:$B$1084,G$1)</x:f>
        <x:v>0</x:v>
      </x:c>
      <x:c r="H16" t="n">
        <x:f>COUNTIFS('PRODUCT MASTER'!$A$2:$A$1084,$A16,'PRODUCT MASTER'!$B$2:$B$1084,H$1)</x:f>
        <x:v>1</x:v>
      </x:c>
      <x:c r="I16" t="n">
        <x:f>SUM(B16:H16)</x:f>
        <x:v>10</x:v>
      </x:c>
    </x:row>
    <x:row r="17">
      <x:c r="A17" t="str">
        <x:v>Otokar</x:v>
      </x:c>
      <x:c r="B17" t="n">
        <x:f>COUNTIFS('PRODUCT MASTER'!$A$2:$A$1084,$A17,'PRODUCT MASTER'!$B$2:$B$1084,B$1)</x:f>
        <x:v>0</x:v>
      </x:c>
      <x:c r="C17" t="n">
        <x:f>COUNTIFS('PRODUCT MASTER'!$A$2:$A$1084,$A17,'PRODUCT MASTER'!$B$2:$B$1084,C$1)</x:f>
        <x:v>0</x:v>
      </x:c>
      <x:c r="D17" t="n">
        <x:f>COUNTIFS('PRODUCT MASTER'!$A$2:$A$1084,$A17,'PRODUCT MASTER'!$B$2:$B$1084,D$1)</x:f>
        <x:v>0</x:v>
      </x:c>
      <x:c r="E17" t="n">
        <x:f>COUNTIFS('PRODUCT MASTER'!$A$2:$A$1084,$A17,'PRODUCT MASTER'!$B$2:$B$1084,E$1)</x:f>
        <x:v>11</x:v>
      </x:c>
      <x:c r="F17" t="n">
        <x:f>COUNTIFS('PRODUCT MASTER'!$A$2:$A$1084,$A17,'PRODUCT MASTER'!$B$2:$B$1084,F$1)</x:f>
        <x:v>0</x:v>
      </x:c>
      <x:c r="G17" t="n">
        <x:f>COUNTIFS('PRODUCT MASTER'!$A$2:$A$1084,$A17,'PRODUCT MASTER'!$B$2:$B$1084,G$1)</x:f>
        <x:v>0</x:v>
      </x:c>
      <x:c r="H17" t="n">
        <x:f>COUNTIFS('PRODUCT MASTER'!$A$2:$A$1084,$A17,'PRODUCT MASTER'!$B$2:$B$1084,H$1)</x:f>
        <x:v>0</x:v>
      </x:c>
      <x:c r="I17" t="n">
        <x:f>SUM(B17:H17)</x:f>
        <x:v>11</x:v>
      </x:c>
    </x:row>
    <x:row r="18">
      <x:c r="A18" t="str">
        <x:v>Paramount Group</x:v>
      </x:c>
      <x:c r="B18" t="n">
        <x:f>COUNTIFS('PRODUCT MASTER'!$A$2:$A$1084,$A18,'PRODUCT MASTER'!$B$2:$B$1084,B$1)</x:f>
        <x:v>0</x:v>
      </x:c>
      <x:c r="C18" t="n">
        <x:f>COUNTIFS('PRODUCT MASTER'!$A$2:$A$1084,$A18,'PRODUCT MASTER'!$B$2:$B$1084,C$1)</x:f>
        <x:v>0</x:v>
      </x:c>
      <x:c r="D18" t="n">
        <x:f>COUNTIFS('PRODUCT MASTER'!$A$2:$A$1084,$A18,'PRODUCT MASTER'!$B$2:$B$1084,D$1)</x:f>
        <x:v>0</x:v>
      </x:c>
      <x:c r="E18" t="n">
        <x:f>COUNTIFS('PRODUCT MASTER'!$A$2:$A$1084,$A18,'PRODUCT MASTER'!$B$2:$B$1084,E$1)</x:f>
        <x:v>7</x:v>
      </x:c>
      <x:c r="F18" t="n">
        <x:f>COUNTIFS('PRODUCT MASTER'!$A$2:$A$1084,$A18,'PRODUCT MASTER'!$B$2:$B$1084,F$1)</x:f>
        <x:v>11</x:v>
      </x:c>
      <x:c r="G18" t="n">
        <x:f>COUNTIFS('PRODUCT MASTER'!$A$2:$A$1084,$A18,'PRODUCT MASTER'!$B$2:$B$1084,G$1)</x:f>
        <x:v>1</x:v>
      </x:c>
      <x:c r="H18" t="n">
        <x:f>COUNTIFS('PRODUCT MASTER'!$A$2:$A$1084,$A18,'PRODUCT MASTER'!$B$2:$B$1084,H$1)</x:f>
        <x:v>0</x:v>
      </x:c>
      <x:c r="I18" t="n">
        <x:f>SUM(B18:H18)</x:f>
        <x:v>19</x:v>
      </x:c>
    </x:row>
    <x:row r="19">
      <x:c r="A19" t="str">
        <x:v>Roshel</x:v>
      </x:c>
      <x:c r="B19" t="n">
        <x:f>COUNTIFS('PRODUCT MASTER'!$A$2:$A$1084,$A19,'PRODUCT MASTER'!$B$2:$B$1084,B$1)</x:f>
        <x:v>0</x:v>
      </x:c>
      <x:c r="C19" t="n">
        <x:f>COUNTIFS('PRODUCT MASTER'!$A$2:$A$1084,$A19,'PRODUCT MASTER'!$B$2:$B$1084,C$1)</x:f>
        <x:v>0</x:v>
      </x:c>
      <x:c r="D19" t="n">
        <x:f>COUNTIFS('PRODUCT MASTER'!$A$2:$A$1084,$A19,'PRODUCT MASTER'!$B$2:$B$1084,D$1)</x:f>
        <x:v>0</x:v>
      </x:c>
      <x:c r="E19" t="n">
        <x:f>COUNTIFS('PRODUCT MASTER'!$A$2:$A$1084,$A19,'PRODUCT MASTER'!$B$2:$B$1084,E$1)</x:f>
        <x:v>8</x:v>
      </x:c>
      <x:c r="F19" t="n">
        <x:f>COUNTIFS('PRODUCT MASTER'!$A$2:$A$1084,$A19,'PRODUCT MASTER'!$B$2:$B$1084,F$1)</x:f>
        <x:v>0</x:v>
      </x:c>
      <x:c r="G19" t="n">
        <x:f>COUNTIFS('PRODUCT MASTER'!$A$2:$A$1084,$A19,'PRODUCT MASTER'!$B$2:$B$1084,G$1)</x:f>
        <x:v>0</x:v>
      </x:c>
      <x:c r="H19" t="n">
        <x:f>COUNTIFS('PRODUCT MASTER'!$A$2:$A$1084,$A19,'PRODUCT MASTER'!$B$2:$B$1084,H$1)</x:f>
        <x:v>0</x:v>
      </x:c>
      <x:c r="I19" t="n">
        <x:f>SUM(B19:H19)</x:f>
        <x:v>8</x:v>
      </x:c>
    </x:row>
    <x:row r="20">
      <x:c r="A20" t="str">
        <x:v>IDV (Iveco Defence)</x:v>
      </x:c>
      <x:c r="B20" t="n">
        <x:f>COUNTIFS('PRODUCT MASTER'!$A$2:$A$1084,$A20,'PRODUCT MASTER'!$B$2:$B$1084,B$1)</x:f>
        <x:v>0</x:v>
      </x:c>
      <x:c r="C20" t="n">
        <x:f>COUNTIFS('PRODUCT MASTER'!$A$2:$A$1084,$A20,'PRODUCT MASTER'!$B$2:$B$1084,C$1)</x:f>
        <x:v>0</x:v>
      </x:c>
      <x:c r="D20" t="n">
        <x:f>COUNTIFS('PRODUCT MASTER'!$A$2:$A$1084,$A20,'PRODUCT MASTER'!$B$2:$B$1084,D$1)</x:f>
        <x:v>0</x:v>
      </x:c>
      <x:c r="E20" t="n">
        <x:f>COUNTIFS('PRODUCT MASTER'!$A$2:$A$1084,$A20,'PRODUCT MASTER'!$B$2:$B$1084,E$1)</x:f>
        <x:v>9</x:v>
      </x:c>
      <x:c r="F20" t="n">
        <x:f>COUNTIFS('PRODUCT MASTER'!$A$2:$A$1084,$A20,'PRODUCT MASTER'!$B$2:$B$1084,F$1)</x:f>
        <x:v>0</x:v>
      </x:c>
      <x:c r="G20" t="n">
        <x:f>COUNTIFS('PRODUCT MASTER'!$A$2:$A$1084,$A20,'PRODUCT MASTER'!$B$2:$B$1084,G$1)</x:f>
        <x:v>0</x:v>
      </x:c>
      <x:c r="H20" t="n">
        <x:f>COUNTIFS('PRODUCT MASTER'!$A$2:$A$1084,$A20,'PRODUCT MASTER'!$B$2:$B$1084,H$1)</x:f>
        <x:v>0</x:v>
      </x:c>
      <x:c r="I20" t="n">
        <x:f>SUM(B20:H20)</x:f>
        <x:v>9</x:v>
      </x:c>
    </x:row>
    <x:row r="21">
      <x:c r="A21" t="str">
        <x:v>PLR Systems (IWI+Adani)</x:v>
      </x:c>
      <x:c r="B21" t="n">
        <x:f>COUNTIFS('PRODUCT MASTER'!$A$2:$A$1084,$A21,'PRODUCT MASTER'!$B$2:$B$1084,B$1)</x:f>
        <x:v>0</x:v>
      </x:c>
      <x:c r="C21" t="n">
        <x:f>COUNTIFS('PRODUCT MASTER'!$A$2:$A$1084,$A21,'PRODUCT MASTER'!$B$2:$B$1084,C$1)</x:f>
        <x:v>0</x:v>
      </x:c>
      <x:c r="D21" t="n">
        <x:f>COUNTIFS('PRODUCT MASTER'!$A$2:$A$1084,$A21,'PRODUCT MASTER'!$B$2:$B$1084,D$1)</x:f>
        <x:v>11</x:v>
      </x:c>
      <x:c r="E21" t="n">
        <x:f>COUNTIFS('PRODUCT MASTER'!$A$2:$A$1084,$A21,'PRODUCT MASTER'!$B$2:$B$1084,E$1)</x:f>
        <x:v>0</x:v>
      </x:c>
      <x:c r="F21" t="n">
        <x:f>COUNTIFS('PRODUCT MASTER'!$A$2:$A$1084,$A21,'PRODUCT MASTER'!$B$2:$B$1084,F$1)</x:f>
        <x:v>0</x:v>
      </x:c>
      <x:c r="G21" t="n">
        <x:f>COUNTIFS('PRODUCT MASTER'!$A$2:$A$1084,$A21,'PRODUCT MASTER'!$B$2:$B$1084,G$1)</x:f>
        <x:v>0</x:v>
      </x:c>
      <x:c r="H21" t="n">
        <x:f>COUNTIFS('PRODUCT MASTER'!$A$2:$A$1084,$A21,'PRODUCT MASTER'!$B$2:$B$1084,H$1)</x:f>
        <x:v>0</x:v>
      </x:c>
      <x:c r="I21" t="n">
        <x:f>SUM(B21:H21)</x:f>
        <x:v>11</x:v>
      </x:c>
    </x:row>
    <x:row r="22">
      <x:c r="A22" t="str">
        <x:v>Kalashnikov Concern</x:v>
      </x:c>
      <x:c r="B22" t="n">
        <x:f>COUNTIFS('PRODUCT MASTER'!$A$2:$A$1084,$A22,'PRODUCT MASTER'!$B$2:$B$1084,B$1)</x:f>
        <x:v>0</x:v>
      </x:c>
      <x:c r="C22" t="n">
        <x:f>COUNTIFS('PRODUCT MASTER'!$A$2:$A$1084,$A22,'PRODUCT MASTER'!$B$2:$B$1084,C$1)</x:f>
        <x:v>0</x:v>
      </x:c>
      <x:c r="D22" t="n">
        <x:f>COUNTIFS('PRODUCT MASTER'!$A$2:$A$1084,$A22,'PRODUCT MASTER'!$B$2:$B$1084,D$1)</x:f>
        <x:v>12</x:v>
      </x:c>
      <x:c r="E22" t="n">
        <x:f>COUNTIFS('PRODUCT MASTER'!$A$2:$A$1084,$A22,'PRODUCT MASTER'!$B$2:$B$1084,E$1)</x:f>
        <x:v>0</x:v>
      </x:c>
      <x:c r="F22" t="n">
        <x:f>COUNTIFS('PRODUCT MASTER'!$A$2:$A$1084,$A22,'PRODUCT MASTER'!$B$2:$B$1084,F$1)</x:f>
        <x:v>0</x:v>
      </x:c>
      <x:c r="G22" t="n">
        <x:f>COUNTIFS('PRODUCT MASTER'!$A$2:$A$1084,$A22,'PRODUCT MASTER'!$B$2:$B$1084,G$1)</x:f>
        <x:v>3</x:v>
      </x:c>
      <x:c r="H22" t="n">
        <x:f>COUNTIFS('PRODUCT MASTER'!$A$2:$A$1084,$A22,'PRODUCT MASTER'!$B$2:$B$1084,H$1)</x:f>
        <x:v>1</x:v>
      </x:c>
      <x:c r="I22" t="n">
        <x:f>SUM(B22:H22)</x:f>
        <x:v>16</x:v>
      </x:c>
    </x:row>
    <x:row r="23">
      <x:c r="A23" t="str">
        <x:v>Munitions India Ltd (MIL)</x:v>
      </x:c>
      <x:c r="B23" t="n">
        <x:f>COUNTIFS('PRODUCT MASTER'!$A$2:$A$1084,$A23,'PRODUCT MASTER'!$B$2:$B$1084,B$1)</x:f>
        <x:v>0</x:v>
      </x:c>
      <x:c r="C23" t="n">
        <x:f>COUNTIFS('PRODUCT MASTER'!$A$2:$A$1084,$A23,'PRODUCT MASTER'!$B$2:$B$1084,C$1)</x:f>
        <x:v>33</x:v>
      </x:c>
      <x:c r="D23" t="n">
        <x:f>COUNTIFS('PRODUCT MASTER'!$A$2:$A$1084,$A23,'PRODUCT MASTER'!$B$2:$B$1084,D$1)</x:f>
        <x:v>0</x:v>
      </x:c>
      <x:c r="E23" t="n">
        <x:f>COUNTIFS('PRODUCT MASTER'!$A$2:$A$1084,$A23,'PRODUCT MASTER'!$B$2:$B$1084,E$1)</x:f>
        <x:v>0</x:v>
      </x:c>
      <x:c r="F23" t="n">
        <x:f>COUNTIFS('PRODUCT MASTER'!$A$2:$A$1084,$A23,'PRODUCT MASTER'!$B$2:$B$1084,F$1)</x:f>
        <x:v>0</x:v>
      </x:c>
      <x:c r="G23" t="n">
        <x:f>COUNTIFS('PRODUCT MASTER'!$A$2:$A$1084,$A23,'PRODUCT MASTER'!$B$2:$B$1084,G$1)</x:f>
        <x:v>0</x:v>
      </x:c>
      <x:c r="H23" t="n">
        <x:f>COUNTIFS('PRODUCT MASTER'!$A$2:$A$1084,$A23,'PRODUCT MASTER'!$B$2:$B$1084,H$1)</x:f>
        <x:v>0</x:v>
      </x:c>
      <x:c r="I23" t="n">
        <x:f>SUM(B23:H23)</x:f>
        <x:v>33</x:v>
      </x:c>
    </x:row>
    <x:row r="24">
      <x:c r="A24" t="str">
        <x:v>Bharat Dynamics Ltd (BDL)</x:v>
      </x:c>
      <x:c r="B24" t="n">
        <x:f>COUNTIFS('PRODUCT MASTER'!$A$2:$A$1084,$A24,'PRODUCT MASTER'!$B$2:$B$1084,B$1)</x:f>
        <x:v>0</x:v>
      </x:c>
      <x:c r="C24" t="n">
        <x:f>COUNTIFS('PRODUCT MASTER'!$A$2:$A$1084,$A24,'PRODUCT MASTER'!$B$2:$B$1084,C$1)</x:f>
        <x:v>1</x:v>
      </x:c>
      <x:c r="D24" t="n">
        <x:f>COUNTIFS('PRODUCT MASTER'!$A$2:$A$1084,$A24,'PRODUCT MASTER'!$B$2:$B$1084,D$1)</x:f>
        <x:v>0</x:v>
      </x:c>
      <x:c r="E24" t="n">
        <x:f>COUNTIFS('PRODUCT MASTER'!$A$2:$A$1084,$A24,'PRODUCT MASTER'!$B$2:$B$1084,E$1)</x:f>
        <x:v>0</x:v>
      </x:c>
      <x:c r="F24" t="n">
        <x:f>COUNTIFS('PRODUCT MASTER'!$A$2:$A$1084,$A24,'PRODUCT MASTER'!$B$2:$B$1084,F$1)</x:f>
        <x:v>3</x:v>
      </x:c>
      <x:c r="G24" t="n">
        <x:f>COUNTIFS('PRODUCT MASTER'!$A$2:$A$1084,$A24,'PRODUCT MASTER'!$B$2:$B$1084,G$1)</x:f>
        <x:v>0</x:v>
      </x:c>
      <x:c r="H24" t="n">
        <x:f>COUNTIFS('PRODUCT MASTER'!$A$2:$A$1084,$A24,'PRODUCT MASTER'!$B$2:$B$1084,H$1)</x:f>
        <x:v>13</x:v>
      </x:c>
      <x:c r="I24" t="n">
        <x:f>SUM(B24:H24)</x:f>
        <x:v>17</x:v>
      </x:c>
    </x:row>
    <x:row r="25">
      <x:c r="A25" t="str">
        <x:v>Huta Stalowa Wola (HSW)</x:v>
      </x:c>
      <x:c r="B25" t="n">
        <x:f>COUNTIFS('PRODUCT MASTER'!$A$2:$A$1084,$A25,'PRODUCT MASTER'!$B$2:$B$1084,B$1)</x:f>
        <x:v>3</x:v>
      </x:c>
      <x:c r="C25" t="n">
        <x:f>COUNTIFS('PRODUCT MASTER'!$A$2:$A$1084,$A25,'PRODUCT MASTER'!$B$2:$B$1084,C$1)</x:f>
        <x:v>0</x:v>
      </x:c>
      <x:c r="D25" t="n">
        <x:f>COUNTIFS('PRODUCT MASTER'!$A$2:$A$1084,$A25,'PRODUCT MASTER'!$B$2:$B$1084,D$1)</x:f>
        <x:v>0</x:v>
      </x:c>
      <x:c r="E25" t="n">
        <x:f>COUNTIFS('PRODUCT MASTER'!$A$2:$A$1084,$A25,'PRODUCT MASTER'!$B$2:$B$1084,E$1)</x:f>
        <x:v>2</x:v>
      </x:c>
      <x:c r="F25" t="n">
        <x:f>COUNTIFS('PRODUCT MASTER'!$A$2:$A$1084,$A25,'PRODUCT MASTER'!$B$2:$B$1084,F$1)</x:f>
        <x:v>0</x:v>
      </x:c>
      <x:c r="G25" t="n">
        <x:f>COUNTIFS('PRODUCT MASTER'!$A$2:$A$1084,$A25,'PRODUCT MASTER'!$B$2:$B$1084,G$1)</x:f>
        <x:v>0</x:v>
      </x:c>
      <x:c r="H25" t="n">
        <x:f>COUNTIFS('PRODUCT MASTER'!$A$2:$A$1084,$A25,'PRODUCT MASTER'!$B$2:$B$1084,H$1)</x:f>
        <x:v>0</x:v>
      </x:c>
      <x:c r="I25" t="n">
        <x:f>SUM(B25:H25)</x:f>
        <x:v>5</x:v>
      </x:c>
    </x:row>
    <x:row r="26">
      <x:c r="A26" t="str">
        <x:v>Oshkosh Defense</x:v>
      </x:c>
      <x:c r="B26" t="n">
        <x:f>COUNTIFS('PRODUCT MASTER'!$A$2:$A$1084,$A26,'PRODUCT MASTER'!$B$2:$B$1084,B$1)</x:f>
        <x:v>0</x:v>
      </x:c>
      <x:c r="C26" t="n">
        <x:f>COUNTIFS('PRODUCT MASTER'!$A$2:$A$1084,$A26,'PRODUCT MASTER'!$B$2:$B$1084,C$1)</x:f>
        <x:v>0</x:v>
      </x:c>
      <x:c r="D26" t="n">
        <x:f>COUNTIFS('PRODUCT MASTER'!$A$2:$A$1084,$A26,'PRODUCT MASTER'!$B$2:$B$1084,D$1)</x:f>
        <x:v>0</x:v>
      </x:c>
      <x:c r="E26" t="n">
        <x:f>COUNTIFS('PRODUCT MASTER'!$A$2:$A$1084,$A26,'PRODUCT MASTER'!$B$2:$B$1084,E$1)</x:f>
        <x:v>8</x:v>
      </x:c>
      <x:c r="F26" t="n">
        <x:f>COUNTIFS('PRODUCT MASTER'!$A$2:$A$1084,$A26,'PRODUCT MASTER'!$B$2:$B$1084,F$1)</x:f>
        <x:v>0</x:v>
      </x:c>
      <x:c r="G26" t="n">
        <x:f>COUNTIFS('PRODUCT MASTER'!$A$2:$A$1084,$A26,'PRODUCT MASTER'!$B$2:$B$1084,G$1)</x:f>
        <x:v>0</x:v>
      </x:c>
      <x:c r="H26" t="n">
        <x:f>COUNTIFS('PRODUCT MASTER'!$A$2:$A$1084,$A26,'PRODUCT MASTER'!$B$2:$B$1084,H$1)</x:f>
        <x:v>0</x:v>
      </x:c>
      <x:c r="I26" t="n">
        <x:f>SUM(B26:H26)</x:f>
        <x:v>8</x:v>
      </x:c>
    </x:row>
    <x:row r="27">
      <x:c r="A27" t="str">
        <x:v>Poongsan</x:v>
      </x:c>
      <x:c r="B27" t="n">
        <x:f>COUNTIFS('PRODUCT MASTER'!$A$2:$A$1084,$A27,'PRODUCT MASTER'!$B$2:$B$1084,B$1)</x:f>
        <x:v>0</x:v>
      </x:c>
      <x:c r="C27" t="n">
        <x:f>COUNTIFS('PRODUCT MASTER'!$A$2:$A$1084,$A27,'PRODUCT MASTER'!$B$2:$B$1084,C$1)</x:f>
        <x:v>37</x:v>
      </x:c>
      <x:c r="D27" t="n">
        <x:f>COUNTIFS('PRODUCT MASTER'!$A$2:$A$1084,$A27,'PRODUCT MASTER'!$B$2:$B$1084,D$1)</x:f>
        <x:v>0</x:v>
      </x:c>
      <x:c r="E27" t="n">
        <x:f>COUNTIFS('PRODUCT MASTER'!$A$2:$A$1084,$A27,'PRODUCT MASTER'!$B$2:$B$1084,E$1)</x:f>
        <x:v>0</x:v>
      </x:c>
      <x:c r="F27" t="n">
        <x:f>COUNTIFS('PRODUCT MASTER'!$A$2:$A$1084,$A27,'PRODUCT MASTER'!$B$2:$B$1084,F$1)</x:f>
        <x:v>0</x:v>
      </x:c>
      <x:c r="G27" t="n">
        <x:f>COUNTIFS('PRODUCT MASTER'!$A$2:$A$1084,$A27,'PRODUCT MASTER'!$B$2:$B$1084,G$1)</x:f>
        <x:v>0</x:v>
      </x:c>
      <x:c r="H27" t="n">
        <x:f>COUNTIFS('PRODUCT MASTER'!$A$2:$A$1084,$A27,'PRODUCT MASTER'!$B$2:$B$1084,H$1)</x:f>
        <x:v>0</x:v>
      </x:c>
      <x:c r="I27" t="n">
        <x:f>SUM(B27:H27)</x:f>
        <x:v>37</x:v>
      </x:c>
    </x:row>
    <x:row r="28">
      <x:c r="A28" t="str">
        <x:v>Nammo</x:v>
      </x:c>
      <x:c r="B28" t="n">
        <x:f>COUNTIFS('PRODUCT MASTER'!$A$2:$A$1084,$A28,'PRODUCT MASTER'!$B$2:$B$1084,B$1)</x:f>
        <x:v>0</x:v>
      </x:c>
      <x:c r="C28" t="n">
        <x:f>COUNTIFS('PRODUCT MASTER'!$A$2:$A$1084,$A28,'PRODUCT MASTER'!$B$2:$B$1084,C$1)</x:f>
        <x:v>142</x:v>
      </x:c>
      <x:c r="D28" t="n">
        <x:f>COUNTIFS('PRODUCT MASTER'!$A$2:$A$1084,$A28,'PRODUCT MASTER'!$B$2:$B$1084,D$1)</x:f>
        <x:v>0</x:v>
      </x:c>
      <x:c r="E28" t="n">
        <x:f>COUNTIFS('PRODUCT MASTER'!$A$2:$A$1084,$A28,'PRODUCT MASTER'!$B$2:$B$1084,E$1)</x:f>
        <x:v>0</x:v>
      </x:c>
      <x:c r="F28" t="n">
        <x:f>COUNTIFS('PRODUCT MASTER'!$A$2:$A$1084,$A28,'PRODUCT MASTER'!$B$2:$B$1084,F$1)</x:f>
        <x:v>0</x:v>
      </x:c>
      <x:c r="G28" t="n">
        <x:f>COUNTIFS('PRODUCT MASTER'!$A$2:$A$1084,$A28,'PRODUCT MASTER'!$B$2:$B$1084,G$1)</x:f>
        <x:v>0</x:v>
      </x:c>
      <x:c r="H28" t="n">
        <x:f>COUNTIFS('PRODUCT MASTER'!$A$2:$A$1084,$A28,'PRODUCT MASTER'!$B$2:$B$1084,H$1)</x:f>
        <x:v>4</x:v>
      </x:c>
      <x:c r="I28" t="n">
        <x:f>SUM(B28:H28)</x:f>
        <x:v>146</x:v>
      </x:c>
    </x:row>
    <x:row r="29">
      <x:c r="A29" t="str">
        <x:v>SIG Sauer</x:v>
      </x:c>
      <x:c r="B29" t="n">
        <x:f>COUNTIFS('PRODUCT MASTER'!$A$2:$A$1084,$A29,'PRODUCT MASTER'!$B$2:$B$1084,B$1)</x:f>
        <x:v>0</x:v>
      </x:c>
      <x:c r="C29" t="n">
        <x:f>COUNTIFS('PRODUCT MASTER'!$A$2:$A$1084,$A29,'PRODUCT MASTER'!$B$2:$B$1084,C$1)</x:f>
        <x:v>6</x:v>
      </x:c>
      <x:c r="D29" t="n">
        <x:f>COUNTIFS('PRODUCT MASTER'!$A$2:$A$1084,$A29,'PRODUCT MASTER'!$B$2:$B$1084,D$1)</x:f>
        <x:v>30</x:v>
      </x:c>
      <x:c r="E29" t="n">
        <x:f>COUNTIFS('PRODUCT MASTER'!$A$2:$A$1084,$A29,'PRODUCT MASTER'!$B$2:$B$1084,E$1)</x:f>
        <x:v>0</x:v>
      </x:c>
      <x:c r="F29" t="n">
        <x:f>COUNTIFS('PRODUCT MASTER'!$A$2:$A$1084,$A29,'PRODUCT MASTER'!$B$2:$B$1084,F$1)</x:f>
        <x:v>0</x:v>
      </x:c>
      <x:c r="G29" t="n">
        <x:f>COUNTIFS('PRODUCT MASTER'!$A$2:$A$1084,$A29,'PRODUCT MASTER'!$B$2:$B$1084,G$1)</x:f>
        <x:v>0</x:v>
      </x:c>
      <x:c r="H29" t="n">
        <x:f>COUNTIFS('PRODUCT MASTER'!$A$2:$A$1084,$A29,'PRODUCT MASTER'!$B$2:$B$1084,H$1)</x:f>
        <x:v>0</x:v>
      </x:c>
      <x:c r="I29" t="n">
        <x:f>SUM(B29:H29)</x:f>
        <x:v>36</x:v>
      </x:c>
    </x:row>
    <x:row r="30">
      <x:c r="A30" t="str">
        <x:v>SSS Defence</x:v>
      </x:c>
      <x:c r="B30" t="n">
        <x:f>COUNTIFS('PRODUCT MASTER'!$A$2:$A$1084,$A30,'PRODUCT MASTER'!$B$2:$B$1084,B$1)</x:f>
        <x:v>0</x:v>
      </x:c>
      <x:c r="C30" t="n">
        <x:f>COUNTIFS('PRODUCT MASTER'!$A$2:$A$1084,$A30,'PRODUCT MASTER'!$B$2:$B$1084,C$1)</x:f>
        <x:v>16</x:v>
      </x:c>
      <x:c r="D30" t="n">
        <x:f>COUNTIFS('PRODUCT MASTER'!$A$2:$A$1084,$A30,'PRODUCT MASTER'!$B$2:$B$1084,D$1)</x:f>
        <x:v>14</x:v>
      </x:c>
      <x:c r="E30" t="n">
        <x:f>COUNTIFS('PRODUCT MASTER'!$A$2:$A$1084,$A30,'PRODUCT MASTER'!$B$2:$B$1084,E$1)</x:f>
        <x:v>0</x:v>
      </x:c>
      <x:c r="F30" t="n">
        <x:f>COUNTIFS('PRODUCT MASTER'!$A$2:$A$1084,$A30,'PRODUCT MASTER'!$B$2:$B$1084,F$1)</x:f>
        <x:v>0</x:v>
      </x:c>
      <x:c r="G30" t="n">
        <x:f>COUNTIFS('PRODUCT MASTER'!$A$2:$A$1084,$A30,'PRODUCT MASTER'!$B$2:$B$1084,G$1)</x:f>
        <x:v>1</x:v>
      </x:c>
      <x:c r="H30" t="n">
        <x:f>COUNTIFS('PRODUCT MASTER'!$A$2:$A$1084,$A30,'PRODUCT MASTER'!$B$2:$B$1084,H$1)</x:f>
        <x:v>0</x:v>
      </x:c>
      <x:c r="I30" t="n">
        <x:f>SUM(B30:H30)</x:f>
        <x:v>31</x:v>
      </x:c>
    </x:row>
    <x:row r="31">
      <x:c r="A31" t="str">
        <x:v>Rafael Advanced Defense Systems</x:v>
      </x:c>
      <x:c r="B31" t="n">
        <x:f>COUNTIFS('PRODUCT MASTER'!$A$2:$A$1084,$A31,'PRODUCT MASTER'!$B$2:$B$1084,B$1)</x:f>
        <x:v>0</x:v>
      </x:c>
      <x:c r="C31" t="n">
        <x:f>COUNTIFS('PRODUCT MASTER'!$A$2:$A$1084,$A31,'PRODUCT MASTER'!$B$2:$B$1084,C$1)</x:f>
        <x:v>0</x:v>
      </x:c>
      <x:c r="D31" t="n">
        <x:f>COUNTIFS('PRODUCT MASTER'!$A$2:$A$1084,$A31,'PRODUCT MASTER'!$B$2:$B$1084,D$1)</x:f>
        <x:v>0</x:v>
      </x:c>
      <x:c r="E31" t="n">
        <x:f>COUNTIFS('PRODUCT MASTER'!$A$2:$A$1084,$A31,'PRODUCT MASTER'!$B$2:$B$1084,E$1)</x:f>
        <x:v>3</x:v>
      </x:c>
      <x:c r="F31" t="n">
        <x:f>COUNTIFS('PRODUCT MASTER'!$A$2:$A$1084,$A31,'PRODUCT MASTER'!$B$2:$B$1084,F$1)</x:f>
        <x:v>4</x:v>
      </x:c>
      <x:c r="G31" t="n">
        <x:f>COUNTIFS('PRODUCT MASTER'!$A$2:$A$1084,$A31,'PRODUCT MASTER'!$B$2:$B$1084,G$1)</x:f>
        <x:v>0</x:v>
      </x:c>
      <x:c r="H31" t="n">
        <x:f>COUNTIFS('PRODUCT MASTER'!$A$2:$A$1084,$A31,'PRODUCT MASTER'!$B$2:$B$1084,H$1)</x:f>
        <x:v>18</x:v>
      </x:c>
      <x:c r="I31" t="n">
        <x:f>SUM(B31:H31)</x:f>
        <x:v>25</x:v>
      </x:c>
    </x:row>
    <x:row r="32">
      <x:c r="A32" t="str">
        <x:v>KONGSBERG</x:v>
      </x:c>
      <x:c r="B32" t="n">
        <x:f>COUNTIFS('PRODUCT MASTER'!$A$2:$A$1084,$A32,'PRODUCT MASTER'!$B$2:$B$1084,B$1)</x:f>
        <x:v>0</x:v>
      </x:c>
      <x:c r="C32" t="n">
        <x:f>COUNTIFS('PRODUCT MASTER'!$A$2:$A$1084,$A32,'PRODUCT MASTER'!$B$2:$B$1084,C$1)</x:f>
        <x:v>0</x:v>
      </x:c>
      <x:c r="D32" t="n">
        <x:f>COUNTIFS('PRODUCT MASTER'!$A$2:$A$1084,$A32,'PRODUCT MASTER'!$B$2:$B$1084,D$1)</x:f>
        <x:v>0</x:v>
      </x:c>
      <x:c r="E32" t="n">
        <x:f>COUNTIFS('PRODUCT MASTER'!$A$2:$A$1084,$A32,'PRODUCT MASTER'!$B$2:$B$1084,E$1)</x:f>
        <x:v>1</x:v>
      </x:c>
      <x:c r="F32" t="n">
        <x:f>COUNTIFS('PRODUCT MASTER'!$A$2:$A$1084,$A32,'PRODUCT MASTER'!$B$2:$B$1084,F$1)</x:f>
        <x:v>5</x:v>
      </x:c>
      <x:c r="G32" t="n">
        <x:f>COUNTIFS('PRODUCT MASTER'!$A$2:$A$1084,$A32,'PRODUCT MASTER'!$B$2:$B$1084,G$1)</x:f>
        <x:v>0</x:v>
      </x:c>
      <x:c r="H32" t="n">
        <x:f>COUNTIFS('PRODUCT MASTER'!$A$2:$A$1084,$A32,'PRODUCT MASTER'!$B$2:$B$1084,H$1)</x:f>
        <x:v>7</x:v>
      </x:c>
      <x:c r="I32" t="n">
        <x:f>SUM(B32:H32)</x:f>
        <x:v>13</x:v>
      </x:c>
    </x:row>
    <x:row r="33">
      <x:c r="A33" t="str">
        <x:v>MBDA</x:v>
      </x:c>
      <x:c r="B33" t="n">
        <x:f>COUNTIFS('PRODUCT MASTER'!$A$2:$A$1084,$A33,'PRODUCT MASTER'!$B$2:$B$1084,B$1)</x:f>
        <x:v>0</x:v>
      </x:c>
      <x:c r="C33" t="n">
        <x:f>COUNTIFS('PRODUCT MASTER'!$A$2:$A$1084,$A33,'PRODUCT MASTER'!$B$2:$B$1084,C$1)</x:f>
        <x:v>0</x:v>
      </x:c>
      <x:c r="D33" t="n">
        <x:f>COUNTIFS('PRODUCT MASTER'!$A$2:$A$1084,$A33,'PRODUCT MASTER'!$B$2:$B$1084,D$1)</x:f>
        <x:v>0</x:v>
      </x:c>
      <x:c r="E33" t="n">
        <x:f>COUNTIFS('PRODUCT MASTER'!$A$2:$A$1084,$A33,'PRODUCT MASTER'!$B$2:$B$1084,E$1)</x:f>
        <x:v>0</x:v>
      </x:c>
      <x:c r="F33" t="n">
        <x:f>COUNTIFS('PRODUCT MASTER'!$A$2:$A$1084,$A33,'PRODUCT MASTER'!$B$2:$B$1084,F$1)</x:f>
        <x:v>4</x:v>
      </x:c>
      <x:c r="G33" t="n">
        <x:f>COUNTIFS('PRODUCT MASTER'!$A$2:$A$1084,$A33,'PRODUCT MASTER'!$B$2:$B$1084,G$1)</x:f>
        <x:v>1</x:v>
      </x:c>
      <x:c r="H33" t="n">
        <x:f>COUNTIFS('PRODUCT MASTER'!$A$2:$A$1084,$A33,'PRODUCT MASTER'!$B$2:$B$1084,H$1)</x:f>
        <x:v>25</x:v>
      </x:c>
      <x:c r="I33" t="n">
        <x:f>SUM(B33:H33)</x:f>
        <x:v>30</x:v>
      </x:c>
    </x:row>
    <x:row r="34">
      <x:c r="A34" t="str">
        <x:v>Israel Aerospace Industries (IAI)</x:v>
      </x:c>
      <x:c r="B34" t="n">
        <x:f>COUNTIFS('PRODUCT MASTER'!$A$2:$A$1084,$A34,'PRODUCT MASTER'!$B$2:$B$1084,B$1)</x:f>
        <x:v>0</x:v>
      </x:c>
      <x:c r="C34" t="n">
        <x:f>COUNTIFS('PRODUCT MASTER'!$A$2:$A$1084,$A34,'PRODUCT MASTER'!$B$2:$B$1084,C$1)</x:f>
        <x:v>0</x:v>
      </x:c>
      <x:c r="D34" t="n">
        <x:f>COUNTIFS('PRODUCT MASTER'!$A$2:$A$1084,$A34,'PRODUCT MASTER'!$B$2:$B$1084,D$1)</x:f>
        <x:v>0</x:v>
      </x:c>
      <x:c r="E34" t="n">
        <x:f>COUNTIFS('PRODUCT MASTER'!$A$2:$A$1084,$A34,'PRODUCT MASTER'!$B$2:$B$1084,E$1)</x:f>
        <x:v>0</x:v>
      </x:c>
      <x:c r="F34" t="n">
        <x:f>COUNTIFS('PRODUCT MASTER'!$A$2:$A$1084,$A34,'PRODUCT MASTER'!$B$2:$B$1084,F$1)</x:f>
        <x:v>1</x:v>
      </x:c>
      <x:c r="G34" t="n">
        <x:f>COUNTIFS('PRODUCT MASTER'!$A$2:$A$1084,$A34,'PRODUCT MASTER'!$B$2:$B$1084,G$1)</x:f>
        <x:v>9</x:v>
      </x:c>
      <x:c r="H34" t="n">
        <x:f>COUNTIFS('PRODUCT MASTER'!$A$2:$A$1084,$A34,'PRODUCT MASTER'!$B$2:$B$1084,H$1)</x:f>
        <x:v>9</x:v>
      </x:c>
      <x:c r="I34" t="n">
        <x:f>SUM(B34:H34)</x:f>
        <x:v>19</x:v>
      </x:c>
    </x:row>
    <x:row r="35">
      <x:c r="A35" t="str">
        <x:v>L3Harris</x:v>
      </x:c>
      <x:c r="B35" t="n">
        <x:f>COUNTIFS('PRODUCT MASTER'!$A$2:$A$1084,$A35,'PRODUCT MASTER'!$B$2:$B$1084,B$1)</x:f>
        <x:v>0</x:v>
      </x:c>
      <x:c r="C35" t="n">
        <x:f>COUNTIFS('PRODUCT MASTER'!$A$2:$A$1084,$A35,'PRODUCT MASTER'!$B$2:$B$1084,C$1)</x:f>
        <x:v>0</x:v>
      </x:c>
      <x:c r="D35" t="n">
        <x:f>COUNTIFS('PRODUCT MASTER'!$A$2:$A$1084,$A35,'PRODUCT MASTER'!$B$2:$B$1084,D$1)</x:f>
        <x:v>0</x:v>
      </x:c>
      <x:c r="E35" t="n">
        <x:f>COUNTIFS('PRODUCT MASTER'!$A$2:$A$1084,$A35,'PRODUCT MASTER'!$B$2:$B$1084,E$1)</x:f>
        <x:v>0</x:v>
      </x:c>
      <x:c r="F35" t="n">
        <x:f>COUNTIFS('PRODUCT MASTER'!$A$2:$A$1084,$A35,'PRODUCT MASTER'!$B$2:$B$1084,F$1)</x:f>
        <x:v>3</x:v>
      </x:c>
      <x:c r="G35" t="n">
        <x:f>COUNTIFS('PRODUCT MASTER'!$A$2:$A$1084,$A35,'PRODUCT MASTER'!$B$2:$B$1084,G$1)</x:f>
        <x:v>3</x:v>
      </x:c>
      <x:c r="H35" t="n">
        <x:f>COUNTIFS('PRODUCT MASTER'!$A$2:$A$1084,$A35,'PRODUCT MASTER'!$B$2:$B$1084,H$1)</x:f>
        <x:v>2</x:v>
      </x:c>
      <x:c r="I35" t="n">
        <x:f>SUM(B35:H35)</x:f>
        <x:v>8</x:v>
      </x:c>
    </x:row>
    <x:row r="36">
      <x:c r="A36" t="str">
        <x:v>Northrop Grumman</x:v>
      </x:c>
      <x:c r="B36" t="n">
        <x:f>COUNTIFS('PRODUCT MASTER'!$A$2:$A$1084,$A36,'PRODUCT MASTER'!$B$2:$B$1084,B$1)</x:f>
        <x:v>0</x:v>
      </x:c>
      <x:c r="C36" t="n">
        <x:f>COUNTIFS('PRODUCT MASTER'!$A$2:$A$1084,$A36,'PRODUCT MASTER'!$B$2:$B$1084,C$1)</x:f>
        <x:v>5</x:v>
      </x:c>
      <x:c r="D36" t="n">
        <x:f>COUNTIFS('PRODUCT MASTER'!$A$2:$A$1084,$A36,'PRODUCT MASTER'!$B$2:$B$1084,D$1)</x:f>
        <x:v>0</x:v>
      </x:c>
      <x:c r="E36" t="n">
        <x:f>COUNTIFS('PRODUCT MASTER'!$A$2:$A$1084,$A36,'PRODUCT MASTER'!$B$2:$B$1084,E$1)</x:f>
        <x:v>0</x:v>
      </x:c>
      <x:c r="F36" t="n">
        <x:f>COUNTIFS('PRODUCT MASTER'!$A$2:$A$1084,$A36,'PRODUCT MASTER'!$B$2:$B$1084,F$1)</x:f>
        <x:v>0</x:v>
      </x:c>
      <x:c r="G36" t="n">
        <x:f>COUNTIFS('PRODUCT MASTER'!$A$2:$A$1084,$A36,'PRODUCT MASTER'!$B$2:$B$1084,G$1)</x:f>
        <x:v>4</x:v>
      </x:c>
      <x:c r="H36" t="n">
        <x:f>COUNTIFS('PRODUCT MASTER'!$A$2:$A$1084,$A36,'PRODUCT MASTER'!$B$2:$B$1084,H$1)</x:f>
        <x:v>7</x:v>
      </x:c>
      <x:c r="I36" t="n">
        <x:f>SUM(B36:H36)</x:f>
        <x:v>16</x:v>
      </x:c>
    </x:row>
    <x:row r="37">
      <x:c r="A37" t="str">
        <x:v>Lockheed Martin</x:v>
      </x:c>
      <x:c r="B37" t="n">
        <x:f>COUNTIFS('PRODUCT MASTER'!$A$2:$A$1084,$A37,'PRODUCT MASTER'!$B$2:$B$1084,B$1)</x:f>
        <x:v>1</x:v>
      </x:c>
      <x:c r="C37" t="n">
        <x:f>COUNTIFS('PRODUCT MASTER'!$A$2:$A$1084,$A37,'PRODUCT MASTER'!$B$2:$B$1084,C$1)</x:f>
        <x:v>0</x:v>
      </x:c>
      <x:c r="D37" t="n">
        <x:f>COUNTIFS('PRODUCT MASTER'!$A$2:$A$1084,$A37,'PRODUCT MASTER'!$B$2:$B$1084,D$1)</x:f>
        <x:v>0</x:v>
      </x:c>
      <x:c r="E37" t="n">
        <x:f>COUNTIFS('PRODUCT MASTER'!$A$2:$A$1084,$A37,'PRODUCT MASTER'!$B$2:$B$1084,E$1)</x:f>
        <x:v>0</x:v>
      </x:c>
      <x:c r="F37" t="n">
        <x:f>COUNTIFS('PRODUCT MASTER'!$A$2:$A$1084,$A37,'PRODUCT MASTER'!$B$2:$B$1084,F$1)</x:f>
        <x:v>1</x:v>
      </x:c>
      <x:c r="G37" t="n">
        <x:f>COUNTIFS('PRODUCT MASTER'!$A$2:$A$1084,$A37,'PRODUCT MASTER'!$B$2:$B$1084,G$1)</x:f>
        <x:v>2</x:v>
      </x:c>
      <x:c r="H37" t="n">
        <x:f>COUNTIFS('PRODUCT MASTER'!$A$2:$A$1084,$A37,'PRODUCT MASTER'!$B$2:$B$1084,H$1)</x:f>
        <x:v>12</x:v>
      </x:c>
      <x:c r="I37" t="n">
        <x:f>SUM(B37:H37)</x:f>
        <x:v>16</x:v>
      </x:c>
    </x:row>
    <x:row r="38">
      <x:c r="A38" t="str">
        <x:v>RTX (Raytheon)</x:v>
      </x:c>
      <x:c r="B38" t="n">
        <x:f>COUNTIFS('PRODUCT MASTER'!$A$2:$A$1084,$A38,'PRODUCT MASTER'!$B$2:$B$1084,B$1)</x:f>
        <x:v>0</x:v>
      </x:c>
      <x:c r="C38" t="n">
        <x:f>COUNTIFS('PRODUCT MASTER'!$A$2:$A$1084,$A38,'PRODUCT MASTER'!$B$2:$B$1084,C$1)</x:f>
        <x:v>1</x:v>
      </x:c>
      <x:c r="D38" t="n">
        <x:f>COUNTIFS('PRODUCT MASTER'!$A$2:$A$1084,$A38,'PRODUCT MASTER'!$B$2:$B$1084,D$1)</x:f>
        <x:v>0</x:v>
      </x:c>
      <x:c r="E38" t="n">
        <x:f>COUNTIFS('PRODUCT MASTER'!$A$2:$A$1084,$A38,'PRODUCT MASTER'!$B$2:$B$1084,E$1)</x:f>
        <x:v>0</x:v>
      </x:c>
      <x:c r="F38" t="n">
        <x:f>COUNTIFS('PRODUCT MASTER'!$A$2:$A$1084,$A38,'PRODUCT MASTER'!$B$2:$B$1084,F$1)</x:f>
        <x:v>2</x:v>
      </x:c>
      <x:c r="G38" t="n">
        <x:f>COUNTIFS('PRODUCT MASTER'!$A$2:$A$1084,$A38,'PRODUCT MASTER'!$B$2:$B$1084,G$1)</x:f>
        <x:v>4</x:v>
      </x:c>
      <x:c r="H38" t="n">
        <x:f>COUNTIFS('PRODUCT MASTER'!$A$2:$A$1084,$A38,'PRODUCT MASTER'!$B$2:$B$1084,H$1)</x:f>
        <x:v>14</x:v>
      </x:c>
      <x:c r="I38" t="n">
        <x:f>SUM(B38:H38)</x:f>
        <x:v>21</x:v>
      </x:c>
    </x:row>
    <x:row r="39">
      <x:c r="A39" t="str">
        <x:v>SAAB</x:v>
      </x:c>
      <x:c r="B39" t="n">
        <x:f>COUNTIFS('PRODUCT MASTER'!$A$2:$A$1084,$A39,'PRODUCT MASTER'!$B$2:$B$1084,B$1)</x:f>
        <x:v>0</x:v>
      </x:c>
      <x:c r="C39" t="n">
        <x:f>COUNTIFS('PRODUCT MASTER'!$A$2:$A$1084,$A39,'PRODUCT MASTER'!$B$2:$B$1084,C$1)</x:f>
        <x:v>8</x:v>
      </x:c>
      <x:c r="D39" t="n">
        <x:f>COUNTIFS('PRODUCT MASTER'!$A$2:$A$1084,$A39,'PRODUCT MASTER'!$B$2:$B$1084,D$1)</x:f>
        <x:v>1</x:v>
      </x:c>
      <x:c r="E39" t="n">
        <x:f>COUNTIFS('PRODUCT MASTER'!$A$2:$A$1084,$A39,'PRODUCT MASTER'!$B$2:$B$1084,E$1)</x:f>
        <x:v>0</x:v>
      </x:c>
      <x:c r="F39" t="n">
        <x:f>COUNTIFS('PRODUCT MASTER'!$A$2:$A$1084,$A39,'PRODUCT MASTER'!$B$2:$B$1084,F$1)</x:f>
        <x:v>5</x:v>
      </x:c>
      <x:c r="G39" t="n">
        <x:f>COUNTIFS('PRODUCT MASTER'!$A$2:$A$1084,$A39,'PRODUCT MASTER'!$B$2:$B$1084,G$1)</x:f>
        <x:v>1</x:v>
      </x:c>
      <x:c r="H39" t="n">
        <x:f>COUNTIFS('PRODUCT MASTER'!$A$2:$A$1084,$A39,'PRODUCT MASTER'!$B$2:$B$1084,H$1)</x:f>
        <x:v>4</x:v>
      </x:c>
      <x:c r="I39" t="n">
        <x:f>SUM(B39:H39)</x:f>
        <x:v>19</x:v>
      </x:c>
    </x:row>
    <x:row r="40">
      <x:c r="A40" t="str">
        <x:v>Thyssenkrupp Marine Systems</x:v>
      </x:c>
      <x:c r="B40" t="n">
        <x:f>COUNTIFS('PRODUCT MASTER'!$A$2:$A$1084,$A40,'PRODUCT MASTER'!$B$2:$B$1084,B$1)</x:f>
        <x:v>0</x:v>
      </x:c>
      <x:c r="C40" t="n">
        <x:f>COUNTIFS('PRODUCT MASTER'!$A$2:$A$1084,$A40,'PRODUCT MASTER'!$B$2:$B$1084,C$1)</x:f>
        <x:v>0</x:v>
      </x:c>
      <x:c r="D40" t="n">
        <x:f>COUNTIFS('PRODUCT MASTER'!$A$2:$A$1084,$A40,'PRODUCT MASTER'!$B$2:$B$1084,D$1)</x:f>
        <x:v>0</x:v>
      </x:c>
      <x:c r="E40" t="n">
        <x:f>COUNTIFS('PRODUCT MASTER'!$A$2:$A$1084,$A40,'PRODUCT MASTER'!$B$2:$B$1084,E$1)</x:f>
        <x:v>0</x:v>
      </x:c>
      <x:c r="F40" t="n">
        <x:f>COUNTIFS('PRODUCT MASTER'!$A$2:$A$1084,$A40,'PRODUCT MASTER'!$B$2:$B$1084,F$1)</x:f>
        <x:v>13</x:v>
      </x:c>
      <x:c r="G40" t="n">
        <x:f>COUNTIFS('PRODUCT MASTER'!$A$2:$A$1084,$A40,'PRODUCT MASTER'!$B$2:$B$1084,G$1)</x:f>
        <x:v>0</x:v>
      </x:c>
      <x:c r="H40" t="n">
        <x:f>COUNTIFS('PRODUCT MASTER'!$A$2:$A$1084,$A40,'PRODUCT MASTER'!$B$2:$B$1084,H$1)</x:f>
        <x:v>0</x:v>
      </x:c>
      <x:c r="I40" t="n">
        <x:f>SUM(B40:H40)</x:f>
        <x:v>13</x:v>
      </x:c>
    </x:row>
    <x:row r="41">
      <x:c r="A41" t="str">
        <x:v>Naval Group</x:v>
      </x:c>
      <x:c r="B41" t="n">
        <x:f>COUNTIFS('PRODUCT MASTER'!$A$2:$A$1084,$A41,'PRODUCT MASTER'!$B$2:$B$1084,B$1)</x:f>
        <x:v>0</x:v>
      </x:c>
      <x:c r="C41" t="n">
        <x:f>COUNTIFS('PRODUCT MASTER'!$A$2:$A$1084,$A41,'PRODUCT MASTER'!$B$2:$B$1084,C$1)</x:f>
        <x:v>0</x:v>
      </x:c>
      <x:c r="D41" t="n">
        <x:f>COUNTIFS('PRODUCT MASTER'!$A$2:$A$1084,$A41,'PRODUCT MASTER'!$B$2:$B$1084,D$1)</x:f>
        <x:v>0</x:v>
      </x:c>
      <x:c r="E41" t="n">
        <x:f>COUNTIFS('PRODUCT MASTER'!$A$2:$A$1084,$A41,'PRODUCT MASTER'!$B$2:$B$1084,E$1)</x:f>
        <x:v>0</x:v>
      </x:c>
      <x:c r="F41" t="n">
        <x:f>COUNTIFS('PRODUCT MASTER'!$A$2:$A$1084,$A41,'PRODUCT MASTER'!$B$2:$B$1084,F$1)</x:f>
        <x:v>13</x:v>
      </x:c>
      <x:c r="G41" t="n">
        <x:f>COUNTIFS('PRODUCT MASTER'!$A$2:$A$1084,$A41,'PRODUCT MASTER'!$B$2:$B$1084,G$1)</x:f>
        <x:v>1</x:v>
      </x:c>
      <x:c r="H41" t="n">
        <x:f>COUNTIFS('PRODUCT MASTER'!$A$2:$A$1084,$A41,'PRODUCT MASTER'!$B$2:$B$1084,H$1)</x:f>
        <x:v>0</x:v>
      </x:c>
      <x:c r="I41" t="n">
        <x:f>SUM(B41:H41)</x:f>
        <x:v>14</x:v>
      </x:c>
    </x:row>
    <x:row r="42">
      <x:c r="A42" t="str">
        <x:v>Huntington Ingalls Industries</x:v>
      </x:c>
      <x:c r="B42" t="n">
        <x:f>COUNTIFS('PRODUCT MASTER'!$A$2:$A$1084,$A42,'PRODUCT MASTER'!$B$2:$B$1084,B$1)</x:f>
        <x:v>0</x:v>
      </x:c>
      <x:c r="C42" t="n">
        <x:f>COUNTIFS('PRODUCT MASTER'!$A$2:$A$1084,$A42,'PRODUCT MASTER'!$B$2:$B$1084,C$1)</x:f>
        <x:v>0</x:v>
      </x:c>
      <x:c r="D42" t="n">
        <x:f>COUNTIFS('PRODUCT MASTER'!$A$2:$A$1084,$A42,'PRODUCT MASTER'!$B$2:$B$1084,D$1)</x:f>
        <x:v>0</x:v>
      </x:c>
      <x:c r="E42" t="n">
        <x:f>COUNTIFS('PRODUCT MASTER'!$A$2:$A$1084,$A42,'PRODUCT MASTER'!$B$2:$B$1084,E$1)</x:f>
        <x:v>0</x:v>
      </x:c>
      <x:c r="F42" t="n">
        <x:f>COUNTIFS('PRODUCT MASTER'!$A$2:$A$1084,$A42,'PRODUCT MASTER'!$B$2:$B$1084,F$1)</x:f>
        <x:v>13</x:v>
      </x:c>
      <x:c r="G42" t="n">
        <x:f>COUNTIFS('PRODUCT MASTER'!$A$2:$A$1084,$A42,'PRODUCT MASTER'!$B$2:$B$1084,G$1)</x:f>
        <x:v>0</x:v>
      </x:c>
      <x:c r="H42" t="n">
        <x:f>COUNTIFS('PRODUCT MASTER'!$A$2:$A$1084,$A42,'PRODUCT MASTER'!$B$2:$B$1084,H$1)</x:f>
        <x:v>0</x:v>
      </x:c>
      <x:c r="I42" t="n">
        <x:f>SUM(B42:H42)</x:f>
        <x:v>13</x:v>
      </x:c>
    </x:row>
    <x:row r="43">
      <x:c r="A43" t="str">
        <x:v>Babcock</x:v>
      </x:c>
      <x:c r="B43" t="n">
        <x:f>COUNTIFS('PRODUCT MASTER'!$A$2:$A$1084,$A43,'PRODUCT MASTER'!$B$2:$B$1084,B$1)</x:f>
        <x:v>1</x:v>
      </x:c>
      <x:c r="C43" t="n">
        <x:f>COUNTIFS('PRODUCT MASTER'!$A$2:$A$1084,$A43,'PRODUCT MASTER'!$B$2:$B$1084,C$1)</x:f>
        <x:v>0</x:v>
      </x:c>
      <x:c r="D43" t="n">
        <x:f>COUNTIFS('PRODUCT MASTER'!$A$2:$A$1084,$A43,'PRODUCT MASTER'!$B$2:$B$1084,D$1)</x:f>
        <x:v>0</x:v>
      </x:c>
      <x:c r="E43" t="n">
        <x:f>COUNTIFS('PRODUCT MASTER'!$A$2:$A$1084,$A43,'PRODUCT MASTER'!$B$2:$B$1084,E$1)</x:f>
        <x:v>2</x:v>
      </x:c>
      <x:c r="F43" t="n">
        <x:f>COUNTIFS('PRODUCT MASTER'!$A$2:$A$1084,$A43,'PRODUCT MASTER'!$B$2:$B$1084,F$1)</x:f>
        <x:v>3</x:v>
      </x:c>
      <x:c r="G43" t="n">
        <x:f>COUNTIFS('PRODUCT MASTER'!$A$2:$A$1084,$A43,'PRODUCT MASTER'!$B$2:$B$1084,G$1)</x:f>
        <x:v>0</x:v>
      </x:c>
      <x:c r="H43" t="n">
        <x:f>COUNTIFS('PRODUCT MASTER'!$A$2:$A$1084,$A43,'PRODUCT MASTER'!$B$2:$B$1084,H$1)</x:f>
        <x:v>0</x:v>
      </x:c>
      <x:c r="I43" t="n">
        <x:f>SUM(B43:H43)</x:f>
        <x:v>6</x:v>
      </x:c>
    </x:row>
    <x:row r="44">
      <x:c r="A44" t="str">
        <x:v>Diehl Defence</x:v>
      </x:c>
      <x:c r="B44" t="n">
        <x:f>COUNTIFS('PRODUCT MASTER'!$A$2:$A$1084,$A44,'PRODUCT MASTER'!$B$2:$B$1084,B$1)</x:f>
        <x:v>0</x:v>
      </x:c>
      <x:c r="C44" t="n">
        <x:f>COUNTIFS('PRODUCT MASTER'!$A$2:$A$1084,$A44,'PRODUCT MASTER'!$B$2:$B$1084,C$1)</x:f>
        <x:v>5</x:v>
      </x:c>
      <x:c r="D44" t="n">
        <x:f>COUNTIFS('PRODUCT MASTER'!$A$2:$A$1084,$A44,'PRODUCT MASTER'!$B$2:$B$1084,D$1)</x:f>
        <x:v>0</x:v>
      </x:c>
      <x:c r="E44" t="n">
        <x:f>COUNTIFS('PRODUCT MASTER'!$A$2:$A$1084,$A44,'PRODUCT MASTER'!$B$2:$B$1084,E$1)</x:f>
        <x:v>0</x:v>
      </x:c>
      <x:c r="F44" t="n">
        <x:f>COUNTIFS('PRODUCT MASTER'!$A$2:$A$1084,$A44,'PRODUCT MASTER'!$B$2:$B$1084,F$1)</x:f>
        <x:v>0</x:v>
      </x:c>
      <x:c r="G44" t="n">
        <x:f>COUNTIFS('PRODUCT MASTER'!$A$2:$A$1084,$A44,'PRODUCT MASTER'!$B$2:$B$1084,G$1)</x:f>
        <x:v>0</x:v>
      </x:c>
      <x:c r="H44" t="n">
        <x:f>COUNTIFS('PRODUCT MASTER'!$A$2:$A$1084,$A44,'PRODUCT MASTER'!$B$2:$B$1084,H$1)</x:f>
        <x:v>8</x:v>
      </x:c>
      <x:c r="I44" t="n">
        <x:f>SUM(B44:H44)</x:f>
        <x:v>13</x:v>
      </x:c>
    </x:row>
    <x:row r="45">
      <x:c r="A45" t="str">
        <x:v>AeroVironment</x:v>
      </x:c>
      <x:c r="B45" t="n">
        <x:f>COUNTIFS('PRODUCT MASTER'!$A$2:$A$1084,$A45,'PRODUCT MASTER'!$B$2:$B$1084,B$1)</x:f>
        <x:v>0</x:v>
      </x:c>
      <x:c r="C45" t="n">
        <x:f>COUNTIFS('PRODUCT MASTER'!$A$2:$A$1084,$A45,'PRODUCT MASTER'!$B$2:$B$1084,C$1)</x:f>
        <x:v>0</x:v>
      </x:c>
      <x:c r="D45" t="n">
        <x:f>COUNTIFS('PRODUCT MASTER'!$A$2:$A$1084,$A45,'PRODUCT MASTER'!$B$2:$B$1084,D$1)</x:f>
        <x:v>0</x:v>
      </x:c>
      <x:c r="E45" t="n">
        <x:f>COUNTIFS('PRODUCT MASTER'!$A$2:$A$1084,$A45,'PRODUCT MASTER'!$B$2:$B$1084,E$1)</x:f>
        <x:v>0</x:v>
      </x:c>
      <x:c r="F45" t="n">
        <x:f>COUNTIFS('PRODUCT MASTER'!$A$2:$A$1084,$A45,'PRODUCT MASTER'!$B$2:$B$1084,F$1)</x:f>
        <x:v>0</x:v>
      </x:c>
      <x:c r="G45" t="n">
        <x:f>COUNTIFS('PRODUCT MASTER'!$A$2:$A$1084,$A45,'PRODUCT MASTER'!$B$2:$B$1084,G$1)</x:f>
        <x:v>10</x:v>
      </x:c>
      <x:c r="H45" t="n">
        <x:f>COUNTIFS('PRODUCT MASTER'!$A$2:$A$1084,$A45,'PRODUCT MASTER'!$B$2:$B$1084,H$1)</x:f>
        <x:v>0</x:v>
      </x:c>
      <x:c r="I45" t="n">
        <x:f>SUM(B45:H45)</x:f>
        <x:v>10</x:v>
      </x:c>
    </x:row>
    <x:row r="46">
      <x:c r="A46" t="str">
        <x:v>Anduril</x:v>
      </x:c>
      <x:c r="B46" t="n">
        <x:f>COUNTIFS('PRODUCT MASTER'!$A$2:$A$1084,$A46,'PRODUCT MASTER'!$B$2:$B$1084,B$1)</x:f>
        <x:v>0</x:v>
      </x:c>
      <x:c r="C46" t="n">
        <x:f>COUNTIFS('PRODUCT MASTER'!$A$2:$A$1084,$A46,'PRODUCT MASTER'!$B$2:$B$1084,C$1)</x:f>
        <x:v>0</x:v>
      </x:c>
      <x:c r="D46" t="n">
        <x:f>COUNTIFS('PRODUCT MASTER'!$A$2:$A$1084,$A46,'PRODUCT MASTER'!$B$2:$B$1084,D$1)</x:f>
        <x:v>0</x:v>
      </x:c>
      <x:c r="E46" t="n">
        <x:f>COUNTIFS('PRODUCT MASTER'!$A$2:$A$1084,$A46,'PRODUCT MASTER'!$B$2:$B$1084,E$1)</x:f>
        <x:v>0</x:v>
      </x:c>
      <x:c r="F46" t="n">
        <x:f>COUNTIFS('PRODUCT MASTER'!$A$2:$A$1084,$A46,'PRODUCT MASTER'!$B$2:$B$1084,F$1)</x:f>
        <x:v>7</x:v>
      </x:c>
      <x:c r="G46" t="n">
        <x:f>COUNTIFS('PRODUCT MASTER'!$A$2:$A$1084,$A46,'PRODUCT MASTER'!$B$2:$B$1084,G$1)</x:f>
        <x:v>9</x:v>
      </x:c>
      <x:c r="H46" t="n">
        <x:f>COUNTIFS('PRODUCT MASTER'!$A$2:$A$1084,$A46,'PRODUCT MASTER'!$B$2:$B$1084,H$1)</x:f>
        <x:v>3</x:v>
      </x:c>
      <x:c r="I46" t="n">
        <x:f>SUM(B46:H46)</x:f>
        <x:v>19</x:v>
      </x:c>
    </x:row>
    <x:row r="47">
      <x:c r="A47" t="str">
        <x:v>UVision Air</x:v>
      </x:c>
      <x:c r="B47" t="n">
        <x:f>COUNTIFS('PRODUCT MASTER'!$A$2:$A$1084,$A47,'PRODUCT MASTER'!$B$2:$B$1084,B$1)</x:f>
        <x:v>0</x:v>
      </x:c>
      <x:c r="C47" t="n">
        <x:f>COUNTIFS('PRODUCT MASTER'!$A$2:$A$1084,$A47,'PRODUCT MASTER'!$B$2:$B$1084,C$1)</x:f>
        <x:v>0</x:v>
      </x:c>
      <x:c r="D47" t="n">
        <x:f>COUNTIFS('PRODUCT MASTER'!$A$2:$A$1084,$A47,'PRODUCT MASTER'!$B$2:$B$1084,D$1)</x:f>
        <x:v>0</x:v>
      </x:c>
      <x:c r="E47" t="n">
        <x:f>COUNTIFS('PRODUCT MASTER'!$A$2:$A$1084,$A47,'PRODUCT MASTER'!$B$2:$B$1084,E$1)</x:f>
        <x:v>0</x:v>
      </x:c>
      <x:c r="F47" t="n">
        <x:f>COUNTIFS('PRODUCT MASTER'!$A$2:$A$1084,$A47,'PRODUCT MASTER'!$B$2:$B$1084,F$1)</x:f>
        <x:v>0</x:v>
      </x:c>
      <x:c r="G47" t="n">
        <x:f>COUNTIFS('PRODUCT MASTER'!$A$2:$A$1084,$A47,'PRODUCT MASTER'!$B$2:$B$1084,G$1)</x:f>
        <x:v>12</x:v>
      </x:c>
      <x:c r="H47" t="n">
        <x:f>COUNTIFS('PRODUCT MASTER'!$A$2:$A$1084,$A47,'PRODUCT MASTER'!$B$2:$B$1084,H$1)</x:f>
        <x:v>0</x:v>
      </x:c>
      <x:c r="I47" t="n">
        <x:f>SUM(B47:H47)</x:f>
        <x:v>12</x:v>
      </x:c>
    </x:row>
    <x:row r="48">
      <x:c r="A48" t="str">
        <x:v>Adani Defence</x:v>
      </x:c>
      <x:c r="B48" t="n">
        <x:f>COUNTIFS('PRODUCT MASTER'!$A$2:$A$1084,$A48,'PRODUCT MASTER'!$B$2:$B$1084,B$1)</x:f>
        <x:v>1</x:v>
      </x:c>
      <x:c r="C48" t="n">
        <x:f>COUNTIFS('PRODUCT MASTER'!$A$2:$A$1084,$A48,'PRODUCT MASTER'!$B$2:$B$1084,C$1)</x:f>
        <x:v>7</x:v>
      </x:c>
      <x:c r="D48" t="n">
        <x:f>COUNTIFS('PRODUCT MASTER'!$A$2:$A$1084,$A48,'PRODUCT MASTER'!$B$2:$B$1084,D$1)</x:f>
        <x:v>0</x:v>
      </x:c>
      <x:c r="E48" t="n">
        <x:f>COUNTIFS('PRODUCT MASTER'!$A$2:$A$1084,$A48,'PRODUCT MASTER'!$B$2:$B$1084,E$1)</x:f>
        <x:v>1</x:v>
      </x:c>
      <x:c r="F48" t="n">
        <x:f>COUNTIFS('PRODUCT MASTER'!$A$2:$A$1084,$A48,'PRODUCT MASTER'!$B$2:$B$1084,F$1)</x:f>
        <x:v>1</x:v>
      </x:c>
      <x:c r="G48" t="n">
        <x:f>COUNTIFS('PRODUCT MASTER'!$A$2:$A$1084,$A48,'PRODUCT MASTER'!$B$2:$B$1084,G$1)</x:f>
        <x:v>6</x:v>
      </x:c>
      <x:c r="H48" t="n">
        <x:f>COUNTIFS('PRODUCT MASTER'!$A$2:$A$1084,$A48,'PRODUCT MASTER'!$B$2:$B$1084,H$1)</x:f>
        <x:v>1</x:v>
      </x:c>
      <x:c r="I48" t="n">
        <x:f>SUM(B48:H48)</x:f>
        <x:v>17</x:v>
      </x:c>
    </x:row>
    <x:row r="49">
      <x:c r="A49" t="str">
        <x:v>BrahMos Aerospace</x:v>
      </x:c>
      <x:c r="B49" t="n">
        <x:f>COUNTIFS('PRODUCT MASTER'!$A$2:$A$1084,$A49,'PRODUCT MASTER'!$B$2:$B$1084,B$1)</x:f>
        <x:v>0</x:v>
      </x:c>
      <x:c r="C49" t="n">
        <x:f>COUNTIFS('PRODUCT MASTER'!$A$2:$A$1084,$A49,'PRODUCT MASTER'!$B$2:$B$1084,C$1)</x:f>
        <x:v>0</x:v>
      </x:c>
      <x:c r="D49" t="n">
        <x:f>COUNTIFS('PRODUCT MASTER'!$A$2:$A$1084,$A49,'PRODUCT MASTER'!$B$2:$B$1084,D$1)</x:f>
        <x:v>0</x:v>
      </x:c>
      <x:c r="E49" t="n">
        <x:f>COUNTIFS('PRODUCT MASTER'!$A$2:$A$1084,$A49,'PRODUCT MASTER'!$B$2:$B$1084,E$1)</x:f>
        <x:v>0</x:v>
      </x:c>
      <x:c r="F49" t="n">
        <x:f>COUNTIFS('PRODUCT MASTER'!$A$2:$A$1084,$A49,'PRODUCT MASTER'!$B$2:$B$1084,F$1)</x:f>
        <x:v>0</x:v>
      </x:c>
      <x:c r="G49" t="n">
        <x:f>COUNTIFS('PRODUCT MASTER'!$A$2:$A$1084,$A49,'PRODUCT MASTER'!$B$2:$B$1084,G$1)</x:f>
        <x:v>0</x:v>
      </x:c>
      <x:c r="H49" t="n">
        <x:f>COUNTIFS('PRODUCT MASTER'!$A$2:$A$1084,$A49,'PRODUCT MASTER'!$B$2:$B$1084,H$1)</x:f>
        <x:v>9</x:v>
      </x:c>
      <x:c r="I49" t="n">
        <x:f>SUM(B49:H49)</x:f>
        <x:v>9</x:v>
      </x:c>
    </x:row>
    <x:row r="50">
      <x:c r="A50" t="str">
        <x:v>Premier Explosives</x:v>
      </x:c>
      <x:c r="B50" t="n">
        <x:f>COUNTIFS('PRODUCT MASTER'!$A$2:$A$1084,$A50,'PRODUCT MASTER'!$B$2:$B$1084,B$1)</x:f>
        <x:v>0</x:v>
      </x:c>
      <x:c r="C50" t="n">
        <x:f>COUNTIFS('PRODUCT MASTER'!$A$2:$A$1084,$A50,'PRODUCT MASTER'!$B$2:$B$1084,C$1)</x:f>
        <x:v>17</x:v>
      </x:c>
      <x:c r="D50" t="n">
        <x:f>COUNTIFS('PRODUCT MASTER'!$A$2:$A$1084,$A50,'PRODUCT MASTER'!$B$2:$B$1084,D$1)</x:f>
        <x:v>0</x:v>
      </x:c>
      <x:c r="E50" t="n">
        <x:f>COUNTIFS('PRODUCT MASTER'!$A$2:$A$1084,$A50,'PRODUCT MASTER'!$B$2:$B$1084,E$1)</x:f>
        <x:v>0</x:v>
      </x:c>
      <x:c r="F50" t="n">
        <x:f>COUNTIFS('PRODUCT MASTER'!$A$2:$A$1084,$A50,'PRODUCT MASTER'!$B$2:$B$1084,F$1)</x:f>
        <x:v>0</x:v>
      </x:c>
      <x:c r="G50" t="n">
        <x:f>COUNTIFS('PRODUCT MASTER'!$A$2:$A$1084,$A50,'PRODUCT MASTER'!$B$2:$B$1084,G$1)</x:f>
        <x:v>0</x:v>
      </x:c>
      <x:c r="H50" t="n">
        <x:f>COUNTIFS('PRODUCT MASTER'!$A$2:$A$1084,$A50,'PRODUCT MASTER'!$B$2:$B$1084,H$1)</x:f>
        <x:v>0</x:v>
      </x:c>
      <x:c r="I50" t="n">
        <x:f>SUM(B50:H50)</x:f>
        <x:v>17</x:v>
      </x:c>
    </x:row>
    <x:row r="51">
      <x:c r="A51" t="str">
        <x:v>Solar Industries</x:v>
      </x:c>
      <x:c r="B51" t="n">
        <x:f>COUNTIFS('PRODUCT MASTER'!$A$2:$A$1084,$A51,'PRODUCT MASTER'!$B$2:$B$1084,B$1)</x:f>
        <x:v>0</x:v>
      </x:c>
      <x:c r="C51" t="n">
        <x:f>COUNTIFS('PRODUCT MASTER'!$A$2:$A$1084,$A51,'PRODUCT MASTER'!$B$2:$B$1084,C$1)</x:f>
        <x:v>23</x:v>
      </x:c>
      <x:c r="D51" t="n">
        <x:f>COUNTIFS('PRODUCT MASTER'!$A$2:$A$1084,$A51,'PRODUCT MASTER'!$B$2:$B$1084,D$1)</x:f>
        <x:v>0</x:v>
      </x:c>
      <x:c r="E51" t="n">
        <x:f>COUNTIFS('PRODUCT MASTER'!$A$2:$A$1084,$A51,'PRODUCT MASTER'!$B$2:$B$1084,E$1)</x:f>
        <x:v>0</x:v>
      </x:c>
      <x:c r="F51" t="n">
        <x:f>COUNTIFS('PRODUCT MASTER'!$A$2:$A$1084,$A51,'PRODUCT MASTER'!$B$2:$B$1084,F$1)</x:f>
        <x:v>0</x:v>
      </x:c>
      <x:c r="G51" t="n">
        <x:f>COUNTIFS('PRODUCT MASTER'!$A$2:$A$1084,$A51,'PRODUCT MASTER'!$B$2:$B$1084,G$1)</x:f>
        <x:v>6</x:v>
      </x:c>
      <x:c r="H51" t="n">
        <x:f>COUNTIFS('PRODUCT MASTER'!$A$2:$A$1084,$A51,'PRODUCT MASTER'!$B$2:$B$1084,H$1)</x:f>
        <x:v>1</x:v>
      </x:c>
      <x:c r="I51" t="n">
        <x:f>SUM(B51:H51)</x:f>
        <x:v>30</x:v>
      </x:c>
    </x:row>
  </x:sheetData>
  <x:conditionalFormatting sqref="B2:H51">
    <x:cfRule type="colorScale" priority="1">
      <x:colorScale>
        <x:cfvo type="min"/>
        <x:cfvo type="percentile" val="50"/>
        <x:cfvo type="max"/>
        <x:color rgb="FFFFFFFF"/>
        <x:color rgb="FFD9EAF7"/>
        <x:color rgb="FF9EADB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d2fc4401694b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10" hidden="0" customWidth="1"/>
  </x:cols>
  <x:sheetData>
    <x:row r="1">
      <x:c r="A1" s="24" t="str">
        <x:v>Batch</x:v>
      </x:c>
      <x:c r="B1" s="24" t="str">
        <x:v>Strict Product Count</x:v>
      </x:c>
      <x:c r="C1" s="24" t="str">
        <x:v>Companies</x:v>
      </x:c>
      <x:c r="D1" s="24" t="str">
        <x:v>Company Names</x:v>
      </x:c>
    </x:row>
    <x:row r="2">
      <x:c r="A2" t="n">
        <x:v>1</x:v>
      </x:c>
      <x:c r="B2" t="n">
        <x:v>192</x:v>
      </x:c>
      <x:c r="C2" t="n">
        <x:v>5</x:v>
      </x:c>
      <x:c r="D2" t="str">
        <x:v>AWEIL, Nexter (KNDS France), KNDS Germany, BAE Systems, Leonardo</x:v>
      </x:c>
    </x:row>
    <x:row r="3">
      <x:c r="A3" t="n">
        <x:v>2</x:v>
      </x:c>
      <x:c r="B3" t="n">
        <x:v>82</x:v>
      </x:c>
      <x:c r="C3" t="n">
        <x:v>5</x:v>
      </x:c>
      <x:c r="D3" t="str">
        <x:v>Rheinmetall, Hanwha (Aerospace/Group), Elbit Systems, General Dynamics, NORINCO</x:v>
      </x:c>
    </x:row>
    <x:row r="4">
      <x:c r="A4" t="n">
        <x:v>3</x:v>
      </x:c>
      <x:c r="B4" t="n">
        <x:v>82</x:v>
      </x:c>
      <x:c r="C4" t="n">
        <x:v>5</x:v>
      </x:c>
      <x:c r="D4" t="str">
        <x:v>Tata Advanced Systems, Mahindra Defence, Larsen &amp; Toubro (L&amp;T), Patria, Supacat</x:v>
      </x:c>
    </x:row>
    <x:row r="5">
      <x:c r="A5" t="n">
        <x:v>4</x:v>
      </x:c>
      <x:c r="B5" t="n">
        <x:v>58</x:v>
      </x:c>
      <x:c r="C5" t="n">
        <x:v>5</x:v>
      </x:c>
      <x:c r="D5" t="str">
        <x:v>Otokar, Paramount Group, Roshel, IDV (Iveco Defence), PLR Systems (IWI+Adani)</x:v>
      </x:c>
    </x:row>
    <x:row r="6">
      <x:c r="A6" t="n">
        <x:v>5</x:v>
      </x:c>
      <x:c r="B6" t="n">
        <x:v>79</x:v>
      </x:c>
      <x:c r="C6" t="n">
        <x:v>5</x:v>
      </x:c>
      <x:c r="D6" t="str">
        <x:v>Kalashnikov Concern, Munitions India Ltd (MIL), Bharat Dynamics Ltd (BDL), Huta Stalowa Wola (HSW), Oshkosh Defense</x:v>
      </x:c>
    </x:row>
    <x:row r="7">
      <x:c r="A7" t="n">
        <x:v>6</x:v>
      </x:c>
      <x:c r="B7" t="n">
        <x:v>275</x:v>
      </x:c>
      <x:c r="C7" t="n">
        <x:v>5</x:v>
      </x:c>
      <x:c r="D7" t="str">
        <x:v>Poongsan, Nammo, SIG Sauer, SSS Defence, Rafael Advanced Defense Systems</x:v>
      </x:c>
    </x:row>
    <x:row r="8">
      <x:c r="A8" t="n">
        <x:v>7</x:v>
      </x:c>
      <x:c r="B8" t="n">
        <x:v>86</x:v>
      </x:c>
      <x:c r="C8" t="n">
        <x:v>5</x:v>
      </x:c>
      <x:c r="D8" t="str">
        <x:v>KONGSBERG, MBDA, Israel Aerospace Industries (IAI), L3Harris, Northrop Grumman</x:v>
      </x:c>
    </x:row>
    <x:row r="9">
      <x:c r="A9" t="n">
        <x:v>8</x:v>
      </x:c>
      <x:c r="B9" t="n">
        <x:v>83</x:v>
      </x:c>
      <x:c r="C9" t="n">
        <x:v>5</x:v>
      </x:c>
      <x:c r="D9" t="str">
        <x:v>Lockheed Martin, RTX (Raytheon), SAAB, Thyssenkrupp Marine Systems, Naval Group</x:v>
      </x:c>
    </x:row>
    <x:row r="10">
      <x:c r="A10" t="n">
        <x:v>9</x:v>
      </x:c>
      <x:c r="B10" t="n">
        <x:v>61</x:v>
      </x:c>
      <x:c r="C10" t="n">
        <x:v>5</x:v>
      </x:c>
      <x:c r="D10" t="str">
        <x:v>Huntington Ingalls Industries, Babcock, Diehl Defence, AeroVironment, Anduril</x:v>
      </x:c>
    </x:row>
    <x:row r="11">
      <x:c r="A11" t="n">
        <x:v>10</x:v>
      </x:c>
      <x:c r="B11" t="n">
        <x:v>85</x:v>
      </x:c>
      <x:c r="C11" t="n">
        <x:v>5</x:v>
      </x:c>
      <x:c r="D11" t="str">
        <x:v>UVision Air, Adani Defence, BrahMos Aerospace, Premier Explosives, Solar Industries</x:v>
      </x:c>
    </x:row>
  </x:sheetData>
  <x:pageMargins left="0.7" right="0.7" top="0.75" bottom="0.75" header="0.3" footer="0.3"/>
  <x:tableParts count="1">
    <x:tablePart xmlns:r="http://schemas.openxmlformats.org/officeDocument/2006/relationships" r:id="Ra8f639434e164a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62" hidden="0" customWidth="1"/>
    <x:col min="3" max="3" width="22" hidden="0" customWidth="1"/>
    <x:col min="4" max="4" width="122" hidden="0" customWidth="1"/>
  </x:cols>
  <x:sheetData>
    <x:row r="1">
      <x:c r="A1" s="24" t="str">
        <x:v>Source URL</x:v>
      </x:c>
      <x:c r="B1" s="24" t="str">
        <x:v>Companies</x:v>
      </x:c>
      <x:c r="C1" s="24" t="str">
        <x:v>Batches</x:v>
      </x:c>
      <x:c r="D1" s="24" t="str">
        <x:v>Used For (sample)</x:v>
      </x:c>
    </x:row>
    <x:row r="2">
      <x:c r="A2" s="30" t="str">
        <x:v>https://aeronautics.leonardo.com/documents/30508878/30801272/CREX-B_UAS.pdf</x:v>
      </x:c>
      <x:c r="B2" s="30" t="str">
        <x:v>Leonardo</x:v>
      </x:c>
      <x:c r="C2" s="30" t="str">
        <x:v>B1</x:v>
      </x:c>
      <x:c r="D2" s="30" t="str">
        <x:v>Leonardo — UAVs/Drones: CREX-B Micro UAS</x:v>
      </x:c>
    </x:row>
    <x:row r="3">
      <x:c r="A3" s="30" t="str">
        <x:v>https://armory.anduril.com/products/ghost-x</x:v>
      </x:c>
      <x:c r="B3" s="30" t="str">
        <x:v>Anduril</x:v>
      </x:c>
      <x:c r="C3" s="30" t="str">
        <x:v>B9</x:v>
      </x:c>
      <x:c r="D3" s="30" t="str">
        <x:v>Anduril — UAVs/Drones: Ghost-X</x:v>
      </x:c>
    </x:row>
    <x:row r="4">
      <x:c r="A4" s="30" t="str">
        <x:v>https://armyrecognition.com/news/army-news/2020/south-korea-to-produce-120mm-self-propelled-mortar-system</x:v>
      </x:c>
      <x:c r="B4" s="30" t="str">
        <x:v>Hanwha (Aerospace/Group)</x:v>
      </x:c>
      <x:c r="C4" s="30" t="str">
        <x:v>B2</x:v>
      </x:c>
      <x:c r="D4" s="30" t="str">
        <x:v>Hanwha (Aerospace/Group) — Artillery: 120 mm Self-Propelled Mortar Carrier</x:v>
      </x:c>
    </x:row>
    <x:row r="5">
      <x:c r="A5" s="30" t="str">
        <x:v>https://armyrecognition.com/news/army-news/army-news-2021/indian-defence-orders-1300-mahindra-lsv-light-specialist-vehicles</x:v>
      </x:c>
      <x:c r="B5" s="30" t="str">
        <x:v>Mahindra Defence</x:v>
      </x:c>
      <x:c r="C5" s="30" t="str">
        <x:v>B3</x:v>
      </x:c>
      <x:c r="D5" s="30" t="str">
        <x:v>Mahindra Defence — Protected Vehicles: Armado / Armoured Light Specialist Vehicle (ALSV)</x:v>
      </x:c>
    </x:row>
    <x:row r="6">
      <x:c r="A6" s="30" t="str">
        <x:v>https://armyrecognition.com/news/army-news/army-news-2024/hanwha-aerospace-presents-its-k21-redback-ifv-at-bsda-2024</x:v>
      </x:c>
      <x:c r="B6" s="30" t="str">
        <x:v>Hanwha (Aerospace/Group)</x:v>
      </x:c>
      <x:c r="C6" s="30" t="str">
        <x:v>B2</x:v>
      </x:c>
      <x:c r="D6" s="30" t="str">
        <x:v>Hanwha (Aerospace/Group) — Protected Vehicles: Redback IFV</x:v>
      </x:c>
    </x:row>
    <x:row r="7">
      <x:c r="A7" s="30" t="str">
        <x:v>https://armyrecognition.com/news/army-news/army-news-2024/hanwha-aerospace-unveils-chunmoo-mrls-anti-ship-ballistic-missile-capability-at-adas-2024</x:v>
      </x:c>
      <x:c r="B7" s="30" t="str">
        <x:v>Hanwha (Aerospace/Group)</x:v>
      </x:c>
      <x:c r="C7" s="30" t="str">
        <x:v>B2</x:v>
      </x:c>
      <x:c r="D7" s="30" t="str">
        <x:v>Hanwha (Aerospace/Group) — Artillery: Chunmoo Multiple Rocket Launcher</x:v>
      </x:c>
    </x:row>
    <x:row r="8">
      <x:c r="A8" s="30" t="str">
        <x:v>https://armyrecognition.com/news/army-news/army-news-2024/south-koreas-k9a2-emerges-among-top-choices-as-us-armys-future-self-propelled-howitzer</x:v>
      </x:c>
      <x:c r="B8" s="30" t="str">
        <x:v>Hanwha (Aerospace/Group)</x:v>
      </x:c>
      <x:c r="C8" s="30" t="str">
        <x:v>B2</x:v>
      </x:c>
      <x:c r="D8" s="30" t="str">
        <x:v>Hanwha (Aerospace/Group) — Artillery: K9A2</x:v>
      </x:c>
    </x:row>
    <x:row r="9">
      <x:c r="A9" s="30" t="str">
        <x:v>https://asc.army.mil/docs/wsh2/2012-wsh.pdf</x:v>
      </x:c>
      <x:c r="B9" s="30" t="str">
        <x:v>Lockheed Martin</x:v>
      </x:c>
      <x:c r="C9" s="30" t="str">
        <x:v>B8</x:v>
      </x:c>
      <x:c r="D9" s="30" t="str">
        <x:v>Lockheed Martin — Missiles: JAGM AGM-179</x:v>
      </x:c>
    </x:row>
    <x:row r="10">
      <x:c r="A10" s="30" t="str">
        <x:v>https://asc.army.mil/docs/wsh2/2020-2021-wsh.pdf</x:v>
      </x:c>
      <x:c r="B10" s="30" t="str">
        <x:v>Lockheed Martin</x:v>
      </x:c>
      <x:c r="C10" s="30" t="str">
        <x:v>B8</x:v>
      </x:c>
      <x:c r="D10" s="30" t="str">
        <x:v>Lockheed Martin — Artillery: M142 HIMARS (High Mobility Artillery Rocket System)</x:v>
      </x:c>
    </x:row>
    <x:row r="11">
      <x:c r="A11" s="30" t="str">
        <x:v>https://assembly.mn.gov.in/user/pages/files/administrative-reports/Police%20and%20Others.pdf</x:v>
      </x:c>
      <x:c r="B11" s="30" t="str">
        <x:v>Mahindra Defence</x:v>
      </x:c>
      <x:c r="C11" s="30" t="str">
        <x:v>B3</x:v>
      </x:c>
      <x:c r="D11" s="30" t="str">
        <x:v>Mahindra Defence — Protected Vehicles: Mahindra High Mobility Reconnaissance Vehicle</x:v>
      </x:c>
    </x:row>
    <x:row r="12">
      <x:c r="A12" s="30" t="str">
        <x:v>https://aweil.in/units-division</x:v>
      </x:c>
      <x:c r="B12" s="30" t="str">
        <x:v>AWEIL</x:v>
      </x:c>
      <x:c r="C12" s="30" t="str">
        <x:v>B1</x:v>
      </x:c>
      <x:c r="D12" s="30" t="str">
        <x:v>AWEIL — Small Arms: 12 Bore Pump Action Gun
AWEIL — Small Arms: 5.56 mm INSAS Rifle
AWEIL — Small Arms: 5.56 mm JVPC
AWEIL — Small Arms: 7.62 mm LMG Belt-Fed
AWEIL — Small Arms: 7.62 mm MAG Machine Gun
AWEIL — Small Arms: 7.62 mm Trichy Assault Rifle
AWEIL — Small Arms: 9 mm Carbine
AWEIL — Small Arms: 9×19 mm Machine Pistol (ASMI)
AWEIL — Small Arms: Ghatak 7.62×51 mm Service Rifle
AWEIL — Small Arms: INSAS 1B1 5.56×45 mm Assault Rifle
AWEIL — Marine/Naval: 12.7 mm Stabilised Remote Control Gun (SRCG)</x:v>
      </x:c>
    </x:row>
    <x:row r="13">
      <x:c r="A13" s="30" t="str">
        <x:v>https://backend.knds.com/uploads/KNDS_B_Ansicht_LEOPARD_2_A8_EN_056fd1a8ad.pdf</x:v>
      </x:c>
      <x:c r="B13" s="30" t="str">
        <x:v>KNDS Germany</x:v>
      </x:c>
      <x:c r="C13" s="30" t="str">
        <x:v>B1</x:v>
      </x:c>
      <x:c r="D13" s="30" t="str">
        <x:v>KNDS Germany — Protected Vehicles: Leopard 2A8</x:v>
      </x:c>
    </x:row>
    <x:row r="14">
      <x:c r="A14" s="30" t="str">
        <x:v>https://bazaarwatch.com/announcement/68874/premier-explosives-limited-outcome-of-board-meeting</x:v>
      </x:c>
      <x:c r="B14" s="30" t="str">
        <x:v>Premier Explosives</x:v>
      </x:c>
      <x:c r="C14" s="30" t="str">
        <x:v>B10</x:v>
      </x:c>
      <x:c r="D14" s="30" t="str">
        <x:v>Premier Explosives — company details</x:v>
      </x:c>
    </x:row>
    <x:row r="15">
      <x:c r="A15" s="30" t="str">
        <x:v>https://bdl-india.in/</x:v>
      </x:c>
      <x:c r="B15" s="30" t="str">
        <x:v>Bharat Dynamics Ltd (BDL)</x:v>
      </x:c>
      <x:c r="C15" s="30" t="str">
        <x:v>B5</x:v>
      </x:c>
      <x:c r="D15" s="30" t="str">
        <x:v>Bharat Dynamics Ltd (BDL) — company details</x:v>
      </x:c>
    </x:row>
    <x:row r="16">
      <x:c r="A16" s="30" t="str">
        <x:v>https://bdl-india.in/MRSAM1</x:v>
      </x:c>
      <x:c r="B16" s="30" t="str">
        <x:v>Bharat Dynamics Ltd (BDL)</x:v>
      </x:c>
      <x:c r="C16" s="30" t="str">
        <x:v>B5</x:v>
      </x:c>
      <x:c r="D16" s="30" t="str">
        <x:v>Bharat Dynamics Ltd (BDL) — Missiles: MRSAM</x:v>
      </x:c>
    </x:row>
    <x:row r="17">
      <x:c r="A17" s="30" t="str">
        <x:v>https://bdl-india.in/akash</x:v>
      </x:c>
      <x:c r="B17" s="30" t="str">
        <x:v>Bharat Dynamics Ltd (BDL)</x:v>
      </x:c>
      <x:c r="C17" s="30" t="str">
        <x:v>B5</x:v>
      </x:c>
      <x:c r="D17" s="30" t="str">
        <x:v>Bharat Dynamics Ltd (BDL) — Missiles: Akash Weapon System</x:v>
      </x:c>
    </x:row>
    <x:row r="18">
      <x:c r="A18" s="30" t="str">
        <x:v>https://bdl-india.in/amogha-iii</x:v>
      </x:c>
      <x:c r="B18" s="30" t="str">
        <x:v>Bharat Dynamics Ltd (BDL)</x:v>
      </x:c>
      <x:c r="C18" s="30" t="str">
        <x:v>B5</x:v>
      </x:c>
      <x:c r="D18" s="30" t="str">
        <x:v>Bharat Dynamics Ltd (BDL) — Missiles: Amogha-III ATGM</x:v>
      </x:c>
    </x:row>
    <x:row r="19">
      <x:c r="A19" s="30" t="str">
        <x:v>https://bdl-india.in/annual-reports</x:v>
      </x:c>
      <x:c r="B19" s="30" t="str">
        <x:v>Bharat Dynamics Ltd (BDL)</x:v>
      </x:c>
      <x:c r="C19" s="30" t="str">
        <x:v>B5</x:v>
      </x:c>
      <x:c r="D19" s="30" t="str">
        <x:v>Bharat Dynamics Ltd (BDL) — Ammunition: Multi-Influence Ground Mine (MIGM)
Bharat Dynamics Ltd (BDL) — Marine/Naval: C-303 / C-303S Anti-Torpedo Decoy Launching System
Bharat Dynamics Ltd (BDL) — Marine/Naval: TAL / Advanced Light Weight Torpedo
Bharat Dynamics Ltd (BDL) — Missiles: Amogha-III ATGM
Bharat Dynamics Ltd (BDL) — Missiles: Helina / Dhruvastra
Bharat Dynamics Ltd (BDL) — Missiles: INVAR (3UBK20) ATGM
Bharat Dynamics Ltd (BDL) — Missiles: Konkurs-M ATGM
Bharat Dynamics Ltd (BDL) — Missiles: Milan-2T ATGM
Bharat Dynamics Ltd (BDL) — Missiles: MRSAM
Bharat Dynamics Ltd (BDL) — Missiles: NAG ATGM
Bharat Dynamics Ltd (BDL) — Missiles: QRSAM</x:v>
      </x:c>
    </x:row>
    <x:row r="20">
      <x:c r="A20" s="30" t="str">
        <x:v>https://bdl-india.in/astra</x:v>
      </x:c>
      <x:c r="B20" s="30" t="str">
        <x:v>Bharat Dynamics Ltd (BDL)</x:v>
      </x:c>
      <x:c r="C20" s="30" t="str">
        <x:v>B5</x:v>
      </x:c>
      <x:c r="D20" s="30" t="str">
        <x:v>Bharat Dynamics Ltd (BDL) — Missiles: Astra Mk-I Weapon System</x:v>
      </x:c>
    </x:row>
    <x:row r="21">
      <x:c r="A21" s="30" t="str">
        <x:v>https://bdl-india.in/helina</x:v>
      </x:c>
      <x:c r="B21" s="30" t="str">
        <x:v>Bharat Dynamics Ltd (BDL)</x:v>
      </x:c>
      <x:c r="C21" s="30" t="str">
        <x:v>B5</x:v>
      </x:c>
      <x:c r="D21" s="30" t="str">
        <x:v>Bharat Dynamics Ltd (BDL) — Missiles: Helina / Dhruvastra</x:v>
      </x:c>
    </x:row>
    <x:row r="22">
      <x:c r="A22" s="30" t="str">
        <x:v>https://bdl-india.in/invar</x:v>
      </x:c>
      <x:c r="B22" s="30" t="str">
        <x:v>Bharat Dynamics Ltd (BDL)</x:v>
      </x:c>
      <x:c r="C22" s="30" t="str">
        <x:v>B5</x:v>
      </x:c>
      <x:c r="D22" s="30" t="str">
        <x:v>Bharat Dynamics Ltd (BDL) — Missiles: INVAR (3UBK20) ATGM</x:v>
      </x:c>
    </x:row>
    <x:row r="23">
      <x:c r="A23" s="30" t="str">
        <x:v>https://bdl-india.in/konkurs-m</x:v>
      </x:c>
      <x:c r="B23" s="30" t="str">
        <x:v>Bharat Dynamics Ltd (BDL)</x:v>
      </x:c>
      <x:c r="C23" s="30" t="str">
        <x:v>B5</x:v>
      </x:c>
      <x:c r="D23" s="30" t="str">
        <x:v>Bharat Dynamics Ltd (BDL) — Missiles: Konkurs-M ATGM</x:v>
      </x:c>
    </x:row>
    <x:row r="24">
      <x:c r="A24" s="30" t="str">
        <x:v>https://bdl-india.in/man-portable-atgm</x:v>
      </x:c>
      <x:c r="B24" s="30" t="str">
        <x:v>Bharat Dynamics Ltd (BDL)</x:v>
      </x:c>
      <x:c r="C24" s="30" t="str">
        <x:v>B5</x:v>
      </x:c>
      <x:c r="D24" s="30" t="str">
        <x:v>Bharat Dynamics Ltd (BDL) — Missiles: Man Portable ATGM (MPATGM)</x:v>
      </x:c>
    </x:row>
    <x:row r="25">
      <x:c r="A25" s="30" t="str">
        <x:v>https://bdl-india.in/milan-2t</x:v>
      </x:c>
      <x:c r="B25" s="30" t="str">
        <x:v>Bharat Dynamics Ltd (BDL)</x:v>
      </x:c>
      <x:c r="C25" s="30" t="str">
        <x:v>B5</x:v>
      </x:c>
      <x:c r="D25" s="30" t="str">
        <x:v>Bharat Dynamics Ltd (BDL) — Missiles: Milan-2T ATGM</x:v>
      </x:c>
    </x:row>
    <x:row r="26">
      <x:c r="A26" s="30" t="str">
        <x:v>https://bdl-india.in/nag</x:v>
      </x:c>
      <x:c r="B26" s="30" t="str">
        <x:v>Bharat Dynamics Ltd (BDL)</x:v>
      </x:c>
      <x:c r="C26" s="30" t="str">
        <x:v>B5</x:v>
      </x:c>
      <x:c r="D26" s="30" t="str">
        <x:v>Bharat Dynamics Ltd (BDL) — Missiles: NAG ATGM</x:v>
      </x:c>
    </x:row>
    <x:row r="27">
      <x:c r="A27" s="30" t="str">
        <x:v>https://bdl-india.in/products</x:v>
      </x:c>
      <x:c r="B27" s="30" t="str">
        <x:v>Bharat Dynamics Ltd (BDL)</x:v>
      </x:c>
      <x:c r="C27" s="30" t="str">
        <x:v>B5</x:v>
      </x:c>
      <x:c r="D27" s="30" t="str">
        <x:v>Bharat Dynamics Ltd (BDL) — Ammunition: Multi-Influence Ground Mine (MIGM)
Bharat Dynamics Ltd (BDL) — Marine/Naval: C-303 / C-303S Anti-Torpedo Decoy Launching System
Bharat Dynamics Ltd (BDL) — Marine/Naval: TAL / Advanced Light Weight Torpedo
Bharat Dynamics Ltd (BDL) — Missiles: Amogha-III ATGM
Bharat Dynamics Ltd (BDL) — Missiles: Helina / Dhruvastra
Bharat Dynamics Ltd (BDL) — Missiles: INVAR (3UBK20) ATGM
Bharat Dynamics Ltd (BDL) — Missiles: Konkurs-M ATGM
Bharat Dynamics Ltd (BDL) — Missiles: Man Portable ATGM (MPATGM)
Bharat Dynamics Ltd (BDL) — Missiles: Milan-2T ATGM
Bharat Dynamics Ltd (BDL) — Missiles: MRSAM
Bharat Dynamics Ltd (BDL) — Missiles: NAG ATGM
Bharat Dynamics Ltd (BDL) — Missiles: QRSAM</x:v>
      </x:c>
    </x:row>
    <x:row r="28">
      <x:c r="A28" s="30" t="str">
        <x:v>https://bdl-india.in/qrsam</x:v>
      </x:c>
      <x:c r="B28" s="30" t="str">
        <x:v>Bharat Dynamics Ltd (BDL)</x:v>
      </x:c>
      <x:c r="C28" s="30" t="str">
        <x:v>B5</x:v>
      </x:c>
      <x:c r="D28" s="30" t="str">
        <x:v>Bharat Dynamics Ltd (BDL) — Missiles: QRSAM</x:v>
      </x:c>
    </x:row>
    <x:row r="29">
      <x:c r="A29" s="30" t="str">
        <x:v>https://bdl-india.in/saaw</x:v>
      </x:c>
      <x:c r="B29" s="30" t="str">
        <x:v>Bharat Dynamics Ltd (BDL)</x:v>
      </x:c>
      <x:c r="C29" s="30" t="str">
        <x:v>B5</x:v>
      </x:c>
      <x:c r="D29" s="30" t="str">
        <x:v>Bharat Dynamics Ltd (BDL) — Missiles: Smart Anti-Airfield Weapon (SAAW)</x:v>
      </x:c>
    </x:row>
    <x:row r="30">
      <x:c r="A30" s="30" t="str">
        <x:v>https://bdl-india.in/tal</x:v>
      </x:c>
      <x:c r="B30" s="30" t="str">
        <x:v>Bharat Dynamics Ltd (BDL)</x:v>
      </x:c>
      <x:c r="C30" s="30" t="str">
        <x:v>B5</x:v>
      </x:c>
      <x:c r="D30" s="30" t="str">
        <x:v>Bharat Dynamics Ltd (BDL) — Marine/Naval: TAL / Advanced Light Weight Torpedo</x:v>
      </x:c>
    </x:row>
    <x:row r="31">
      <x:c r="A31" s="30" t="str">
        <x:v>https://bdl-india.in/varunastra</x:v>
      </x:c>
      <x:c r="B31" s="30" t="str">
        <x:v>Bharat Dynamics Ltd (BDL)</x:v>
      </x:c>
      <x:c r="C31" s="30" t="str">
        <x:v>B5</x:v>
      </x:c>
      <x:c r="D31" s="30" t="str">
        <x:v>Bharat Dynamics Ltd (BDL) — Marine/Naval: Varunastra Heavy Weight Torpedo</x:v>
      </x:c>
    </x:row>
    <x:row r="32">
      <x:c r="A32" s="30" t="str">
        <x:v>https://blog.roninsgrips.com/sitrep-global-small-arms-industry-week-ending-february-21-2026/</x:v>
      </x:c>
      <x:c r="B32" s="30" t="str">
        <x:v>PLR Systems (IWI+Adani)</x:v>
      </x:c>
      <x:c r="C32" s="30" t="str">
        <x:v>B4</x:v>
      </x:c>
      <x:c r="D32" s="30" t="str">
        <x:v>PLR Systems (IWI+Adani) — Small Arms: IWI CQB Carbine / PLR Jeet programme</x:v>
      </x:c>
    </x:row>
    <x:row r="33">
      <x:c r="A33" s="30" t="str">
        <x:v>https://brahmos.com/</x:v>
      </x:c>
      <x:c r="B33" s="30" t="str">
        <x:v>BrahMos Aerospace</x:v>
      </x:c>
      <x:c r="C33" s="30" t="str">
        <x:v>B10</x:v>
      </x:c>
      <x:c r="D33" s="30" t="str">
        <x:v>BrahMos Aerospace — Missiles: BRAHMOS Land-Based Weapon System
BrahMos Aerospace — Missiles: BRAHMOS Submarine-Launched Cruise Missile (SLCM)
BrahMos Aerospace — Missiles: BRAHMOS-II Hypersonic Cruise Missile</x:v>
      </x:c>
    </x:row>
    <x:row r="34">
      <x:c r="A34" s="30" t="str">
        <x:v>https://brahmos.com/about-jv</x:v>
      </x:c>
      <x:c r="B34" s="30" t="str">
        <x:v>BrahMos Aerospace</x:v>
      </x:c>
      <x:c r="C34" s="30" t="str">
        <x:v>B10</x:v>
      </x:c>
      <x:c r="D34" s="30" t="str">
        <x:v>BrahMos Aerospace — company details</x:v>
      </x:c>
    </x:row>
    <x:row r="35">
      <x:c r="A35" s="30" t="str">
        <x:v>https://brahmos.com/content.php?id=16</x:v>
      </x:c>
      <x:c r="B35" s="30" t="str">
        <x:v>BrahMos Aerospace</x:v>
      </x:c>
      <x:c r="C35" s="30" t="str">
        <x:v>B10</x:v>
      </x:c>
      <x:c r="D35" s="30" t="str">
        <x:v>BrahMos Aerospace — Missiles: BRAHMOS Land Attack Block-I
BrahMos Aerospace — Missiles: BRAHMOS Land Attack Block-II
BrahMos Aerospace — Missiles: BRAHMOS Land Attack Block-III</x:v>
      </x:c>
    </x:row>
    <x:row r="36">
      <x:c r="A36" s="30" t="str">
        <x:v>https://brahmos.com/index.php/contact</x:v>
      </x:c>
      <x:c r="B36" s="30" t="str">
        <x:v>BrahMos Aerospace</x:v>
      </x:c>
      <x:c r="C36" s="30" t="str">
        <x:v>B10</x:v>
      </x:c>
      <x:c r="D36" s="30" t="str">
        <x:v>BrahMos Aerospace — company details</x:v>
      </x:c>
    </x:row>
    <x:row r="37">
      <x:c r="A37" s="30" t="str">
        <x:v>https://brahmos.com/index.php/page/brahmos-ng</x:v>
      </x:c>
      <x:c r="B37" s="30" t="str">
        <x:v>BrahMos Aerospace</x:v>
      </x:c>
      <x:c r="C37" s="30" t="str">
        <x:v>B10</x:v>
      </x:c>
      <x:c r="D37" s="30" t="str">
        <x:v>BrahMos Aerospace — Missiles: BRAHMOS-NG</x:v>
      </x:c>
    </x:row>
    <x:row r="38">
      <x:c r="A38" s="30" t="str">
        <x:v>https://brahmos.com/index.php/page/ship-based-weapon-complex</x:v>
      </x:c>
      <x:c r="B38" s="30" t="str">
        <x:v>BrahMos Aerospace</x:v>
      </x:c>
      <x:c r="C38" s="30" t="str">
        <x:v>B10</x:v>
      </x:c>
      <x:c r="D38" s="30" t="str">
        <x:v>BrahMos Aerospace — Missiles: BRAHMOS Ship-Based Weapon System</x:v>
      </x:c>
    </x:row>
    <x:row r="39">
      <x:c r="A39" s="30" t="str">
        <x:v>https://bsmedia.business-standard.com/_media/bs/data/market-reports/equity-brokertips/2026-03/17744259920.61697600.pdf</x:v>
      </x:c>
      <x:c r="B39" s="30" t="str">
        <x:v>Solar Industries</x:v>
      </x:c>
      <x:c r="C39" s="30" t="str">
        <x:v>B10</x:v>
      </x:c>
      <x:c r="D39" s="30" t="str">
        <x:v>Solar Industries — Ammunition: 23 mm Ammunition
Solar Industries — Ammunition: 40 mm Ammunition
Solar Industries — Ammunition: 81 mm AT-AL Smoke Grenade
Solar Industries — Ammunition: Air Bomb Family — 125/250/500/1000 kg
Solar Industries — Ammunition: Multi-Mode Hand Grenade</x:v>
      </x:c>
    </x:row>
    <x:row r="40">
      <x:c r="A40" s="30" t="str">
        <x:v>https://cdn.northropgrumman.com/-/media/Project/Northrop-Grumman/ngc/what-we-do/advanced-weapons/AARGM-Datasheet.pdf?rev=45a450048b984b988abed9ac2036a6df</x:v>
      </x:c>
      <x:c r="B40" s="30" t="str">
        <x:v>Northrop Grumman</x:v>
      </x:c>
      <x:c r="C40" s="30" t="str">
        <x:v>B7</x:v>
      </x:c>
      <x:c r="D40" s="30" t="str">
        <x:v>Northrop Grumman — Missiles: AARGM AGM-88E</x:v>
      </x:c>
    </x:row>
    <x:row r="41">
      <x:c r="A41" s="30" t="str">
        <x:v>https://cdn.northropgrumman.com/-/media/Project/Northrop-Grumman/ngc/what-we-do/advanced-weapons/LW30x113-Ammo-Suite-Product-Brochure.pdf?rev=719281ef7e7c4bb58685cd9e4e2c4fc5</x:v>
      </x:c>
      <x:c r="B41" s="30" t="str">
        <x:v>Northrop Grumman</x:v>
      </x:c>
      <x:c r="C41" s="30" t="str">
        <x:v>B7</x:v>
      </x:c>
      <x:c r="D41" s="30" t="str">
        <x:v>Northrop Grumman — Ammunition: 30×113 mm LW30 Ammunition Suite</x:v>
      </x:c>
    </x:row>
    <x:row r="42">
      <x:c r="A42" s="30" t="str">
        <x:v>https://cdn.northropgrumman.com/-/media/Project/Northrop-Grumman/ngc/who-we-are/corporate-responsibility/2025-Annual-Report-Northrop-Grumman.pdf?rev=6725192060ff4fd79c041d38cc4b842b</x:v>
      </x:c>
      <x:c r="B42" s="30" t="str">
        <x:v>Northrop Grumman</x:v>
      </x:c>
      <x:c r="C42" s="30" t="str">
        <x:v>B7</x:v>
      </x:c>
      <x:c r="D42" s="30" t="str">
        <x:v>Northrop Grumman — company details</x:v>
      </x:c>
    </x:row>
    <x:row r="43">
      <x:c r="A43" s="30" t="str">
        <x:v>https://cdn.northropgrumman.com/-/media/wp-content/uploads/XM913-50mm-Bushmaster-Chain-Gun.pdf</x:v>
      </x:c>
      <x:c r="B43" s="30" t="str">
        <x:v>Northrop Grumman</x:v>
      </x:c>
      <x:c r="C43" s="30" t="str">
        <x:v>B7</x:v>
      </x:c>
      <x:c r="D43" s="30" t="str">
        <x:v>Northrop Grumman — appendix: XM913 50 mm Bushmaster Chain Gun</x:v>
      </x:c>
    </x:row>
    <x:row r="44">
      <x:c r="A44" s="30" t="str">
        <x:v>https://connect.adani.com/2025/dec2025/rewind/</x:v>
      </x:c>
      <x:c r="B44" s="30" t="str">
        <x:v>Adani Defence, Solar Industries</x:v>
      </x:c>
      <x:c r="C44" s="30" t="str">
        <x:v>B10</x:v>
      </x:c>
      <x:c r="D44" s="30" t="str">
        <x:v>Adani Defence — UAVs/Drones: Agnikaa
Adani Defence — Missiles: ARKA MANPADS
Solar Industries — UAVs/Drones: Rudrastra</x:v>
      </x:c>
    </x:row>
    <x:row r="45">
      <x:c r="A45" s="30" t="str">
        <x:v>https://connect.adani.com/2026/apr2026/defence/</x:v>
      </x:c>
      <x:c r="B45" s="30" t="str">
        <x:v>PLR Systems (IWI+Adani)</x:v>
      </x:c>
      <x:c r="C45" s="30" t="str">
        <x:v>B4</x:v>
      </x:c>
      <x:c r="D45" s="30" t="str">
        <x:v>PLR Systems (IWI+Adani) — Small Arms: NEGEV NG-7 / Prahar LMG
PLR Systems (IWI+Adani) — company details</x:v>
      </x:c>
    </x:row>
    <x:row r="46">
      <x:c r="A46" s="30" t="str">
        <x:v>https://connect.adani.com/2026/mar2026/show/</x:v>
      </x:c>
      <x:c r="B46" s="30" t="str">
        <x:v>Adani Defence</x:v>
      </x:c>
      <x:c r="C46" s="30" t="str">
        <x:v>B10</x:v>
      </x:c>
      <x:c r="D46" s="30" t="str">
        <x:v>Adani Defence — UAVs/Drones: ALFA-S
Adani Defence — UAVs/Drones: SkyStriker Loitering Munition
Adani Defence — appendix: ARAD Assault Rifle</x:v>
      </x:c>
    </x:row>
    <x:row r="47">
      <x:c r="A47" s="30" t="str">
        <x:v>https://connect.adani.com/media/2024/jan24/defence/</x:v>
      </x:c>
      <x:c r="B47" s="30" t="str">
        <x:v>Adani Defence</x:v>
      </x:c>
      <x:c r="C47" s="30" t="str">
        <x:v>B10</x:v>
      </x:c>
      <x:c r="D47" s="30" t="str">
        <x:v>Adani Defence — UAVs/Drones: DRISHTI 10 Starliner</x:v>
      </x:c>
    </x:row>
    <x:row r="48">
      <x:c r="A48" s="30" t="str">
        <x:v>https://cpeground.army.mil/Equipment/Equipment-Portfolio/PM-SL-Portfolio/M250-Automatic-Rifle/</x:v>
      </x:c>
      <x:c r="B48" s="30" t="str">
        <x:v>SIG Sauer</x:v>
      </x:c>
      <x:c r="C48" s="30" t="str">
        <x:v>B6</x:v>
      </x:c>
      <x:c r="D48" s="30" t="str">
        <x:v>SIG Sauer — Small Arms: M250 / SIG LMG (6.8 mm)</x:v>
      </x:c>
    </x:row>
    <x:row r="49">
      <x:c r="A49" s="30" t="str">
        <x:v>https://date.army.gov.au/equipment/type-90b</x:v>
      </x:c>
      <x:c r="B49" s="30" t="str">
        <x:v>NORINCO</x:v>
      </x:c>
      <x:c r="C49" s="30" t="str">
        <x:v>B2</x:v>
      </x:c>
      <x:c r="D49" s="30" t="str">
        <x:v>NORINCO — Artillery: Type 90B 122 mm MLRS</x:v>
      </x:c>
    </x:row>
    <x:row r="50">
      <x:c r="A50" s="30" t="str">
        <x:v>https://deblin.hsw.pl/oferta/sily-zbrojne/pojazd-minowania-narzutowego-pmn-baobab-k/</x:v>
      </x:c>
      <x:c r="B50" s="30" t="str">
        <x:v>Huta Stalowa Wola (HSW)</x:v>
      </x:c>
      <x:c r="C50" s="30" t="str">
        <x:v>B5</x:v>
      </x:c>
      <x:c r="D50" s="30" t="str">
        <x:v>Huta Stalowa Wola (HSW) — Protected Vehicles: BAOBAB-K Mine-Laying Vehicle</x:v>
      </x:c>
    </x:row>
    <x:row r="51">
      <x:c r="A51" s="30" t="str">
        <x:v>https://deepmentor.co/revision/prelims-2026/govt-compilation-2026/04-science-tech-defence-polity</x:v>
      </x:c>
      <x:c r="B51" s="30" t="str">
        <x:v>Larsen &amp; Toubro (L&amp;T)</x:v>
      </x:c>
      <x:c r="C51" s="30" t="str">
        <x:v>B3</x:v>
      </x:c>
      <x:c r="D51" s="30" t="str">
        <x:v>Larsen &amp; Toubro (L&amp;T) — Protected Vehicles: Zorawar Light Tank</x:v>
      </x:c>
    </x:row>
    <x:row r="52">
      <x:c r="A52" s="30" t="str">
        <x:v>https://defence.nridigital.com/global_defence_technology_nov19/patria</x:v>
      </x:c>
      <x:c r="B52" s="30" t="str">
        <x:v>Patria</x:v>
      </x:c>
      <x:c r="C52" s="30" t="str">
        <x:v>B3</x:v>
      </x:c>
      <x:c r="D52" s="30" t="str">
        <x:v>Patria — Protected Vehicles: Patria 6×6
Patria — Protected Vehicles: Patria AMV XP 8×8</x:v>
      </x:c>
    </x:row>
    <x:row r="53">
      <x:c r="A53" s="30" t="str">
        <x:v>https://defense.otokar.com.tr/OtokarSavunma/media/Otokar-Savunma/arac-brosur/ARMA-8X8-TR-BR-%2804-2019%29.pdf</x:v>
      </x:c>
      <x:c r="B53" s="30" t="str">
        <x:v>Otokar</x:v>
      </x:c>
      <x:c r="C53" s="30" t="str">
        <x:v>B4</x:v>
      </x:c>
      <x:c r="D53" s="30" t="str">
        <x:v>Otokar — Protected Vehicles: ARMA 8×8</x:v>
      </x:c>
    </x:row>
    <x:row r="54">
      <x:c r="A54" s="30" t="str">
        <x:v>https://defense.otokar.com.tr/OtokarSavunma/media/Otokar-Savunma/arac-brosur/KAYA-II-BR-EN-2019-%28AZ71EG-19%29.pdf</x:v>
      </x:c>
      <x:c r="B54" s="30" t="str">
        <x:v>Otokar</x:v>
      </x:c>
      <x:c r="C54" s="30" t="str">
        <x:v>B4</x:v>
      </x:c>
      <x:c r="D54" s="30" t="str">
        <x:v>Otokar — Protected Vehicles: KAYA II MRAP</x:v>
      </x:c>
    </x:row>
    <x:row r="55">
      <x:c r="A55" s="30" t="str">
        <x:v>https://defense.otokar.com.tr/OtokarSavunma/media/Otokar-Savunma/arac-brosur/akrepII-en.pdf</x:v>
      </x:c>
      <x:c r="B55" s="30" t="str">
        <x:v>Otokar</x:v>
      </x:c>
      <x:c r="C55" s="30" t="str">
        <x:v>B4</x:v>
      </x:c>
      <x:c r="D55" s="30" t="str">
        <x:v>Otokar — Protected Vehicles: AKREP II 4×4</x:v>
      </x:c>
    </x:row>
    <x:row r="56">
      <x:c r="A56" s="30" t="str">
        <x:v>https://defense.otokar.com.tr/OtokarSavunma/media/Otokar-Savunma/brochure/arma-6x6-az65ej-23-en.pdf</x:v>
      </x:c>
      <x:c r="B56" s="30" t="str">
        <x:v>Otokar</x:v>
      </x:c>
      <x:c r="C56" s="30" t="str">
        <x:v>B4</x:v>
      </x:c>
      <x:c r="D56" s="30" t="str">
        <x:v>Otokar — Protected Vehicles: ARMA 6×6</x:v>
      </x:c>
    </x:row>
    <x:row r="57">
      <x:c r="A57" s="30" t="str">
        <x:v>https://defense.otokar.com.tr/OtokarSavunma/media/Otokar-Savunma/brochure/arma8x8-az66ek-23-en.pdf</x:v>
      </x:c>
      <x:c r="B57" s="30" t="str">
        <x:v>Otokar</x:v>
      </x:c>
      <x:c r="C57" s="30" t="str">
        <x:v>B4</x:v>
      </x:c>
      <x:c r="D57" s="30" t="str">
        <x:v>Otokar — Protected Vehicles: ARMA 8×8</x:v>
      </x:c>
    </x:row>
    <x:row r="58">
      <x:c r="A58" s="30" t="str">
        <x:v>https://defense.otokar.com.tr/OtokarSavunma/media/Otokar-Savunma/brochure/cobra-ii-az77ef-23-en.pdf</x:v>
      </x:c>
      <x:c r="B58" s="30" t="str">
        <x:v>Otokar</x:v>
      </x:c>
      <x:c r="C58" s="30" t="str">
        <x:v>B4</x:v>
      </x:c>
      <x:c r="D58" s="30" t="str">
        <x:v>Otokar — Protected Vehicles: COBRA II 4×4</x:v>
      </x:c>
    </x:row>
    <x:row r="59">
      <x:c r="A59" s="30" t="str">
        <x:v>https://defense.otokar.com.tr/OtokarSavunma/media/Otokar-Savunma/brochure/cobra-ii-en-az77eg-25.pdf</x:v>
      </x:c>
      <x:c r="B59" s="30" t="str">
        <x:v>Otokar</x:v>
      </x:c>
      <x:c r="C59" s="30" t="str">
        <x:v>B4</x:v>
      </x:c>
      <x:c r="D59" s="30" t="str">
        <x:v>Otokar — Protected Vehicles: COBRA II 4×4</x:v>
      </x:c>
    </x:row>
    <x:row r="60">
      <x:c r="A60" s="30" t="str">
        <x:v>https://defense.otokar.com.tr/OtokarSavunma/media/Otokar-Savunma/brochure/cobra-ii-mrap-az82ec-23-en.pdf</x:v>
      </x:c>
      <x:c r="B60" s="30" t="str">
        <x:v>Otokar</x:v>
      </x:c>
      <x:c r="C60" s="30" t="str">
        <x:v>B4</x:v>
      </x:c>
      <x:c r="D60" s="30" t="str">
        <x:v>Otokar — Protected Vehicles: COBRA II MRAP</x:v>
      </x:c>
    </x:row>
    <x:row r="61">
      <x:c r="A61" s="30" t="str">
        <x:v>https://defense.otokar.com.tr/OtokarSavunma/media/Otokar-Savunma/brochure/tulpar-en-ap02ei-25.pdf</x:v>
      </x:c>
      <x:c r="B61" s="30" t="str">
        <x:v>Otokar</x:v>
      </x:c>
      <x:c r="C61" s="30" t="str">
        <x:v>B4</x:v>
      </x:c>
      <x:c r="D61" s="30" t="str">
        <x:v>Otokar — Protected Vehicles: TULPAR</x:v>
      </x:c>
    </x:row>
    <x:row r="62">
      <x:c r="A62" s="30" t="str">
        <x:v>https://defense.otokar.com.tr/OtokarSavunma/media/Otokar-Savunma/brochure/tulpar-s-en-ap04ef-25.pdf</x:v>
      </x:c>
      <x:c r="B62" s="30" t="str">
        <x:v>Otokar</x:v>
      </x:c>
      <x:c r="C62" s="30" t="str">
        <x:v>B4</x:v>
      </x:c>
      <x:c r="D62" s="30" t="str">
        <x:v>Otokar — Protected Vehicles: TULPAR S</x:v>
      </x:c>
    </x:row>
    <x:row r="63">
      <x:c r="A63" s="30" t="str">
        <x:v>https://defense.otokar.com.tr/OtokarSavunma/media/Otokar-Savunma/brochure/ural-en-az74ej-25.pdf</x:v>
      </x:c>
      <x:c r="B63" s="30" t="str">
        <x:v>Otokar</x:v>
      </x:c>
      <x:c r="C63" s="30" t="str">
        <x:v>B4</x:v>
      </x:c>
      <x:c r="D63" s="30" t="str">
        <x:v>Otokar — Protected Vehicles: URAL / URAL II 4×4</x:v>
      </x:c>
    </x:row>
    <x:row r="64">
      <x:c r="A64" s="30" t="str">
        <x:v>https://defense.otokar.com.tr/news/otokar-demonstrates-its-global-strength-in-land-systems-at-saha-2026</x:v>
      </x:c>
      <x:c r="B64" s="30" t="str">
        <x:v>Otokar</x:v>
      </x:c>
      <x:c r="C64" s="30" t="str">
        <x:v>B4</x:v>
      </x:c>
      <x:c r="D64" s="30" t="str">
        <x:v>Otokar — Protected Vehicles: TULPAR</x:v>
      </x:c>
    </x:row>
    <x:row r="65">
      <x:c r="A65" s="30" t="str">
        <x:v>https://defense.otokar.com.tr/news/otokar-participates-in-idef-2025-with-10-armored-vehicles</x:v>
      </x:c>
      <x:c r="B65" s="30" t="str">
        <x:v>Otokar</x:v>
      </x:c>
      <x:c r="C65" s="30" t="str">
        <x:v>B4</x:v>
      </x:c>
      <x:c r="D65" s="30" t="str">
        <x:v>Otokar — Protected Vehicles: AKREP II 4×4
Otokar — Protected Vehicles: ARMA 6×6
Otokar — Protected Vehicles: ARMA II 8×8
Otokar — Protected Vehicles: COBRA II MRAP
Otokar — Protected Vehicles: URAL / URAL II 4×4</x:v>
      </x:c>
    </x:row>
    <x:row r="66">
      <x:c r="A66" s="30" t="str">
        <x:v>https://defense.otokar.com.tr/news/otokar-showcases-cobra-ii-and-akrep-ii-at-dsa-in-malaysia</x:v>
      </x:c>
      <x:c r="B66" s="30" t="str">
        <x:v>Otokar</x:v>
      </x:c>
      <x:c r="C66" s="30" t="str">
        <x:v>B4</x:v>
      </x:c>
      <x:c r="D66" s="30" t="str">
        <x:v>Otokar — Protected Vehicles: AKREP II 4×4</x:v>
      </x:c>
    </x:row>
    <x:row r="67">
      <x:c r="A67" s="30" t="str">
        <x:v>https://defense.otokar.com.tr/news/otokar-showcases-its-supreme-land-system-solutions-at-the-world-defense-show</x:v>
      </x:c>
      <x:c r="B67" s="30" t="str">
        <x:v>Otokar</x:v>
      </x:c>
      <x:c r="C67" s="30" t="str">
        <x:v>B4</x:v>
      </x:c>
      <x:c r="D67" s="30" t="str">
        <x:v>Otokar — Protected Vehicles: AKREP II 4×4</x:v>
      </x:c>
    </x:row>
    <x:row r="68">
      <x:c r="A68" s="30" t="str">
        <x:v>https://defense.otokar.com.tr/news/otokar-to-participate-in-world-defense-show-2026-in-saudi-arabia</x:v>
      </x:c>
      <x:c r="B68" s="30" t="str">
        <x:v>Otokar</x:v>
      </x:c>
      <x:c r="C68" s="30" t="str">
        <x:v>B4</x:v>
      </x:c>
      <x:c r="D68" s="30" t="str">
        <x:v>Otokar — Protected Vehicles: URAL / URAL II 4×4</x:v>
      </x:c>
    </x:row>
    <x:row r="69">
      <x:c r="A69" s="30" t="str">
        <x:v>https://defense.otokar.com.tr/news/otokar-unveils-first-romanian-built-cobra-ii-in-bsda-2026</x:v>
      </x:c>
      <x:c r="B69" s="30" t="str">
        <x:v>Otokar</x:v>
      </x:c>
      <x:c r="C69" s="30" t="str">
        <x:v>B4</x:v>
      </x:c>
      <x:c r="D69" s="30" t="str">
        <x:v>Otokar — company details</x:v>
      </x:c>
    </x:row>
    <x:row r="70">
      <x:c r="A70" s="30" t="str">
        <x:v>https://defense.otokar.com.tr/news/otokars-armored-unmanned-vehicle-alpar-and-arma-ii-on-international-stage</x:v>
      </x:c>
      <x:c r="B70" s="30" t="str">
        <x:v>Otokar</x:v>
      </x:c>
      <x:c r="C70" s="30" t="str">
        <x:v>B4</x:v>
      </x:c>
      <x:c r="D70" s="30" t="str">
        <x:v>Otokar — Protected Vehicles: ARMA 6×6</x:v>
      </x:c>
    </x:row>
    <x:row r="71">
      <x:c r="A71" s="30" t="str">
        <x:v>https://defense.otokar.com.tr/tracked-armored/tulpar-armored</x:v>
      </x:c>
      <x:c r="B71" s="30" t="str">
        <x:v>Otokar</x:v>
      </x:c>
      <x:c r="C71" s="30" t="str">
        <x:v>B4</x:v>
      </x:c>
      <x:c r="D71" s="30" t="str">
        <x:v>Otokar — Protected Vehicles: TULPAR</x:v>
      </x:c>
    </x:row>
    <x:row r="72">
      <x:c r="A72" s="30" t="str">
        <x:v>https://defense.otokar.com.tr/tracked-armored/tulpar-s-armored</x:v>
      </x:c>
      <x:c r="B72" s="30" t="str">
        <x:v>Otokar</x:v>
      </x:c>
      <x:c r="C72" s="30" t="str">
        <x:v>B4</x:v>
      </x:c>
      <x:c r="D72" s="30" t="str">
        <x:v>Otokar — Protected Vehicles: TULPAR S</x:v>
      </x:c>
    </x:row>
    <x:row r="73">
      <x:c r="A73" s="30" t="str">
        <x:v>https://defense.otokar.com.tr/wheeled-armored/4x4-armored/cobra-ii-4x4-armored</x:v>
      </x:c>
      <x:c r="B73" s="30" t="str">
        <x:v>Otokar</x:v>
      </x:c>
      <x:c r="C73" s="30" t="str">
        <x:v>B4</x:v>
      </x:c>
      <x:c r="D73" s="30" t="str">
        <x:v>Otokar — Protected Vehicles: COBRA II 4×4</x:v>
      </x:c>
    </x:row>
    <x:row r="74">
      <x:c r="A74" s="30" t="str">
        <x:v>https://defense.otokar.com.tr/wheeled-armored/4x4-armored/cobra-ii-mrap</x:v>
      </x:c>
      <x:c r="B74" s="30" t="str">
        <x:v>Otokar</x:v>
      </x:c>
      <x:c r="C74" s="30" t="str">
        <x:v>B4</x:v>
      </x:c>
      <x:c r="D74" s="30" t="str">
        <x:v>Otokar — Protected Vehicles: COBRA II MRAP</x:v>
      </x:c>
    </x:row>
    <x:row r="75">
      <x:c r="A75" s="30" t="str">
        <x:v>https://defense.otokar.com.tr/wheeled-armored/4x4-armored/ural-4x4-armored</x:v>
      </x:c>
      <x:c r="B75" s="30" t="str">
        <x:v>Otokar</x:v>
      </x:c>
      <x:c r="C75" s="30" t="str">
        <x:v>B4</x:v>
      </x:c>
      <x:c r="D75" s="30" t="str">
        <x:v>Otokar — Protected Vehicles: URAL / URAL II 4×4</x:v>
      </x:c>
    </x:row>
    <x:row r="76">
      <x:c r="A76" s="30" t="str">
        <x:v>https://defense.otokar.com.tr/wheeled-armored/8x8-armored/arma-8x8-armored</x:v>
      </x:c>
      <x:c r="B76" s="30" t="str">
        <x:v>Otokar</x:v>
      </x:c>
      <x:c r="C76" s="30" t="str">
        <x:v>B4</x:v>
      </x:c>
      <x:c r="D76" s="30" t="str">
        <x:v>Otokar — Protected Vehicles: ARMA 8×8</x:v>
      </x:c>
    </x:row>
    <x:row r="77">
      <x:c r="A77" s="30" t="str">
        <x:v>https://development.weaponsystems.net/system/1059-QJY88</x:v>
      </x:c>
      <x:c r="B77" s="30" t="str">
        <x:v>NORINCO</x:v>
      </x:c>
      <x:c r="C77" s="30" t="str">
        <x:v>B2</x:v>
      </x:c>
      <x:c r="D77" s="30" t="str">
        <x:v>NORINCO — Small Arms: QJY-88 5.8 mm Machine Gun</x:v>
      </x:c>
    </x:row>
    <x:row r="78">
      <x:c r="A78" s="30" t="str">
        <x:v>https://docs.publicnow.com/viewDoc?filename=50598%2FEXT%2FF575E2E26D89334864C553A12CF53991D882B6E7_F1B2E9CF672FE7EBB66644805C8089C6B57BC625.PDF</x:v>
      </x:c>
      <x:c r="B78" s="30" t="str">
        <x:v>Naval Group</x:v>
      </x:c>
      <x:c r="C78" s="30" t="str">
        <x:v>B8</x:v>
      </x:c>
      <x:c r="D78" s="30" t="str">
        <x:v>Naval Group — company details</x:v>
      </x:c>
    </x:row>
    <x:row r="79">
      <x:c r="A79" s="30" t="str">
        <x:v>https://drdo.gov.in/drdo/en/offerings/products/advanced-towed-artillery-gun-system-atags</x:v>
      </x:c>
      <x:c r="B79" s="30" t="str">
        <x:v>Tata Advanced Systems</x:v>
      </x:c>
      <x:c r="C79" s="30" t="str">
        <x:v>B3</x:v>
      </x:c>
      <x:c r="D79" s="30" t="str">
        <x:v>Tata Advanced Systems — Artillery: ATAGS — Advanced Towed Artillery Gun System</x:v>
      </x:c>
    </x:row>
    <x:row r="80">
      <x:c r="A80" s="30" t="str">
        <x:v>https://drdo.gov.in/drdo/en/offerings/products/helina</x:v>
      </x:c>
      <x:c r="B80" s="30" t="str">
        <x:v>Bharat Dynamics Ltd (BDL)</x:v>
      </x:c>
      <x:c r="C80" s="30" t="str">
        <x:v>B5</x:v>
      </x:c>
      <x:c r="D80" s="30" t="str">
        <x:v>Bharat Dynamics Ltd (BDL) — Missiles: Helina / Dhruvastra</x:v>
      </x:c>
    </x:row>
    <x:row r="81">
      <x:c r="A81" s="30" t="str">
        <x:v>https://drdo.gov.in/drdo/en/offerings/products/man-portable-antitank-guided-missile-mpatgm</x:v>
      </x:c>
      <x:c r="B81" s="30" t="str">
        <x:v>Bharat Dynamics Ltd (BDL)</x:v>
      </x:c>
      <x:c r="C81" s="30" t="str">
        <x:v>B5</x:v>
      </x:c>
      <x:c r="D81" s="30" t="str">
        <x:v>Bharat Dynamics Ltd (BDL) — Missiles: Man Portable ATGM (MPATGM)</x:v>
      </x:c>
    </x:row>
    <x:row r="82">
      <x:c r="A82" s="30" t="str">
        <x:v>https://drdo.gov.in/drdo/en/offerings/products/pinaka-multi-barrel-rocket-launcher-system</x:v>
      </x:c>
      <x:c r="B82" s="30" t="str">
        <x:v>Tata Advanced Systems, Larsen &amp; Toubro (L&amp;T)</x:v>
      </x:c>
      <x:c r="C82" s="30" t="str">
        <x:v>B3</x:v>
      </x:c>
      <x:c r="D82" s="30" t="str">
        <x:v>Tata Advanced Systems — Artillery: Pinaka Multi Barrel Rocket Launcher
Larsen &amp; Toubro (L&amp;T) — Artillery: Pinaka Launcher / Launcher System</x:v>
      </x:c>
    </x:row>
    <x:row r="83">
      <x:c r="A83" s="30" t="str">
        <x:v>https://drdo.gov.in/drdo/en/offerings/products/smart-anti-airfield-weapon-saaw</x:v>
      </x:c>
      <x:c r="B83" s="30" t="str">
        <x:v>Bharat Dynamics Ltd (BDL)</x:v>
      </x:c>
      <x:c r="C83" s="30" t="str">
        <x:v>B5</x:v>
      </x:c>
      <x:c r="D83" s="30" t="str">
        <x:v>Bharat Dynamics Ltd (BDL) — Missiles: Smart Anti-Airfield Weapon (SAAW)</x:v>
      </x:c>
    </x:row>
    <x:row r="84">
      <x:c r="A84" s="30" t="str">
        <x:v>https://drdo.gov.in/drdo/sites/default/files/newsletter-document/april_17.pdf</x:v>
      </x:c>
      <x:c r="B84" s="30" t="str">
        <x:v>BrahMos Aerospace</x:v>
      </x:c>
      <x:c r="C84" s="30" t="str">
        <x:v>B10</x:v>
      </x:c>
      <x:c r="D84" s="30" t="str">
        <x:v>BrahMos Aerospace — Missiles: BRAHMOS Air-Launched Cruise Missile (ALCM)
BrahMos Aerospace — Missiles: BRAHMOS Land Attack Block-I
BrahMos Aerospace — Missiles: BRAHMOS Land Attack Block-II
BrahMos Aerospace — Missiles: BRAHMOS Land Attack Block-III
BrahMos Aerospace — Missiles: BRAHMOS Land-Based Weapon System
BrahMos Aerospace — Missiles: BRAHMOS Ship-Based Weapon System
BrahMos Aerospace — Missiles: BRAHMOS Submarine-Launched Cruise Missile (SLCM)
BrahMos Aerospace — Missiles: BRAHMOS-II Hypersonic Cruise Missile
BrahMos Aerospace — Missiles: BRAHMOS-NG</x:v>
      </x:c>
    </x:row>
    <x:row r="85">
      <x:c r="A85" s="30" t="str">
        <x:v>https://duorope.github.io/Drones-of-India/</x:v>
      </x:c>
      <x:c r="B85" s="30" t="str">
        <x:v>Solar Industries</x:v>
      </x:c>
      <x:c r="C85" s="30" t="str">
        <x:v>B10</x:v>
      </x:c>
      <x:c r="D85" s="30" t="str">
        <x:v>Solar Industries — UAVs/Drones: NAGASTRA-2
Solar Industries — UAVs/Drones: NAGASTRA-3</x:v>
      </x:c>
    </x:row>
    <x:row r="86">
      <x:c r="A86" s="30" t="str">
        <x:v>https://economictimes.indiatimes.com/solar-industries-india-ltd/directorsreport/companyid-15283.cms</x:v>
      </x:c>
      <x:c r="B86" s="30" t="str">
        <x:v>Solar Industries</x:v>
      </x:c>
      <x:c r="C86" s="30" t="str">
        <x:v>B10</x:v>
      </x:c>
      <x:c r="D86" s="30" t="str">
        <x:v>Solar Industries — company details</x:v>
      </x:c>
    </x:row>
    <x:row r="87">
      <x:c r="A87" s="30" t="str">
        <x:v>https://elbitsystems-de.com/en/products-and-solutions/unmanned-systems/unmanned-vessel/</x:v>
      </x:c>
      <x:c r="B87" s="30" t="str">
        <x:v>Elbit Systems</x:v>
      </x:c>
      <x:c r="C87" s="30" t="str">
        <x:v>B2</x:v>
      </x:c>
      <x:c r="D87" s="30" t="str">
        <x:v>Elbit Systems — Marine/Naval: Seagull USV</x:v>
      </x:c>
    </x:row>
    <x:row r="88">
      <x:c r="A88" s="30" t="str">
        <x:v>https://elbitsystems.com/media/Atmos.pdf</x:v>
      </x:c>
      <x:c r="B88" s="30" t="str">
        <x:v>Elbit Systems</x:v>
      </x:c>
      <x:c r="C88" s="30" t="str">
        <x:v>B2</x:v>
      </x:c>
      <x:c r="D88" s="30" t="str">
        <x:v>Elbit Systems — Artillery: ATMOS 155 mm Self-Propelled Howitzer</x:v>
      </x:c>
    </x:row>
    <x:row r="89">
      <x:c r="A89" s="30" t="str">
        <x:v>https://elbitsystems.com/media/CARDOM_ENG_Web.pdf</x:v>
      </x:c>
      <x:c r="B89" s="30" t="str">
        <x:v>Elbit Systems</x:v>
      </x:c>
      <x:c r="C89" s="30" t="str">
        <x:v>B2</x:v>
      </x:c>
      <x:c r="D89" s="30" t="str">
        <x:v>Elbit Systems — Artillery: CARDOM 120/81 mm Mortar System</x:v>
      </x:c>
    </x:row>
    <x:row r="90">
      <x:c r="A90" s="30" t="str">
        <x:v>https://elbitsystems.com/media/elbit-systems-land-rocket-artillery-catalog.pdf</x:v>
      </x:c>
      <x:c r="B90" s="30" t="str">
        <x:v>Elbit Systems</x:v>
      </x:c>
      <x:c r="C90" s="30" t="str">
        <x:v>B2</x:v>
      </x:c>
      <x:c r="D90" s="30" t="str">
        <x:v>Elbit Systems — Missiles: Accular 122 Guided Rocket
Elbit Systems — Missiles: Accular 160 Guided Rocket</x:v>
      </x:c>
    </x:row>
    <x:row r="91">
      <x:c r="A91" s="30" t="str">
        <x:v>https://electronics.leonardo.com/documents/16277707/0/LIONFISH%2B30%2B%28EL00018%29_NR.pdf?t=1751527406490</x:v>
      </x:c>
      <x:c r="B91" s="30" t="str">
        <x:v>Leonardo</x:v>
      </x:c>
      <x:c r="C91" s="30" t="str">
        <x:v>B1</x:v>
      </x:c>
      <x:c r="D91" s="30" t="str">
        <x:v>Leonardo — Marine/Naval: LIONFISH 30</x:v>
      </x:c>
    </x:row>
    <x:row r="92">
      <x:c r="A92" s="30" t="str">
        <x:v>https://electronics.leonardo.com/documents/16277707/0/Vulcano%2B155%2B%2528MM08723%2529_HQ.pdf</x:v>
      </x:c>
      <x:c r="B92" s="30" t="str">
        <x:v>Leonardo</x:v>
      </x:c>
      <x:c r="C92" s="30" t="str">
        <x:v>B1</x:v>
      </x:c>
      <x:c r="D92" s="30" t="str">
        <x:v>Leonardo — Ammunition: 4AP Fuze
Leonardo — Ammunition: Conventional Naval Ammunition
Leonardo — Ammunition: DART 76
Leonardo — Ammunition: VULCANO 127
Leonardo — Ammunition: VULCANO 155
Leonardo — Ammunition: VULCANO 76</x:v>
      </x:c>
    </x:row>
    <x:row r="93">
      <x:c r="A93" s="30" t="str">
        <x:v>https://electronics.leonardo.com/documents/16277707/0/Vulcano%2B155%2B%28MM08723%29_HQ.pdf</x:v>
      </x:c>
      <x:c r="B93" s="30" t="str">
        <x:v>Leonardo</x:v>
      </x:c>
      <x:c r="C93" s="30" t="str">
        <x:v>B1</x:v>
      </x:c>
      <x:c r="D93" s="30" t="str">
        <x:v>Leonardo — Ammunition: VULCANO 155</x:v>
      </x:c>
    </x:row>
    <x:row r="94">
      <x:c r="A94" s="30" t="str">
        <x:v>https://electronics.leonardo.com/documents/16277707/0/Vulcano%2B76.pdf?t=1671440408358</x:v>
      </x:c>
      <x:c r="B94" s="30" t="str">
        <x:v>Leonardo</x:v>
      </x:c>
      <x:c r="C94" s="30" t="str">
        <x:v>B1</x:v>
      </x:c>
      <x:c r="D94" s="30" t="str">
        <x:v>Leonardo — Ammunition: VULCANO 76</x:v>
      </x:c>
    </x:row>
    <x:row r="95">
      <x:c r="A95" s="30" t="str">
        <x:v>https://electronics.leonardo.com/documents/16277707/18299996/OTO%2B127-64%2BLW%2B%28MM08728%29_LQ.pdf?t=1643204551796</x:v>
      </x:c>
      <x:c r="B95" s="30" t="str">
        <x:v>Leonardo</x:v>
      </x:c>
      <x:c r="C95" s="30" t="str">
        <x:v>B1</x:v>
      </x:c>
      <x:c r="D95" s="30" t="str">
        <x:v>Leonardo — Ammunition: 4AP Fuze
Leonardo — Ammunition: Conventional Naval Ammunition
Leonardo — Ammunition: DART 76
Leonardo — Ammunition: VULCANO 127
Leonardo — Ammunition: VULCANO 155
Leonardo — Ammunition: VULCANO 76
Leonardo — Marine/Naval: OTO 127/64 LW</x:v>
      </x:c>
    </x:row>
    <x:row r="96">
      <x:c r="A96" s="30" t="str">
        <x:v>https://electronics.leonardo.com/documents/16277707/18386329/Naval%2BSystems%2B%28mm08409%29tm.pdf?t=1632745765878</x:v>
      </x:c>
      <x:c r="B96" s="30" t="str">
        <x:v>Leonardo</x:v>
      </x:c>
      <x:c r="C96" s="30" t="str">
        <x:v>B1</x:v>
      </x:c>
      <x:c r="D96" s="30" t="str">
        <x:v>Leonardo — Ammunition: DART 76
Leonardo — Marine/Naval: OTO 127/64 LW</x:v>
      </x:c>
    </x:row>
    <x:row r="97">
      <x:c r="A97" s="30" t="str">
        <x:v>https://electronics.leonardo.com/documents/16277707/18404219/OTO%2B76_62%2BSR.pdf?t=1773997188747</x:v>
      </x:c>
      <x:c r="B97" s="30" t="str">
        <x:v>Leonardo</x:v>
      </x:c>
      <x:c r="C97" s="30" t="str">
        <x:v>B1</x:v>
      </x:c>
      <x:c r="D97" s="30" t="str">
        <x:v>Leonardo — Ammunition: DART 76
Leonardo — Marine/Naval: OTO 76/62 Super Rapid</x:v>
      </x:c>
    </x:row>
    <x:row r="98">
      <x:c r="A98" s="30" t="str">
        <x:v>https://electronics.leonardo.com/documents/16277707/18421316/MARLIN%2B30_new.pdf?t=1618842731728</x:v>
      </x:c>
      <x:c r="B98" s="30" t="str">
        <x:v>Leonardo</x:v>
      </x:c>
      <x:c r="C98" s="30" t="str">
        <x:v>B1</x:v>
      </x:c>
      <x:c r="D98" s="30" t="str">
        <x:v>Leonardo — Marine/Naval: MARLIN 30</x:v>
      </x:c>
    </x:row>
    <x:row r="99">
      <x:c r="A99" s="30" t="str">
        <x:v>https://electronics.leonardo.com/en/products/127-64-lw</x:v>
      </x:c>
      <x:c r="B99" s="30" t="str">
        <x:v>Leonardo</x:v>
      </x:c>
      <x:c r="C99" s="30" t="str">
        <x:v>B1</x:v>
      </x:c>
      <x:c r="D99" s="30" t="str">
        <x:v>Leonardo — Marine/Naval: OTO 127/64 LW</x:v>
      </x:c>
    </x:row>
    <x:row r="100">
      <x:c r="A100" s="30" t="str">
        <x:v>https://electronics.leonardo.com/en/products/strategic-c4i</x:v>
      </x:c>
      <x:c r="B100" s="30" t="str">
        <x:v>Leonardo</x:v>
      </x:c>
      <x:c r="C100" s="30" t="str">
        <x:v>B1</x:v>
      </x:c>
      <x:c r="D100" s="30" t="str">
        <x:v>Leonardo — company details</x:v>
      </x:c>
    </x:row>
    <x:row r="101">
      <x:c r="A101" s="30" t="str">
        <x:v>https://engage.l3harris.com/full-spectrum-maritime</x:v>
      </x:c>
      <x:c r="B101" s="30" t="str">
        <x:v>L3Harris</x:v>
      </x:c>
      <x:c r="C101" s="30" t="str">
        <x:v>B7</x:v>
      </x:c>
      <x:c r="D101" s="30" t="str">
        <x:v>L3Harris — UAVs/Drones: FVR-90 Hybrid Quadrotor UAS</x:v>
      </x:c>
    </x:row>
    <x:row r="102">
      <x:c r="A102" s="30" t="str">
        <x:v>https://engage.l3harris.com/wescam-mx-series-systems</x:v>
      </x:c>
      <x:c r="B102" s="30" t="str">
        <x:v>L3Harris</x:v>
      </x:c>
      <x:c r="C102" s="30" t="str">
        <x:v>B7</x:v>
      </x:c>
      <x:c r="D102" s="30" t="str">
        <x:v>L3Harris — Marine/Naval: Maritime Mobile Surveillance Towed Arrays
L3Harris — Marine/Naval: Submarine Towed Arrays
L3Harris — Marine/Naval: TB-37 Multi-Function Towed Array
L3Harris — Missiles: VAMPIRE Counter-UAS / Precision Rocket System</x:v>
      </x:c>
    </x:row>
    <x:row r="103">
      <x:c r="A103" s="30" t="str">
        <x:v>https://epflicht.ulb.uni-bonn.de/download/pdf/811559</x:v>
      </x:c>
      <x:c r="B103" s="30" t="str">
        <x:v>Huta Stalowa Wola (HSW)</x:v>
      </x:c>
      <x:c r="C103" s="30" t="str">
        <x:v>B5</x:v>
      </x:c>
      <x:c r="D103" s="30" t="str">
        <x:v>Huta Stalowa Wola (HSW) — company details</x:v>
      </x:c>
    </x:row>
    <x:row r="104">
      <x:c r="A104" s="30" t="str">
        <x:v>https://es.iwi.net/ace/ace-31/</x:v>
      </x:c>
      <x:c r="B104" s="30" t="str">
        <x:v>PLR Systems (IWI+Adani)</x:v>
      </x:c>
      <x:c r="C104" s="30" t="str">
        <x:v>B4</x:v>
      </x:c>
      <x:c r="D104" s="30" t="str">
        <x:v>PLR Systems (IWI+Adani) — Small Arms: GALIL ACE 31</x:v>
      </x:c>
    </x:row>
    <x:row r="105">
      <x:c r="A105" s="30" t="str">
        <x:v>https://es.iwi.net/iwi-tavor-rifle/tavor-tar-flattop/</x:v>
      </x:c>
      <x:c r="B105" s="30" t="str">
        <x:v>PLR Systems (IWI+Adani)</x:v>
      </x:c>
      <x:c r="C105" s="30" t="str">
        <x:v>B4</x:v>
      </x:c>
      <x:c r="D105" s="30" t="str">
        <x:v>PLR Systems (IWI+Adani) — Small Arms: TAVOR TAR-21 / TAVOR TAR Flattop</x:v>
      </x:c>
    </x:row>
    <x:row r="106">
      <x:c r="A106" s="30" t="str">
        <x:v>https://eur-lex.europa.eu/legal-content/EN/TXT/?uri=CELEX%3A32023R0571</x:v>
      </x:c>
      <x:c r="B106" s="30" t="str">
        <x:v>Kalashnikov Concern</x:v>
      </x:c>
      <x:c r="C106" s="30" t="str">
        <x:v>B5</x:v>
      </x:c>
      <x:c r="D106" s="30" t="str">
        <x:v>Kalashnikov Concern — company details</x:v>
      </x:c>
    </x:row>
    <x:row r="107">
      <x:c r="A107" s="30" t="str">
        <x:v>https://financialfilings.com/filings/bharat-dynamics-limited/annual-report/2026/59455066/</x:v>
      </x:c>
      <x:c r="B107" s="30" t="str">
        <x:v>Bharat Dynamics Ltd (BDL)</x:v>
      </x:c>
      <x:c r="C107" s="30" t="str">
        <x:v>B5</x:v>
      </x:c>
      <x:c r="D107" s="30" t="str">
        <x:v>Bharat Dynamics Ltd (BDL) — company details</x:v>
      </x:c>
    </x:row>
    <x:row r="108">
      <x:c r="A108" s="30" t="str">
        <x:v>https://find-and-update.company-information.service.gov.uk/company/01514084</x:v>
      </x:c>
      <x:c r="B108" s="30" t="str">
        <x:v>Supacat</x:v>
      </x:c>
      <x:c r="C108" s="30" t="str">
        <x:v>B3</x:v>
      </x:c>
      <x:c r="D108" s="30" t="str">
        <x:v>Supacat — company details</x:v>
      </x:c>
    </x:row>
    <x:row r="109">
      <x:c r="A109" s="30" t="str">
        <x:v>https://find-and-update.company-information.service.gov.uk/company/03144919/filing-history</x:v>
      </x:c>
      <x:c r="B109" s="30" t="str">
        <x:v>MBDA</x:v>
      </x:c>
      <x:c r="C109" s="30" t="str">
        <x:v>B7</x:v>
      </x:c>
      <x:c r="D109" s="30" t="str">
        <x:v>MBDA — company details</x:v>
      </x:c>
    </x:row>
    <x:row r="110">
      <x:c r="A110" s="30" t="str">
        <x:v>https://fliphtml5.com/nqrhl/pwfm/Defexpo_2022_ShowDaily03/</x:v>
      </x:c>
      <x:c r="B110" s="30" t="str">
        <x:v>Larsen &amp; Toubro (L&amp;T)</x:v>
      </x:c>
      <x:c r="C110" s="30" t="str">
        <x:v>B3</x:v>
      </x:c>
      <x:c r="D110" s="30" t="str">
        <x:v>Larsen &amp; Toubro (L&amp;T) — Artillery: K9 Vajra-T
Larsen &amp; Toubro (L&amp;T) — Marine/Naval: P75 submarine industrial capability</x:v>
      </x:c>
    </x:row>
    <x:row r="111">
      <x:c r="A111" s="30" t="str">
        <x:v>https://fliphtml5.com/nqrhl/smwl/Defexpo_2022_ShowDaily01/</x:v>
      </x:c>
      <x:c r="B111" s="30" t="str">
        <x:v>Larsen &amp; Toubro (L&amp;T)</x:v>
      </x:c>
      <x:c r="C111" s="30" t="str">
        <x:v>B3</x:v>
      </x:c>
      <x:c r="D111" s="30" t="str">
        <x:v>Larsen &amp; Toubro (L&amp;T) — Missiles: BrahMos ground launcher / ground support equipment</x:v>
      </x:c>
    </x:row>
    <x:row r="112">
      <x:c r="A112" s="30" t="str">
        <x:v>https://gdels.com/ascod.php</x:v>
      </x:c>
      <x:c r="B112" s="30" t="str">
        <x:v>General Dynamics</x:v>
      </x:c>
      <x:c r="C112" s="30" t="str">
        <x:v>B2</x:v>
      </x:c>
      <x:c r="D112" s="30" t="str">
        <x:v>General Dynamics — Protected Vehicles: ASCOD Tracked Vehicle Family</x:v>
      </x:c>
    </x:row>
    <x:row r="113">
      <x:c r="A113" s="30" t="str">
        <x:v>https://gdmissionsystems.com/en/products/underwater-vehicles/bluefin-9-autonomous-underwater-vehicle</x:v>
      </x:c>
      <x:c r="B113" s="30" t="str">
        <x:v>General Dynamics</x:v>
      </x:c>
      <x:c r="C113" s="30" t="str">
        <x:v>B2</x:v>
      </x:c>
      <x:c r="D113" s="30" t="str">
        <x:v>General Dynamics — Marine/Naval: Bluefin-9 AUV</x:v>
      </x:c>
    </x:row>
    <x:row r="114">
      <x:c r="A114" s="30" t="str">
        <x:v>https://gdmissionsystems.com/products/underwater-vehicles/bluefin-12-unmanned-underwater-vehicle</x:v>
      </x:c>
      <x:c r="B114" s="30" t="str">
        <x:v>General Dynamics</x:v>
      </x:c>
      <x:c r="C114" s="30" t="str">
        <x:v>B2</x:v>
      </x:c>
      <x:c r="D114" s="30" t="str">
        <x:v>General Dynamics — Marine/Naval: Bluefin-12 UUV</x:v>
      </x:c>
    </x:row>
    <x:row r="115">
      <x:c r="A115" s="30" t="str">
        <x:v>https://gdmissionsystems.com/products/underwater-vehicles/bluefin-21-autonomous-underwater-vehicle</x:v>
      </x:c>
      <x:c r="B115" s="30" t="str">
        <x:v>General Dynamics</x:v>
      </x:c>
      <x:c r="C115" s="30" t="str">
        <x:v>B2</x:v>
      </x:c>
      <x:c r="D115" s="30" t="str">
        <x:v>General Dynamics — Marine/Naval: Bluefin-21 AUV</x:v>
      </x:c>
    </x:row>
    <x:row r="116">
      <x:c r="A116" s="30" t="str">
        <x:v>https://gdmissionsystems.com/products/underwater-vehicles/bluefin-hauv</x:v>
      </x:c>
      <x:c r="B116" s="30" t="str">
        <x:v>General Dynamics</x:v>
      </x:c>
      <x:c r="C116" s="30" t="str">
        <x:v>B2</x:v>
      </x:c>
      <x:c r="D116" s="30" t="str">
        <x:v>General Dynamics — Marine/Naval: Bluefin HAUV</x:v>
      </x:c>
    </x:row>
    <x:row r="117">
      <x:c r="A117" s="30" t="str">
        <x:v>https://gunspec.io/en/firearms/ak-12</x:v>
      </x:c>
      <x:c r="B117" s="30" t="str">
        <x:v>Kalashnikov Concern</x:v>
      </x:c>
      <x:c r="C117" s="30" t="str">
        <x:v>B5</x:v>
      </x:c>
      <x:c r="D117" s="30" t="str">
        <x:v>Kalashnikov Concern — Small Arms: AK-12</x:v>
      </x:c>
    </x:row>
    <x:row r="118">
      <x:c r="A118" s="30" t="str">
        <x:v>https://gunspec.io/en/firearms/asmi</x:v>
      </x:c>
      <x:c r="B118" s="30" t="str">
        <x:v>AWEIL</x:v>
      </x:c>
      <x:c r="C118" s="30" t="str">
        <x:v>B1</x:v>
      </x:c>
      <x:c r="D118" s="30" t="str">
        <x:v>AWEIL — Small Arms: 9×19 mm Machine Pistol (ASMI)</x:v>
      </x:c>
    </x:row>
    <x:row r="119">
      <x:c r="A119" s="30" t="str">
        <x:v>https://gunspec.io/en/firearms/norinco-cs-lr4</x:v>
      </x:c>
      <x:c r="B119" s="30" t="str">
        <x:v>NORINCO</x:v>
      </x:c>
      <x:c r="C119" s="30" t="str">
        <x:v>B2</x:v>
      </x:c>
      <x:c r="D119" s="30" t="str">
        <x:v>NORINCO — Small Arms: CS/LR4 7.62 mm Sniper Rifle</x:v>
      </x:c>
    </x:row>
    <x:row r="120">
      <x:c r="A120" s="30" t="str">
        <x:v>https://gunspec.io/en/firearms/qbu-10</x:v>
      </x:c>
      <x:c r="B120" s="30" t="str">
        <x:v>NORINCO</x:v>
      </x:c>
      <x:c r="C120" s="30" t="str">
        <x:v>B2</x:v>
      </x:c>
      <x:c r="D120" s="30" t="str">
        <x:v>NORINCO — Small Arms: QBU-10 12.7 mm Anti-Materiel Rifle</x:v>
      </x:c>
    </x:row>
    <x:row r="121">
      <x:c r="A121" s="30" t="str">
        <x:v>https://gunspec.io/en/firearms/qjy-88</x:v>
      </x:c>
      <x:c r="B121" s="30" t="str">
        <x:v>NORINCO</x:v>
      </x:c>
      <x:c r="C121" s="30" t="str">
        <x:v>B2</x:v>
      </x:c>
      <x:c r="D121" s="30" t="str">
        <x:v>NORINCO — Small Arms: QJY-88 5.8 mm Machine Gun</x:v>
      </x:c>
    </x:row>
    <x:row r="122">
      <x:c r="A122" s="30" t="str">
        <x:v>https://gunspec.io/en/firearms/sss-defence-saber</x:v>
      </x:c>
      <x:c r="B122" s="30" t="str">
        <x:v>SSS Defence</x:v>
      </x:c>
      <x:c r="C122" s="30" t="str">
        <x:v>B6</x:v>
      </x:c>
      <x:c r="D122" s="30" t="str">
        <x:v>SSS Defence — Small Arms: 338 Saber</x:v>
      </x:c>
    </x:row>
    <x:row r="123">
      <x:c r="A123" s="30" t="str">
        <x:v>https://he.rafael.co.il/wp-content/uploads/2019/03/Samson-30-integrated-RWS.pdf</x:v>
      </x:c>
      <x:c r="B123" s="30" t="str">
        <x:v>Rafael Advanced Defense Systems</x:v>
      </x:c>
      <x:c r="C123" s="30" t="str">
        <x:v>B6</x:v>
      </x:c>
      <x:c r="D123" s="30" t="str">
        <x:v>Rafael Advanced Defense Systems — appendix: SAMSON 30 Integrated RWS</x:v>
      </x:c>
    </x:row>
    <x:row r="124">
      <x:c r="A124" s="30" t="str">
        <x:v>https://he.rafael.co.il/wp-content/uploads/2019/03/Spike-LR2.pdf</x:v>
      </x:c>
      <x:c r="B124" s="30" t="str">
        <x:v>Rafael Advanced Defense Systems</x:v>
      </x:c>
      <x:c r="C124" s="30" t="str">
        <x:v>B6</x:v>
      </x:c>
      <x:c r="D124" s="30" t="str">
        <x:v>Rafael Advanced Defense Systems — Missiles: SPIKE LR2</x:v>
      </x:c>
    </x:row>
    <x:row r="125">
      <x:c r="A125" s="30" t="str">
        <x:v>https://he.rafael.co.il/wp-content/uploads/2019/03/Spyder-Family-Brochure-Eng-1.pdf</x:v>
      </x:c>
      <x:c r="B125" s="30" t="str">
        <x:v>Rafael Advanced Defense Systems</x:v>
      </x:c>
      <x:c r="C125" s="30" t="str">
        <x:v>B6</x:v>
      </x:c>
      <x:c r="D125" s="30" t="str">
        <x:v>Rafael Advanced Defense Systems — Missiles: Python-5
Rafael Advanced Defense Systems — Missiles: SPYDER SR / ER / MR / LR Family</x:v>
      </x:c>
    </x:row>
    <x:row r="126">
      <x:c r="A126" s="30" t="str">
        <x:v>https://he.rafael.co.il/wp-content/uploads/2019/03/spike_er2_2018-1.pdf</x:v>
      </x:c>
      <x:c r="B126" s="30" t="str">
        <x:v>Rafael Advanced Defense Systems</x:v>
      </x:c>
      <x:c r="C126" s="30" t="str">
        <x:v>B6</x:v>
      </x:c>
      <x:c r="D126" s="30" t="str">
        <x:v>Rafael Advanced Defense Systems — Missiles: SPIKE ER2</x:v>
      </x:c>
    </x:row>
    <x:row r="127">
      <x:c r="A127" s="30" t="str">
        <x:v>https://hii.com/</x:v>
      </x:c>
      <x:c r="B127" s="30" t="str">
        <x:v>Huntington Ingalls Industries</x:v>
      </x:c>
      <x:c r="C127" s="30" t="str">
        <x:v>B9</x:v>
      </x:c>
      <x:c r="D127" s="30" t="str">
        <x:v>Huntington Ingalls Industries — company details</x:v>
      </x:c>
    </x:row>
    <x:row r="128">
      <x:c r="A128" s="30" t="str">
        <x:v>https://hii.com/what-we-do/capabilities/ships/amphibious-assault-ships/</x:v>
      </x:c>
      <x:c r="B128" s="30" t="str">
        <x:v>Huntington Ingalls Industries</x:v>
      </x:c>
      <x:c r="C128" s="30" t="str">
        <x:v>B9</x:v>
      </x:c>
      <x:c r="D128" s="30" t="str">
        <x:v>Huntington Ingalls Industries — Marine/Naval: America-class LHA</x:v>
      </x:c>
    </x:row>
    <x:row r="129">
      <x:c r="A129" s="30" t="str">
        <x:v>https://hii.com/wp-content/uploads/2026/02/REMUS-300-data-sheet.pdf</x:v>
      </x:c>
      <x:c r="B129" s="30" t="str">
        <x:v>Huntington Ingalls Industries</x:v>
      </x:c>
      <x:c r="C129" s="30" t="str">
        <x:v>B9</x:v>
      </x:c>
      <x:c r="D129" s="30" t="str">
        <x:v>Huntington Ingalls Industries — Marine/Naval: REMUS 300 UUV</x:v>
      </x:c>
    </x:row>
    <x:row r="130">
      <x:c r="A130" s="30" t="str">
        <x:v>https://in.linkedin.com/company/mahindra-defence-system-ltd-division-mahindra-special-services-group</x:v>
      </x:c>
      <x:c r="B130" s="30" t="str">
        <x:v>Mahindra Defence</x:v>
      </x:c>
      <x:c r="C130" s="30" t="str">
        <x:v>B3</x:v>
      </x:c>
      <x:c r="D130" s="30" t="str">
        <x:v>Mahindra Defence — company details</x:v>
      </x:c>
    </x:row>
    <x:row r="131">
      <x:c r="A131" s="30" t="str">
        <x:v>https://in.linkedin.com/company/solar-industries-india-ltd</x:v>
      </x:c>
      <x:c r="B131" s="30" t="str">
        <x:v>Solar Industries</x:v>
      </x:c>
      <x:c r="C131" s="30" t="str">
        <x:v>B10</x:v>
      </x:c>
      <x:c r="D131" s="30" t="str">
        <x:v>Solar Industries — Ammunition: Akash Composite Propellant
Solar Industries — Ammunition: BrahMos Composite Propellant / Booster Materials
Solar Industries — Ammunition: HMX / RDX / TNT High-Energy Materials
Solar Industries — Ammunition: Pinaka Rocket Propellant
Solar Industries — company details</x:v>
      </x:c>
    </x:row>
    <x:row r="132">
      <x:c r="A132" s="30" t="str">
        <x:v>https://in.linkedin.com/company/sss-defence</x:v>
      </x:c>
      <x:c r="B132" s="30" t="str">
        <x:v>SSS Defence</x:v>
      </x:c>
      <x:c r="C132" s="30" t="str">
        <x:v>B6</x:v>
      </x:c>
      <x:c r="D132" s="30" t="str">
        <x:v>SSS Defence — company details</x:v>
      </x:c>
    </x:row>
    <x:row r="133">
      <x:c r="A133" s="30" t="str">
        <x:v>https://insights.globalspec.com/article/21712/india-debuts-first-medium-altitude-long-endurance-spy-drone</x:v>
      </x:c>
      <x:c r="B133" s="30" t="str">
        <x:v>Adani Defence</x:v>
      </x:c>
      <x:c r="C133" s="30" t="str">
        <x:v>B10</x:v>
      </x:c>
      <x:c r="D133" s="30" t="str">
        <x:v>Adani Defence — UAVs/Drones: DRISHTI 10 Starliner</x:v>
      </x:c>
    </x:row>
    <x:row r="134">
      <x:c r="A134" s="30" t="str">
        <x:v>https://investmentguruindia.com/editorial/uploads/news-pdf/52331cb3_SOIL-3-12-25-PL.pdf</x:v>
      </x:c>
      <x:c r="B134" s="30" t="str">
        <x:v>Solar Industries</x:v>
      </x:c>
      <x:c r="C134" s="30" t="str">
        <x:v>B10</x:v>
      </x:c>
      <x:c r="D134" s="30" t="str">
        <x:v>Solar Industries — Ammunition: 155 mm Artillery Shell Family
Solar Industries — Ammunition: Air Bomb Family — 125/250/500/1000 kg
Solar Industries — Ammunition: BrahMos Composite Propellant / Booster Materials
Solar Industries — Ammunition: Chaff Rocket 118 — Long Range
Solar Industries — Ammunition: Chaff Rocket 118 — Medium Range
Solar Industries — Ammunition: Guided Pinaka Rocket
Solar Industries — Ammunition: HMX / RDX / TNT High-Energy Materials
Solar Industries — Ammunition: Mines — Tandav / Adrushi / M55 / M95
Solar Industries — Ammunition: Pinaka ER Rocket
Solar Industries — Ammunition: Pinaka HEPF Mk-I (Enhanced) Rocket
Solar Industries — Ammunition: YDB-60 Fuze
Solar Industries — UAVs/Drones: NAGASTRA-1</x:v>
      </x:c>
    </x:row>
    <x:row r="135">
      <x:c r="A135" s="30" t="str">
        <x:v>https://investor.avinc.com/financial-information/annual-reports</x:v>
      </x:c>
      <x:c r="B135" s="30" t="str">
        <x:v>AeroVironment</x:v>
      </x:c>
      <x:c r="C135" s="30" t="str">
        <x:v>B9</x:v>
      </x:c>
      <x:c r="D135" s="30" t="str">
        <x:v>AeroVironment — company details</x:v>
      </x:c>
    </x:row>
    <x:row r="136">
      <x:c r="A136" s="30" t="str">
        <x:v>https://investor.avinc.com/news-releases/news-release-details/aerovironment-expands-pumatm-visual-navigation-system-vns-kit</x:v>
      </x:c>
      <x:c r="B136" s="30" t="str">
        <x:v>AeroVironment</x:v>
      </x:c>
      <x:c r="C136" s="30" t="str">
        <x:v>B9</x:v>
      </x:c>
      <x:c r="D136" s="30" t="str">
        <x:v>AeroVironment — UAVs/Drones: Puma LE</x:v>
      </x:c>
    </x:row>
    <x:row r="137">
      <x:c r="A137" s="30" t="str">
        <x:v>https://investor.avinc.com/news-releases/news-release-details/avs-jump-20-selected-danish-defence-acquisition-and-logistics</x:v>
      </x:c>
      <x:c r="B137" s="30" t="str">
        <x:v>AeroVironment</x:v>
      </x:c>
      <x:c r="C137" s="30" t="str">
        <x:v>B9</x:v>
      </x:c>
      <x:c r="D137" s="30" t="str">
        <x:v>AeroVironment — UAVs/Drones: JUMP 20</x:v>
      </x:c>
    </x:row>
    <x:row r="138">
      <x:c r="A138" s="30" t="str">
        <x:v>https://investor.avinc.com/node/17816/html</x:v>
      </x:c>
      <x:c r="B138" s="30" t="str">
        <x:v>AeroVironment</x:v>
      </x:c>
      <x:c r="C138" s="30" t="str">
        <x:v>B9</x:v>
      </x:c>
      <x:c r="D138" s="30" t="str">
        <x:v>AeroVironment — UAVs/Drones: Blackwing</x:v>
      </x:c>
    </x:row>
    <x:row r="139">
      <x:c r="A139" s="30" t="str">
        <x:v>https://investor.northropgrumman.com/</x:v>
      </x:c>
      <x:c r="B139" s="30" t="str">
        <x:v>Northrop Grumman</x:v>
      </x:c>
      <x:c r="C139" s="30" t="str">
        <x:v>B7</x:v>
      </x:c>
      <x:c r="D139" s="30" t="str">
        <x:v>Northrop Grumman — Ammunition: 120 mm Tactical Ammunition
Northrop Grumman — Ammunition: 20 mm Tactical Ammunition
Northrop Grumman — Ammunition: 30 mm Tactical Ammunition
Northrop Grumman — Ammunition: Advanced Fuzes
Northrop Grumman — UAVs/Drones: Bat UAS
Northrop Grumman — UAVs/Drones: Fire Scout MQ-8C
Northrop Grumman — UAVs/Drones: MQ-4C Triton
Northrop Grumman — UAVs/Drones: RQ-4 Global Hawk
Northrop Grumman — Missiles: AARGM AGM-88E
Northrop Grumman — Missiles: AARGM-ER
Northrop Grumman — Missiles: GMLRS Propulsion &amp; Warhead Subsystems
Northrop Grumman — Missiles: HACM</x:v>
      </x:c>
    </x:row>
    <x:row r="140">
      <x:c r="A140" s="30" t="str">
        <x:v>https://investor.northropgrumman.com/news-releases/news-release-details/first-ever-rq-4-global-hawk-hits-100th-flight-nasa-mission</x:v>
      </x:c>
      <x:c r="B140" s="30" t="str">
        <x:v>Northrop Grumman</x:v>
      </x:c>
      <x:c r="C140" s="30" t="str">
        <x:v>B7</x:v>
      </x:c>
      <x:c r="D140" s="30" t="str">
        <x:v>Northrop Grumman — UAVs/Drones: RQ-4 Global Hawk</x:v>
      </x:c>
    </x:row>
    <x:row r="141">
      <x:c r="A141" s="30" t="str">
        <x:v>https://investor.northropgrumman.com/node/10061</x:v>
      </x:c>
      <x:c r="B141" s="30" t="str">
        <x:v>Northrop Grumman</x:v>
      </x:c>
      <x:c r="C141" s="30" t="str">
        <x:v>B7</x:v>
      </x:c>
      <x:c r="D141" s="30" t="str">
        <x:v>Northrop Grumman — UAVs/Drones: RQ-4 Global Hawk</x:v>
      </x:c>
    </x:row>
    <x:row r="142">
      <x:c r="A142" s="30" t="str">
        <x:v>https://investorrelations.gd.com/corporate-governance/board-of-directors/default.aspx</x:v>
      </x:c>
      <x:c r="B142" s="30" t="str">
        <x:v>General Dynamics</x:v>
      </x:c>
      <x:c r="C142" s="30" t="str">
        <x:v>B2</x:v>
      </x:c>
      <x:c r="D142" s="30" t="str">
        <x:v>General Dynamics — company details</x:v>
      </x:c>
    </x:row>
    <x:row r="143">
      <x:c r="A143" s="30" t="str">
        <x:v>https://investors.l3harris.com/news/news-details/2026/L3Harris-Technologies-Appoints-Sam-Mehta-Proven-Aerospace-and-Defense-Executive-as-President-and-Chief-Executive-Officer/default.aspx</x:v>
      </x:c>
      <x:c r="B143" s="30" t="str">
        <x:v>L3Harris</x:v>
      </x:c>
      <x:c r="C143" s="30" t="str">
        <x:v>B7</x:v>
      </x:c>
      <x:c r="D143" s="30" t="str">
        <x:v>L3Harris — company details</x:v>
      </x:c>
    </x:row>
    <x:row r="144">
      <x:c r="A144" s="30" t="str">
        <x:v>https://investors.larsentoubro.com/board-report.aspx</x:v>
      </x:c>
      <x:c r="B144" s="30" t="str">
        <x:v>Larsen &amp; Toubro (L&amp;T)</x:v>
      </x:c>
      <x:c r="C144" s="30" t="str">
        <x:v>B3</x:v>
      </x:c>
      <x:c r="D144" s="30" t="str">
        <x:v>Larsen &amp; Toubro (L&amp;T) — company details</x:v>
      </x:c>
    </x:row>
    <x:row r="145">
      <x:c r="A145" s="30" t="str">
        <x:v>https://investors.larsentoubro.com/upload/AnnualRep/FY2025AnnualRepL%26T-ANNUAL%20REPORT%202024-25%20-%20LOW%202.pdf</x:v>
      </x:c>
      <x:c r="B145" s="30" t="str">
        <x:v>Larsen &amp; Toubro (L&amp;T)</x:v>
      </x:c>
      <x:c r="C145" s="30" t="str">
        <x:v>B3</x:v>
      </x:c>
      <x:c r="D145" s="30" t="str">
        <x:v>Larsen &amp; Toubro (L&amp;T) — Artillery: K9 Vajra-T
Larsen &amp; Toubro (L&amp;T) — Protected Vehicles: Zorawar Light Tank
Larsen &amp; Toubro (L&amp;T) — company details</x:v>
      </x:c>
    </x:row>
    <x:row r="146">
      <x:c r="A146" s="30" t="str">
        <x:v>https://investors.larsentoubro.com/upload/AnnualRep/FY2026AnnualRepLNTIARFY2026.pdf</x:v>
      </x:c>
      <x:c r="B146" s="30" t="str">
        <x:v>Larsen &amp; Toubro (L&amp;T)</x:v>
      </x:c>
      <x:c r="C146" s="30" t="str">
        <x:v>B3</x:v>
      </x:c>
      <x:c r="D146" s="30" t="str">
        <x:v>Larsen &amp; Toubro (L&amp;T) — company details</x:v>
      </x:c>
    </x:row>
    <x:row r="147">
      <x:c r="A147" s="30" t="str">
        <x:v>https://investors.rtx.com/financial-information/annual-reports</x:v>
      </x:c>
      <x:c r="B147" s="30" t="str">
        <x:v>RTX (Raytheon)</x:v>
      </x:c>
      <x:c r="C147" s="30" t="str">
        <x:v>B8</x:v>
      </x:c>
      <x:c r="D147" s="30" t="str">
        <x:v>RTX (Raytheon) — company details</x:v>
      </x:c>
    </x:row>
    <x:row r="148">
      <x:c r="A148" s="30" t="str">
        <x:v>https://ir.hii.com/overview/</x:v>
      </x:c>
      <x:c r="B148" s="30" t="str">
        <x:v>Huntington Ingalls Industries</x:v>
      </x:c>
      <x:c r="C148" s="30" t="str">
        <x:v>B9</x:v>
      </x:c>
      <x:c r="D148" s="30" t="str">
        <x:v>Huntington Ingalls Industries — company details</x:v>
      </x:c>
    </x:row>
    <x:row r="149">
      <x:c r="A149" s="30" t="str">
        <x:v>https://ir.rheinmetall.com/media/document/6d4637c5-eafa-47cc-afe2-b8810256e0cd/assets/Rheinmetall_AG_2026_Investor_Presentation_January.pdf</x:v>
      </x:c>
      <x:c r="B149" s="30" t="str">
        <x:v>Rheinmetall</x:v>
      </x:c>
      <x:c r="C149" s="30" t="str">
        <x:v>B2</x:v>
      </x:c>
      <x:c r="D149" s="30" t="str">
        <x:v>Rheinmetall — UAVs/Drones: FV-014 Loitering Munition
Rheinmetall — appendix: Barracuda 500M Cruise Missile</x:v>
      </x:c>
    </x:row>
    <x:row r="150">
      <x:c r="A150" s="30" t="str">
        <x:v>https://ir.tkmsgroup.com/</x:v>
      </x:c>
      <x:c r="B150" s="30" t="str">
        <x:v>Thyssenkrupp Marine Systems</x:v>
      </x:c>
      <x:c r="C150" s="30" t="str">
        <x:v>B8</x:v>
      </x:c>
      <x:c r="D150" s="30" t="str">
        <x:v>Thyssenkrupp Marine Systems — company details</x:v>
      </x:c>
    </x:row>
    <x:row r="151">
      <x:c r="A151" s="30" t="str">
        <x:v>https://ir.tkmsgroup.com/governance</x:v>
      </x:c>
      <x:c r="B151" s="30" t="str">
        <x:v>Thyssenkrupp Marine Systems</x:v>
      </x:c>
      <x:c r="C151" s="30" t="str">
        <x:v>B8</x:v>
      </x:c>
      <x:c r="D151" s="30" t="str">
        <x:v>Thyssenkrupp Marine Systems — company details</x:v>
      </x:c>
    </x:row>
    <x:row r="152">
      <x:c r="A152" s="30" t="str">
        <x:v>https://irrpl.co.in/home-2/</x:v>
      </x:c>
      <x:c r="B152" s="30" t="str">
        <x:v>Kalashnikov Concern</x:v>
      </x:c>
      <x:c r="C152" s="30" t="str">
        <x:v>B5</x:v>
      </x:c>
      <x:c r="D152" s="30" t="str">
        <x:v>Kalashnikov Concern — Small Arms: AK-203</x:v>
      </x:c>
    </x:row>
    <x:row r="153">
      <x:c r="A153" s="30" t="str">
        <x:v>https://iwi.net/ace/ace-32/</x:v>
      </x:c>
      <x:c r="B153" s="30" t="str">
        <x:v>PLR Systems (IWI+Adani)</x:v>
      </x:c>
      <x:c r="C153" s="30" t="str">
        <x:v>B4</x:v>
      </x:c>
      <x:c r="D153" s="30" t="str">
        <x:v>PLR Systems (IWI+Adani) — Small Arms: GALIL ACE 32</x:v>
      </x:c>
    </x:row>
    <x:row r="154">
      <x:c r="A154" s="30" t="str">
        <x:v>https://iwi.net/iwi-negev-machine-gun/negev-ng-7/</x:v>
      </x:c>
      <x:c r="B154" s="30" t="str">
        <x:v>PLR Systems (IWI+Adani)</x:v>
      </x:c>
      <x:c r="C154" s="30" t="str">
        <x:v>B4</x:v>
      </x:c>
      <x:c r="D154" s="30" t="str">
        <x:v>PLR Systems (IWI+Adani) — Small Arms: NEGEV NG-7 / Prahar LMG</x:v>
      </x:c>
    </x:row>
    <x:row r="155">
      <x:c r="A155" s="30" t="str">
        <x:v>https://iwi.net/iwi-negev-machine-gun/negev/</x:v>
      </x:c>
      <x:c r="B155" s="30" t="str">
        <x:v>PLR Systems (IWI+Adani)</x:v>
      </x:c>
      <x:c r="C155" s="30" t="str">
        <x:v>B4</x:v>
      </x:c>
      <x:c r="D155" s="30" t="str">
        <x:v>PLR Systems (IWI+Adani) — Small Arms: NEGEV 5.56 LMG</x:v>
      </x:c>
    </x:row>
    <x:row r="156">
      <x:c r="A156" s="30" t="str">
        <x:v>https://iwi.net/iwi-tavor-rifle/tavor-7/</x:v>
      </x:c>
      <x:c r="B156" s="30" t="str">
        <x:v>PLR Systems (IWI+Adani)</x:v>
      </x:c>
      <x:c r="C156" s="30" t="str">
        <x:v>B4</x:v>
      </x:c>
      <x:c r="D156" s="30" t="str">
        <x:v>PLR Systems (IWI+Adani) — Small Arms: TAVOR 7</x:v>
      </x:c>
    </x:row>
    <x:row r="157">
      <x:c r="A157" s="30" t="str">
        <x:v>https://iwi.net/iwi-x95/x95-flattop-419/</x:v>
      </x:c>
      <x:c r="B157" s="30" t="str">
        <x:v>PLR Systems (IWI+Adani)</x:v>
      </x:c>
      <x:c r="C157" s="30" t="str">
        <x:v>B4</x:v>
      </x:c>
      <x:c r="D157" s="30" t="str">
        <x:v>PLR Systems (IWI+Adani) — Small Arms: X95 Flattop 419</x:v>
      </x:c>
    </x:row>
    <x:row r="158">
      <x:c r="A158" s="30" t="str">
        <x:v>https://iwi.net/uzi-submachine-gun/uzi-pro/</x:v>
      </x:c>
      <x:c r="B158" s="30" t="str">
        <x:v>PLR Systems (IWI+Adani)</x:v>
      </x:c>
      <x:c r="C158" s="30" t="str">
        <x:v>B4</x:v>
      </x:c>
      <x:c r="D158" s="30" t="str">
        <x:v>PLR Systems (IWI+Adani) — Small Arms: UZI PRO SMG</x:v>
      </x:c>
    </x:row>
    <x:row r="159">
      <x:c r="A159" s="30" t="str">
        <x:v>https://iwi.net/wp-content/uploads/2021/03/IWI_GALIL_SNIPER_brochure_2021_EN.pdf</x:v>
      </x:c>
      <x:c r="B159" s="30" t="str">
        <x:v>PLR Systems (IWI+Adani)</x:v>
      </x:c>
      <x:c r="C159" s="30" t="str">
        <x:v>B4</x:v>
      </x:c>
      <x:c r="D159" s="30" t="str">
        <x:v>PLR Systems (IWI+Adani) — Small Arms: GALIL Sniper S.A.</x:v>
      </x:c>
    </x:row>
    <x:row r="160">
      <x:c r="A160" s="30" t="str">
        <x:v>https://iwi.net/wp-content/uploads/2021/03/IWI_TAVOR_7_brochure_2021_EN.pdf</x:v>
      </x:c>
      <x:c r="B160" s="30" t="str">
        <x:v>PLR Systems (IWI+Adani)</x:v>
      </x:c>
      <x:c r="C160" s="30" t="str">
        <x:v>B4</x:v>
      </x:c>
      <x:c r="D160" s="30" t="str">
        <x:v>PLR Systems (IWI+Adani) — Small Arms: TAVOR 7</x:v>
      </x:c>
    </x:row>
    <x:row r="161">
      <x:c r="A161" s="30" t="str">
        <x:v>https://job.gg.go.kr/empmn/desEntDtl.do?bizrno=1258175323</x:v>
      </x:c>
      <x:c r="B161" s="30" t="str">
        <x:v>Poongsan</x:v>
      </x:c>
      <x:c r="C161" s="30" t="str">
        <x:v>B6</x:v>
      </x:c>
      <x:c r="D161" s="30" t="str">
        <x:v>Poongsan — company details</x:v>
      </x:c>
    </x:row>
    <x:row r="162">
      <x:c r="A162" s="30" t="str">
        <x:v>https://kalashnikovgroup.ru/</x:v>
      </x:c>
      <x:c r="B162" s="30" t="str">
        <x:v>Kalashnikov Concern</x:v>
      </x:c>
      <x:c r="C162" s="30" t="str">
        <x:v>B5</x:v>
      </x:c>
      <x:c r="D162" s="30" t="str">
        <x:v>Kalashnikov Concern — Small Arms: AK-12
Kalashnikov Concern — Small Arms: AK-15
Kalashnikov Concern — Small Arms: AK-19
Kalashnikov Concern — Small Arms: AK-308
Kalashnikov Concern — Small Arms: KORD 12.7 mm
Kalashnikov Concern — Small Arms: Lebedev PL-15 / PLK Family
Kalashnikov Concern — Small Arms: PLK Pistol
Kalashnikov Concern — Small Arms: RPK-16
Kalashnikov Concern — Small Arms: RPL-20
Kalashnikov Concern — UAVs/Drones: KUB-E Loitering Munition
Kalashnikov Concern — UAVs/Drones: Lancet-E Loitering-Munition System
Kalashnikov Concern — Missiles: 9K121 Vikhr-1 Air-Launched ATGM</x:v>
      </x:c>
    </x:row>
    <x:row r="163">
      <x:c r="A163" s="30" t="str">
        <x:v>https://knds.com/de/produkte/munition/mv-25-oskar</x:v>
      </x:c>
      <x:c r="B163" s="30" t="str">
        <x:v>Nexter (KNDS France)</x:v>
      </x:c>
      <x:c r="C163" s="30" t="str">
        <x:v>B1</x:v>
      </x:c>
      <x:c r="D163" s="30" t="str">
        <x:v>Nexter (KNDS France) — UAVs/Drones: MV-25 OSKAR Loitering Munition</x:v>
      </x:c>
    </x:row>
    <x:row r="164">
      <x:c r="A164" s="30" t="str">
        <x:v>https://knds.com/en/press-releases/goerlitz-builds-the-future-knds-successfully-transforms-former-rail-factory-into-a-modern-defense-manufacturing-site</x:v>
      </x:c>
      <x:c r="B164" s="30" t="str">
        <x:v>KNDS Germany</x:v>
      </x:c>
      <x:c r="C164" s="30" t="str">
        <x:v>B1</x:v>
      </x:c>
      <x:c r="D164" s="30" t="str">
        <x:v>KNDS Germany — company details</x:v>
      </x:c>
    </x:row>
    <x:row r="165">
      <x:c r="A165" s="30" t="str">
        <x:v>https://knds.com/en/press-releases/knds-achieves-strong-revenue-growth-and-record-order-intake-in-2025</x:v>
      </x:c>
      <x:c r="B165" s="30" t="str">
        <x:v>Nexter (KNDS France), KNDS Germany</x:v>
      </x:c>
      <x:c r="C165" s="30" t="str">
        <x:v>B1</x:v>
      </x:c>
      <x:c r="D165" s="30" t="str">
        <x:v>Nexter (KNDS France) — company details
KNDS Germany — company details</x:v>
      </x:c>
    </x:row>
    <x:row r="166">
      <x:c r="A166" s="30" t="str">
        <x:v>https://knds.com/en/press-releases/knds-makes-record-breaking-progress-on-loitering-ammunition</x:v>
      </x:c>
      <x:c r="B166" s="30" t="str">
        <x:v>Nexter (KNDS France)</x:v>
      </x:c>
      <x:c r="C166" s="30" t="str">
        <x:v>B1</x:v>
      </x:c>
      <x:c r="D166" s="30" t="str">
        <x:v>Nexter (KNDS France) — UAVs/Drones: COLIBRI Loitering Munition</x:v>
      </x:c>
    </x:row>
    <x:row r="167">
      <x:c r="A167" s="30" t="str">
        <x:v>https://knds.com/en/press-releases/knds-presents-further-development-of-leopard-2-a-rc-3-0-technological-concept-study-at-eurosatory-2026</x:v>
      </x:c>
      <x:c r="B167" s="30" t="str">
        <x:v>KNDS Germany</x:v>
      </x:c>
      <x:c r="C167" s="30" t="str">
        <x:v>B1</x:v>
      </x:c>
      <x:c r="D167" s="30" t="str">
        <x:v>KNDS Germany — Protected Vehicles: LEOPARD 2 A-RC 3.0</x:v>
      </x:c>
    </x:row>
    <x:row r="168">
      <x:c r="A168" s="30" t="str">
        <x:v>https://knds.com/en/press-releases/mataris-the-first-french-range-of-loitering-munitions</x:v>
      </x:c>
      <x:c r="B168" s="30" t="str">
        <x:v>Nexter (KNDS France)</x:v>
      </x:c>
      <x:c r="C168" s="30" t="str">
        <x:v>B1</x:v>
      </x:c>
      <x:c r="D168" s="30" t="str">
        <x:v>Nexter (KNDS France) — UAVs/Drones: MX-10 DAMOCLES Loitering Munition</x:v>
      </x:c>
    </x:row>
    <x:row r="169">
      <x:c r="A169" s="30" t="str">
        <x:v>https://knds.com/en/press-releases/towards-mgcs-knds-details-the-future-of-main-battle-tanks</x:v>
      </x:c>
      <x:c r="B169" s="30" t="str">
        <x:v>KNDS Germany</x:v>
      </x:c>
      <x:c r="C169" s="30" t="str">
        <x:v>B1</x:v>
      </x:c>
      <x:c r="D169" s="30" t="str">
        <x:v>KNDS Germany — Protected Vehicles: EMBT ADT 140 Demonstrator
KNDS Germany — Protected Vehicles: LEOPARD 2 A-RC 3.0</x:v>
      </x:c>
    </x:row>
    <x:row r="170">
      <x:c r="A170" s="30" t="str">
        <x:v>https://knds.com/en/press-releases/uniform-brand-identity-land-defence-group-knds-completes-the-legal-renaming-of-its-group-companies</x:v>
      </x:c>
      <x:c r="B170" s="30" t="str">
        <x:v>Nexter (KNDS France), KNDS Germany</x:v>
      </x:c>
      <x:c r="C170" s="30" t="str">
        <x:v>B1</x:v>
      </x:c>
      <x:c r="D170" s="30" t="str">
        <x:v>Nexter (KNDS France) — company details
KNDS Germany — company details</x:v>
      </x:c>
    </x:row>
    <x:row r="171">
      <x:c r="A171" s="30" t="str">
        <x:v>https://knds.com/en/products</x:v>
      </x:c>
      <x:c r="B171" s="30" t="str">
        <x:v>Nexter (KNDS France), KNDS Germany</x:v>
      </x:c>
      <x:c r="C171" s="30" t="str">
        <x:v>B1</x:v>
      </x:c>
      <x:c r="D171" s="30" t="str">
        <x:v>Nexter (KNDS France) — Artillery: CAESAR 6×6
Nexter (KNDS France) — Protected Vehicles: LECLERC XLR
KNDS Germany — Artillery: MARS II / MLRS Evolution
KNDS Germany — Artillery: PzH 2000
KNDS Germany — Protected Vehicles: BOXER
KNDS Germany — Protected Vehicles: Leopard 2A8
KNDS Germany — Protected Vehicles: MUNGO</x:v>
      </x:c>
    </x:row>
    <x:row r="172">
      <x:c r="A172" s="30" t="str">
        <x:v>https://knds.com/en/products/ammunition</x:v>
      </x:c>
      <x:c r="B172" s="30" t="str">
        <x:v>Nexter (KNDS France)</x:v>
      </x:c>
      <x:c r="C172" s="30" t="str">
        <x:v>B1</x:v>
      </x:c>
      <x:c r="D172" s="30" t="str">
        <x:v>Nexter (KNDS France) — Ammunition: 100 mm Naval
Nexter (KNDS France) — Ammunition: 105mm ER G3
Nexter (KNDS France) — Ammunition: 105mm TK
Nexter (KNDS France) — Ammunition: 120mm
Nexter (KNDS France) — Ammunition: 120mm Mortar
Nexter (KNDS France) — Ammunition: 120mm SHARD
Nexter (KNDS France) — Ammunition: 127 L54 Naval
Nexter (KNDS France) — Ammunition: 155 BONUS
Nexter (KNDS France) — Ammunition: 155 KATANA
Nexter (KNDS France) — Ammunition: 155 LU211
Nexter (KNDS France) — Ammunition: 155 LU220
Nexter (KNDS France) — Ammunition: 20x102</x:v>
      </x:c>
    </x:row>
    <x:row r="173">
      <x:c r="A173" s="30" t="str">
        <x:v>https://knds.com/en/products/ammunition/120mm-shard</x:v>
      </x:c>
      <x:c r="B173" s="30" t="str">
        <x:v>Nexter (KNDS France)</x:v>
      </x:c>
      <x:c r="C173" s="30" t="str">
        <x:v>B1</x:v>
      </x:c>
      <x:c r="D173" s="30" t="str">
        <x:v>Nexter (KNDS France) — Ammunition: 120mm SHARD</x:v>
      </x:c>
    </x:row>
    <x:row r="174">
      <x:c r="A174" s="30" t="str">
        <x:v>https://knds.com/en/products/ammunition/155-katana</x:v>
      </x:c>
      <x:c r="B174" s="30" t="str">
        <x:v>Nexter (KNDS France)</x:v>
      </x:c>
      <x:c r="C174" s="30" t="str">
        <x:v>B1</x:v>
      </x:c>
      <x:c r="D174" s="30" t="str">
        <x:v>Nexter (KNDS France) — Ammunition: 155 KATANA</x:v>
      </x:c>
    </x:row>
    <x:row r="175">
      <x:c r="A175" s="30" t="str">
        <x:v>https://knds.com/en/products/ammunition/155mm-bonus</x:v>
      </x:c>
      <x:c r="B175" s="30" t="str">
        <x:v>Nexter (KNDS France)</x:v>
      </x:c>
      <x:c r="C175" s="30" t="str">
        <x:v>B1</x:v>
      </x:c>
      <x:c r="D175" s="30" t="str">
        <x:v>Nexter (KNDS France) — Ammunition: 155 BONUS</x:v>
      </x:c>
    </x:row>
    <x:row r="176">
      <x:c r="A176" s="30" t="str">
        <x:v>https://knds.com/en/products/ammunition/40-mm-cta</x:v>
      </x:c>
      <x:c r="B176" s="30" t="str">
        <x:v>Nexter (KNDS France)</x:v>
      </x:c>
      <x:c r="C176" s="30" t="str">
        <x:v>B1</x:v>
      </x:c>
      <x:c r="D176" s="30" t="str">
        <x:v>Nexter (KNDS France) — Ammunition: 40mm CTA
Nexter (KNDS France) — Marine/Naval: RapidFire Naval</x:v>
      </x:c>
    </x:row>
    <x:row r="177">
      <x:c r="A177" s="30" t="str">
        <x:v>https://knds.com/en/products/ammunition/mataris</x:v>
      </x:c>
      <x:c r="B177" s="30" t="str">
        <x:v>Nexter (KNDS France)</x:v>
      </x:c>
      <x:c r="C177" s="30" t="str">
        <x:v>B1</x:v>
      </x:c>
      <x:c r="D177" s="30" t="str">
        <x:v>Nexter (KNDS France) — UAVs/Drones: MT-10 Loitering Munition
Nexter (KNDS France) — UAVs/Drones: MV-100 VELOCE Loitering Munition
Nexter (KNDS France) — UAVs/Drones: MV-25 OSKAR Loitering Munition
Nexter (KNDS France) — UAVs/Drones: MX-10 DAMOCLES Loitering Munition</x:v>
      </x:c>
    </x:row>
    <x:row r="178">
      <x:c r="A178" s="30" t="str">
        <x:v>https://knds.com/en/products/ammunition/mt-10</x:v>
      </x:c>
      <x:c r="B178" s="30" t="str">
        <x:v>Nexter (KNDS France)</x:v>
      </x:c>
      <x:c r="C178" s="30" t="str">
        <x:v>B1</x:v>
      </x:c>
      <x:c r="D178" s="30" t="str">
        <x:v>Nexter (KNDS France) — UAVs/Drones: MT-10 Loitering Munition</x:v>
      </x:c>
    </x:row>
    <x:row r="179">
      <x:c r="A179" s="30" t="str">
        <x:v>https://knds.com/en/products/ammunition/mv-100-veloce</x:v>
      </x:c>
      <x:c r="B179" s="30" t="str">
        <x:v>Nexter (KNDS France)</x:v>
      </x:c>
      <x:c r="C179" s="30" t="str">
        <x:v>B1</x:v>
      </x:c>
      <x:c r="D179" s="30" t="str">
        <x:v>Nexter (KNDS France) — UAVs/Drones: MV-100 VELOCE Loitering Munition</x:v>
      </x:c>
    </x:row>
    <x:row r="180">
      <x:c r="A180" s="30" t="str">
        <x:v>https://knds.com/en/products/boxer</x:v>
      </x:c>
      <x:c r="B180" s="30" t="str">
        <x:v>KNDS Germany</x:v>
      </x:c>
      <x:c r="C180" s="30" t="str">
        <x:v>B1</x:v>
      </x:c>
      <x:c r="D180" s="30" t="str">
        <x:v>KNDS Germany — Protected Vehicles: BOXER
KNDS Germany — Protected Vehicles: BOXER RCT30</x:v>
      </x:c>
    </x:row>
    <x:row r="181">
      <x:c r="A181" s="30" t="str">
        <x:v>https://knds.com/en/products/dingo-2-range</x:v>
      </x:c>
      <x:c r="B181" s="30" t="str">
        <x:v>KNDS Germany</x:v>
      </x:c>
      <x:c r="C181" s="30" t="str">
        <x:v>B1</x:v>
      </x:c>
      <x:c r="D181" s="30" t="str">
        <x:v>KNDS Germany — Protected Vehicles: DINGO 2</x:v>
      </x:c>
    </x:row>
    <x:row r="182">
      <x:c r="A182" s="30" t="str">
        <x:v>https://knds.com/en/products/fennek</x:v>
      </x:c>
      <x:c r="B182" s="30" t="str">
        <x:v>KNDS Germany</x:v>
      </x:c>
      <x:c r="C182" s="30" t="str">
        <x:v>B1</x:v>
      </x:c>
      <x:c r="D182" s="30" t="str">
        <x:v>KNDS Germany — Protected Vehicles: FENNEK</x:v>
      </x:c>
    </x:row>
    <x:row r="183">
      <x:c r="A183" s="30" t="str">
        <x:v>https://knds.com/en/products/mungo</x:v>
      </x:c>
      <x:c r="B183" s="30" t="str">
        <x:v>KNDS Germany</x:v>
      </x:c>
      <x:c r="C183" s="30" t="str">
        <x:v>B1</x:v>
      </x:c>
      <x:c r="D183" s="30" t="str">
        <x:v>KNDS Germany — Protected Vehicles: MUNGO</x:v>
      </x:c>
    </x:row>
    <x:row r="184">
      <x:c r="A184" s="30" t="str">
        <x:v>https://knds.com/en/products/systems</x:v>
      </x:c>
      <x:c r="B184" s="30" t="str">
        <x:v>Nexter (KNDS France), KNDS Germany</x:v>
      </x:c>
      <x:c r="C184" s="30" t="str">
        <x:v>B1</x:v>
      </x:c>
      <x:c r="D184" s="30" t="str">
        <x:v>Nexter (KNDS France) — Protected Vehicles: GRIFFON
Nexter (KNDS France) — Protected Vehicles: JAGUAR
Nexter (KNDS France) — Protected Vehicles: LECLERC XLR
Nexter (KNDS France) — Protected Vehicles: SERVAL
Nexter (KNDS France) — Protected Vehicles: TITUS
Nexter (KNDS France) — Protected Vehicles: TITUS HOMELAND
Nexter (KNDS France) — Protected Vehicles: VBCI
Nexter (KNDS France) — Marine/Naval: RapidFire Naval
KNDS Germany — Artillery: MARS II / MLRS Evolution
KNDS Germany — Protected Vehicles: BOXER
KNDS Germany — Protected Vehicles: BOXER RCT30
KNDS Germany — Protected Vehicles: DINGO 2</x:v>
      </x:c>
    </x:row>
    <x:row r="185">
      <x:c r="A185" s="30" t="str">
        <x:v>https://knds.com/en/products/systems/105-lg</x:v>
      </x:c>
      <x:c r="B185" s="30" t="str">
        <x:v>Nexter (KNDS France)</x:v>
      </x:c>
      <x:c r="C185" s="30" t="str">
        <x:v>B1</x:v>
      </x:c>
      <x:c r="D185" s="30" t="str">
        <x:v>Nexter (KNDS France) — Artillery: 105 LG</x:v>
      </x:c>
    </x:row>
    <x:row r="186">
      <x:c r="A186" s="30" t="str">
        <x:v>https://knds.com/en/products/systems/agm</x:v>
      </x:c>
      <x:c r="B186" s="30" t="str">
        <x:v>KNDS Germany</x:v>
      </x:c>
      <x:c r="C186" s="30" t="str">
        <x:v>B1</x:v>
      </x:c>
      <x:c r="D186" s="30" t="str">
        <x:v>KNDS Germany — Artillery: AGM</x:v>
      </x:c>
    </x:row>
    <x:row r="187">
      <x:c r="A187" s="30" t="str">
        <x:v>https://knds.com/en/products/systems/boxer/boxer-rct-30</x:v>
      </x:c>
      <x:c r="B187" s="30" t="str">
        <x:v>KNDS Germany</x:v>
      </x:c>
      <x:c r="C187" s="30" t="str">
        <x:v>B1</x:v>
      </x:c>
      <x:c r="D187" s="30" t="str">
        <x:v>KNDS Germany — Protected Vehicles: BOXER RCT30</x:v>
      </x:c>
    </x:row>
    <x:row r="188">
      <x:c r="A188" s="30" t="str">
        <x:v>https://knds.com/en/products/systems/caesar-6x6</x:v>
      </x:c>
      <x:c r="B188" s="30" t="str">
        <x:v>Nexter (KNDS France)</x:v>
      </x:c>
      <x:c r="C188" s="30" t="str">
        <x:v>B1</x:v>
      </x:c>
      <x:c r="D188" s="30" t="str">
        <x:v>Nexter (KNDS France) — Artillery: CAESAR 6×6</x:v>
      </x:c>
    </x:row>
    <x:row r="189">
      <x:c r="A189" s="30" t="str">
        <x:v>https://knds.com/en/products/systems/caesar-8x8</x:v>
      </x:c>
      <x:c r="B189" s="30" t="str">
        <x:v>Nexter (KNDS France)</x:v>
      </x:c>
      <x:c r="C189" s="30" t="str">
        <x:v>B1</x:v>
      </x:c>
      <x:c r="D189" s="30" t="str">
        <x:v>Nexter (KNDS France) — Artillery: CAESAR 8×8</x:v>
      </x:c>
    </x:row>
    <x:row r="190">
      <x:c r="A190" s="30" t="str">
        <x:v>https://knds.com/en/products/systems/caesar-mk-2</x:v>
      </x:c>
      <x:c r="B190" s="30" t="str">
        <x:v>Nexter (KNDS France)</x:v>
      </x:c>
      <x:c r="C190" s="30" t="str">
        <x:v>B1</x:v>
      </x:c>
      <x:c r="D190" s="30" t="str">
        <x:v>Nexter (KNDS France) — Artillery: CAESAR Mk2</x:v>
      </x:c>
    </x:row>
    <x:row r="191">
      <x:c r="A191" s="30" t="str">
        <x:v>https://knds.com/en/products/systems/donar</x:v>
      </x:c>
      <x:c r="B191" s="30" t="str">
        <x:v>KNDS Germany</x:v>
      </x:c>
      <x:c r="C191" s="30" t="str">
        <x:v>B1</x:v>
      </x:c>
      <x:c r="D191" s="30" t="str">
        <x:v>KNDS Germany — Artillery: DONAR</x:v>
      </x:c>
    </x:row>
    <x:row r="192">
      <x:c r="A192" s="30" t="str">
        <x:v>https://knds.com/en/products/systems/griffon</x:v>
      </x:c>
      <x:c r="B192" s="30" t="str">
        <x:v>Nexter (KNDS France)</x:v>
      </x:c>
      <x:c r="C192" s="30" t="str">
        <x:v>B1</x:v>
      </x:c>
      <x:c r="D192" s="30" t="str">
        <x:v>Nexter (KNDS France) — Protected Vehicles: GRIFFON</x:v>
      </x:c>
    </x:row>
    <x:row r="193">
      <x:c r="A193" s="30" t="str">
        <x:v>https://knds.com/en/products/systems/jaguar</x:v>
      </x:c>
      <x:c r="B193" s="30" t="str">
        <x:v>Nexter (KNDS France)</x:v>
      </x:c>
      <x:c r="C193" s="30" t="str">
        <x:v>B1</x:v>
      </x:c>
      <x:c r="D193" s="30" t="str">
        <x:v>Nexter (KNDS France) — Protected Vehicles: JAGUAR</x:v>
      </x:c>
    </x:row>
    <x:row r="194">
      <x:c r="A194" s="30" t="str">
        <x:v>https://knds.com/en/products/systems/leclerc-xlr</x:v>
      </x:c>
      <x:c r="B194" s="30" t="str">
        <x:v>Nexter (KNDS France)</x:v>
      </x:c>
      <x:c r="C194" s="30" t="str">
        <x:v>B1</x:v>
      </x:c>
      <x:c r="D194" s="30" t="str">
        <x:v>Nexter (KNDS France) — Protected Vehicles: LECLERC XLR</x:v>
      </x:c>
    </x:row>
    <x:row r="195">
      <x:c r="A195" s="30" t="str">
        <x:v>https://knds.com/en/products/systems/mars-ii-mlrs-evolution</x:v>
      </x:c>
      <x:c r="B195" s="30" t="str">
        <x:v>KNDS Germany</x:v>
      </x:c>
      <x:c r="C195" s="30" t="str">
        <x:v>B1</x:v>
      </x:c>
      <x:c r="D195" s="30" t="str">
        <x:v>KNDS Germany — Artillery: MARS II / MLRS Evolution</x:v>
      </x:c>
    </x:row>
    <x:row r="196">
      <x:c r="A196" s="30" t="str">
        <x:v>https://knds.com/en/products/systems/puma</x:v>
      </x:c>
      <x:c r="B196" s="30" t="str">
        <x:v>KNDS Germany</x:v>
      </x:c>
      <x:c r="C196" s="30" t="str">
        <x:v>B1</x:v>
      </x:c>
      <x:c r="D196" s="30" t="str">
        <x:v>KNDS Germany — Protected Vehicles: PUMA</x:v>
      </x:c>
    </x:row>
    <x:row r="197">
      <x:c r="A197" s="30" t="str">
        <x:v>https://knds.com/en/products/systems/pzh-2000</x:v>
      </x:c>
      <x:c r="B197" s="30" t="str">
        <x:v>KNDS Germany</x:v>
      </x:c>
      <x:c r="C197" s="30" t="str">
        <x:v>B1</x:v>
      </x:c>
      <x:c r="D197" s="30" t="str">
        <x:v>KNDS Germany — Artillery: PzH 2000</x:v>
      </x:c>
    </x:row>
    <x:row r="198">
      <x:c r="A198" s="30" t="str">
        <x:v>https://knds.com/en/products/systems/rapid-fire-naval</x:v>
      </x:c>
      <x:c r="B198" s="30" t="str">
        <x:v>Nexter (KNDS France)</x:v>
      </x:c>
      <x:c r="C198" s="30" t="str">
        <x:v>B1</x:v>
      </x:c>
      <x:c r="D198" s="30" t="str">
        <x:v>Nexter (KNDS France) — Marine/Naval: RapidFire Naval</x:v>
      </x:c>
    </x:row>
    <x:row r="199">
      <x:c r="A199" s="30" t="str">
        <x:v>https://knds.com/en/products/systems/rch-155</x:v>
      </x:c>
      <x:c r="B199" s="30" t="str">
        <x:v>KNDS Germany</x:v>
      </x:c>
      <x:c r="C199" s="30" t="str">
        <x:v>B1</x:v>
      </x:c>
      <x:c r="D199" s="30" t="str">
        <x:v>KNDS Germany — Artillery: RCH 155</x:v>
      </x:c>
    </x:row>
    <x:row r="200">
      <x:c r="A200" s="30" t="str">
        <x:v>https://knds.com/en/products/systems/rch-155-tracked</x:v>
      </x:c>
      <x:c r="B200" s="30" t="str">
        <x:v>KNDS Germany</x:v>
      </x:c>
      <x:c r="C200" s="30" t="str">
        <x:v>B1</x:v>
      </x:c>
      <x:c r="D200" s="30" t="str">
        <x:v>KNDS Germany — Artillery: RCH 155 TRACKED</x:v>
      </x:c>
    </x:row>
    <x:row r="201">
      <x:c r="A201" s="30" t="str">
        <x:v>https://knds.com/en/products/systems/serval</x:v>
      </x:c>
      <x:c r="B201" s="30" t="str">
        <x:v>Nexter (KNDS France)</x:v>
      </x:c>
      <x:c r="C201" s="30" t="str">
        <x:v>B1</x:v>
      </x:c>
      <x:c r="D201" s="30" t="str">
        <x:v>Nexter (KNDS France) — Protected Vehicles: SERVAL</x:v>
      </x:c>
    </x:row>
    <x:row r="202">
      <x:c r="A202" s="30" t="str">
        <x:v>https://knds.com/en/products/systems/titus</x:v>
      </x:c>
      <x:c r="B202" s="30" t="str">
        <x:v>Nexter (KNDS France)</x:v>
      </x:c>
      <x:c r="C202" s="30" t="str">
        <x:v>B1</x:v>
      </x:c>
      <x:c r="D202" s="30" t="str">
        <x:v>Nexter (KNDS France) — Protected Vehicles: TITUS</x:v>
      </x:c>
    </x:row>
    <x:row r="203">
      <x:c r="A203" s="30" t="str">
        <x:v>https://knds.com/en/products/systems/vbci-mk-1</x:v>
      </x:c>
      <x:c r="B203" s="30" t="str">
        <x:v>Nexter (KNDS France)</x:v>
      </x:c>
      <x:c r="C203" s="30" t="str">
        <x:v>B1</x:v>
      </x:c>
      <x:c r="D203" s="30" t="str">
        <x:v>Nexter (KNDS France) — Protected Vehicles: VBCI</x:v>
      </x:c>
    </x:row>
    <x:row r="204">
      <x:c r="A204" s="30" t="str">
        <x:v>https://knds.com/en/products/systems/vbci-rct-40</x:v>
      </x:c>
      <x:c r="B204" s="30" t="str">
        <x:v>Nexter (KNDS France)</x:v>
      </x:c>
      <x:c r="C204" s="30" t="str">
        <x:v>B1</x:v>
      </x:c>
      <x:c r="D204" s="30" t="str">
        <x:v>Nexter (KNDS France) — Protected Vehicles: VBCI RCT40</x:v>
      </x:c>
    </x:row>
    <x:row r="205">
      <x:c r="A205" s="30" t="str">
        <x:v>https://knds.com/en/subsidiaries</x:v>
      </x:c>
      <x:c r="B205" s="30" t="str">
        <x:v>Nexter (KNDS France), KNDS Germany</x:v>
      </x:c>
      <x:c r="C205" s="30" t="str">
        <x:v>B1</x:v>
      </x:c>
      <x:c r="D205" s="30" t="str">
        <x:v>Nexter (KNDS France) — company details
KNDS Germany — company details</x:v>
      </x:c>
    </x:row>
    <x:row r="206">
      <x:c r="A206" s="30" t="str">
        <x:v>https://knds.com/en/subsidiaries/knds-ammo-france</x:v>
      </x:c>
      <x:c r="B206" s="30" t="str">
        <x:v>Nexter (KNDS France)</x:v>
      </x:c>
      <x:c r="C206" s="30" t="str">
        <x:v>B1</x:v>
      </x:c>
      <x:c r="D206" s="30" t="str">
        <x:v>Nexter (KNDS France) — Ammunition: 100 mm Naval
Nexter (KNDS France) — Ammunition: 105mm ER G3
Nexter (KNDS France) — Ammunition: 105mm TK
Nexter (KNDS France) — Ammunition: 120mm
Nexter (KNDS France) — Ammunition: 120mm Mortar
Nexter (KNDS France) — Ammunition: 120mm SHARD
Nexter (KNDS France) — Ammunition: 127 L54 Naval
Nexter (KNDS France) — Ammunition: 155 BONUS
Nexter (KNDS France) — Ammunition: 155 KATANA
Nexter (KNDS France) — Ammunition: 155 LU211
Nexter (KNDS France) — Ammunition: 155 LU220
Nexter (KNDS France) — Ammunition: 20x102</x:v>
      </x:c>
    </x:row>
    <x:row r="207">
      <x:c r="A207" s="30" t="str">
        <x:v>https://knds.com/en/subsidiaries/knds-deutschland</x:v>
      </x:c>
      <x:c r="B207" s="30" t="str">
        <x:v>KNDS Germany</x:v>
      </x:c>
      <x:c r="C207" s="30" t="str">
        <x:v>B1</x:v>
      </x:c>
      <x:c r="D207" s="30" t="str">
        <x:v>KNDS Germany — Artillery: AGM
KNDS Germany — Artillery: DONAR
KNDS Germany — Artillery: MARS II / MLRS Evolution
KNDS Germany — Artillery: PzH 2000
KNDS Germany — Artillery: RCH 155
KNDS Germany — Artillery: RCH 155 TRACKED
KNDS Germany — Protected Vehicles: BOXER
KNDS Germany — Protected Vehicles: BOXER RCT30
KNDS Germany — Protected Vehicles: DINGO 2
KNDS Germany — Protected Vehicles: DINGO 3
KNDS Germany — Protected Vehicles: FENNEK
KNDS Germany — Protected Vehicles: GEPARD</x:v>
      </x:c>
    </x:row>
    <x:row r="208">
      <x:c r="A208" s="30" t="str">
        <x:v>https://knds.com/en/subsidiaries/knds-france</x:v>
      </x:c>
      <x:c r="B208" s="30" t="str">
        <x:v>Nexter (KNDS France)</x:v>
      </x:c>
      <x:c r="C208" s="30" t="str">
        <x:v>B1</x:v>
      </x:c>
      <x:c r="D208" s="30" t="str">
        <x:v>Nexter (KNDS France) — Artillery: CAESAR 6×6
Nexter (KNDS France) — Protected Vehicles: GRIFFON
Nexter (KNDS France) — Protected Vehicles: JAGUAR
Nexter (KNDS France) — Protected Vehicles: LECLERC XLR
Nexter (KNDS France) — Protected Vehicles: SERVAL
Nexter (KNDS France) — Protected Vehicles: TITUS
Nexter (KNDS France) — Protected Vehicles: TITUS HOMELAND
Nexter (KNDS France) — Protected Vehicles: VBCI
Nexter (KNDS France) — Marine/Naval: RapidFire Naval
Nexter (KNDS France) — company details</x:v>
      </x:c>
    </x:row>
    <x:row r="209">
      <x:c r="A209" s="30" t="str">
        <x:v>https://knds.com/fr/produits/systemes/caesar-6x6</x:v>
      </x:c>
      <x:c r="B209" s="30" t="str">
        <x:v>Nexter (KNDS France)</x:v>
      </x:c>
      <x:c r="C209" s="30" t="str">
        <x:v>B1</x:v>
      </x:c>
      <x:c r="D209" s="30" t="str">
        <x:v>Nexter (KNDS France) — Artillery: CAESAR 6×6</x:v>
      </x:c>
    </x:row>
    <x:row r="210">
      <x:c r="A210" s="30" t="str">
        <x:v>https://kookbang.dema.mil.kr/newsWeb/20260225/1/ATCE_CTGR_0020010033/view.do</x:v>
      </x:c>
      <x:c r="B210" s="30" t="str">
        <x:v>Hanwha (Aerospace/Group)</x:v>
      </x:c>
      <x:c r="C210" s="30" t="str">
        <x:v>B2</x:v>
      </x:c>
      <x:c r="D210" s="30" t="str">
        <x:v>Hanwha (Aerospace/Group) — Artillery: 120 mm Self-Propelled Mortar Carrier</x:v>
      </x:c>
    </x:row>
    <x:row r="211">
      <x:c r="A211" s="30" t="str">
        <x:v>https://krasindia.com/leadership.php</x:v>
      </x:c>
      <x:c r="B211" s="30" t="str">
        <x:v>Rafael Advanced Defense Systems</x:v>
      </x:c>
      <x:c r="C211" s="30" t="str">
        <x:v>B6</x:v>
      </x:c>
      <x:c r="D211" s="30" t="str">
        <x:v>Rafael Advanced Defense Systems — company details</x:v>
      </x:c>
    </x:row>
    <x:row r="212">
      <x:c r="A212" s="30" t="str">
        <x:v>https://live.euronext.com/en/products/equities/company-news/2026-03-23-annual-report-2025</x:v>
      </x:c>
      <x:c r="B212" s="30" t="str">
        <x:v>KONGSBERG</x:v>
      </x:c>
      <x:c r="C212" s="30" t="str">
        <x:v>B7</x:v>
      </x:c>
      <x:c r="D212" s="30" t="str">
        <x:v>KONGSBERG — company details</x:v>
      </x:c>
    </x:row>
    <x:row r="213">
      <x:c r="A213" s="30" t="str">
        <x:v>https://m.economictimes.com/news/defence/army-upgrading-pinaka-rocket-systems-lt-and-tata-bag-contracts/articleshow/126421652.cms</x:v>
      </x:c>
      <x:c r="B213" s="30" t="str">
        <x:v>Larsen &amp; Toubro (L&amp;T)</x:v>
      </x:c>
      <x:c r="C213" s="30" t="str">
        <x:v>B3</x:v>
      </x:c>
      <x:c r="D213" s="30" t="str">
        <x:v>Larsen &amp; Toubro (L&amp;T) — Artillery: Pinaka Launcher / Launcher System</x:v>
      </x:c>
    </x:row>
    <x:row r="214">
      <x:c r="A214" s="30" t="str">
        <x:v>https://m.hanwhaaerospace.com/eng/media/newsroom/view.do?seq=300</x:v>
      </x:c>
      <x:c r="B214" s="30" t="str">
        <x:v>Hanwha (Aerospace/Group)</x:v>
      </x:c>
      <x:c r="C214" s="30" t="str">
        <x:v>B2</x:v>
      </x:c>
      <x:c r="D214" s="30" t="str">
        <x:v>Hanwha (Aerospace/Group) — Artillery: Chunmoo Multiple Rocket Launcher</x:v>
      </x:c>
    </x:row>
    <x:row r="215">
      <x:c r="A215" s="30" t="str">
        <x:v>https://m.hanwhaaerospace.com/eng/whoweare/location/overseas.do</x:v>
      </x:c>
      <x:c r="B215" s="30" t="str">
        <x:v>Hanwha (Aerospace/Group)</x:v>
      </x:c>
      <x:c r="C215" s="30" t="str">
        <x:v>B2</x:v>
      </x:c>
      <x:c r="D215" s="30" t="str">
        <x:v>Hanwha (Aerospace/Group) — company details</x:v>
      </x:c>
    </x:row>
    <x:row r="216">
      <x:c r="A216" s="30" t="str">
        <x:v>https://m.hanwhaaerospace.com/kor/media/newsroom/view.do?seq=583</x:v>
      </x:c>
      <x:c r="B216" s="30" t="str">
        <x:v>Hanwha (Aerospace/Group)</x:v>
      </x:c>
      <x:c r="C216" s="30" t="str">
        <x:v>B2</x:v>
      </x:c>
      <x:c r="D216" s="30" t="str">
        <x:v>Hanwha (Aerospace/Group) — Missiles: L-SAM Anti-Ballistic Missile</x:v>
      </x:c>
    </x:row>
    <x:row r="217">
      <x:c r="A217" s="30" t="str">
        <x:v>https://mags.shephardmedia.com/legacy-handbooks/AVH2022.pdf</x:v>
      </x:c>
      <x:c r="B217" s="30" t="str">
        <x:v>Mahindra Defence</x:v>
      </x:c>
      <x:c r="C217" s="30" t="str">
        <x:v>B3</x:v>
      </x:c>
      <x:c r="D217" s="30" t="str">
        <x:v>Mahindra Defence — Protected Vehicles: Marksman</x:v>
      </x:c>
    </x:row>
    <x:row r="218">
      <x:c r="A218" s="30" t="str">
        <x:v>https://missilethreat.csis.org/missile/brahmos/</x:v>
      </x:c>
      <x:c r="B218" s="30" t="str">
        <x:v>BrahMos Aerospace</x:v>
      </x:c>
      <x:c r="C218" s="30" t="str">
        <x:v>B10</x:v>
      </x:c>
      <x:c r="D218" s="30" t="str">
        <x:v>BrahMos Aerospace — Missiles: BRAHMOS Air-Launched Cruise Missile (ALCM)
BrahMos Aerospace — Missiles: BRAHMOS Land-Based Weapon System
BrahMos Aerospace — Missiles: BRAHMOS Ship-Based Weapon System</x:v>
      </x:c>
    </x:row>
    <x:row r="219">
      <x:c r="A219" s="30" t="str">
        <x:v>https://mt.merics.org/sites/default/files/2024-08/MERICS%20China%20Global%20Competition%20Tracker%20No.%202%202024.pdf</x:v>
      </x:c>
      <x:c r="B219" s="30" t="str">
        <x:v>NORINCO</x:v>
      </x:c>
      <x:c r="C219" s="30" t="str">
        <x:v>B2</x:v>
      </x:c>
      <x:c r="D219" s="30" t="str">
        <x:v>NORINCO — company details</x:v>
      </x:c>
    </x:row>
    <x:row r="220">
      <x:c r="A220" s="30" t="str">
        <x:v>https://munitionsindia.in/wp-content/uploads/1.-English-MIL-04th-Annual-Report-2024-25A.pdf</x:v>
      </x:c>
      <x:c r="B220" s="30" t="str">
        <x:v>Munitions India Ltd (MIL)</x:v>
      </x:c>
      <x:c r="C220" s="30" t="str">
        <x:v>B5</x:v>
      </x:c>
      <x:c r="D220" s="30" t="str">
        <x:v>Munitions India Ltd (MIL) — Ammunition: 120 mm FSAPDS-T
Munitions India Ltd (MIL) — Ammunition: 125 mm FSAPDS-T
Munitions India Ltd (MIL) — Ammunition: 125 mm HE Tank Ammunition
Munitions India Ltd (MIL) — Ammunition: 125 mm HEAT-T
Munitions India Ltd (MIL) — Ammunition: 130 mm HE
Munitions India Ltd (MIL) — Ammunition: 155 mm HE ERFB-BB
Munitions India Ltd (MIL) — Ammunition: 155 mm HE ERFB-BT
Munitions India Ltd (MIL) — Ammunition: 155 mm HE M107
Munitions India Ltd (MIL) — Ammunition: 155 mm HE M77B
Munitions India Ltd (MIL) — Ammunition: 155 mm Illuminating ERFB
Munitions India Ltd (MIL) — Ammunition: 155 mm Screening Smoke ERFB
Munitions India Ltd (MIL) — Ammunition: 5.56×45 mm</x:v>
      </x:c>
    </x:row>
    <x:row r="221">
      <x:c r="A221" s="30" t="str">
        <x:v>https://munitionsindia.in/wp-content/uploads/MIL-Dir-Fin-Position050625.pdf</x:v>
      </x:c>
      <x:c r="B221" s="30" t="str">
        <x:v>Munitions India Ltd (MIL)</x:v>
      </x:c>
      <x:c r="C221" s="30" t="str">
        <x:v>B5</x:v>
      </x:c>
      <x:c r="D221" s="30" t="str">
        <x:v>Munitions India Ltd (MIL) — company details</x:v>
      </x:c>
    </x:row>
    <x:row r="222">
      <x:c r="A222" s="30" t="str">
        <x:v>https://nassco.com/products/construction/government-construction/ship-portfolio/</x:v>
      </x:c>
      <x:c r="B222" s="30" t="str">
        <x:v>General Dynamics</x:v>
      </x:c>
      <x:c r="C222" s="30" t="str">
        <x:v>B2</x:v>
      </x:c>
      <x:c r="D222" s="30" t="str">
        <x:v>General Dynamics — Marine/Naval: Expeditionary Sea Base (ESB)
General Dynamics — Marine/Naval: John Lewis-class Fleet Replenishment Oiler (T-AO)</x:v>
      </x:c>
    </x:row>
    <x:row r="223">
      <x:c r="A223" s="30" t="str">
        <x:v>https://nassco.com/wp-content/uploads/ESB_FactSheet-2020_02.pdf</x:v>
      </x:c>
      <x:c r="B223" s="30" t="str">
        <x:v>General Dynamics</x:v>
      </x:c>
      <x:c r="C223" s="30" t="str">
        <x:v>B2</x:v>
      </x:c>
      <x:c r="D223" s="30" t="str">
        <x:v>General Dynamics — Marine/Naval: Expeditionary Sea Base (ESB)</x:v>
      </x:c>
    </x:row>
    <x:row r="224">
      <x:c r="A224" s="30" t="str">
        <x:v>https://new.diehl.com/defence/en/</x:v>
      </x:c>
      <x:c r="B224" s="30" t="str">
        <x:v>Diehl Defence</x:v>
      </x:c>
      <x:c r="C224" s="30" t="str">
        <x:v>B9</x:v>
      </x:c>
      <x:c r="D224" s="30" t="str">
        <x:v>Diehl Defence — Ammunition: 120 mm Tank Ammunition Portfolio
Diehl Defence — Ammunition: 155 mm Artillery Ammunition Portfolio
Diehl Defence — company details</x:v>
      </x:c>
    </x:row>
    <x:row r="225">
      <x:c r="A225" s="30" t="str">
        <x:v>https://new.diehl.com/defence/en/company/facts-and-figures</x:v>
      </x:c>
      <x:c r="B225" s="30" t="str">
        <x:v>Diehl Defence</x:v>
      </x:c>
      <x:c r="C225" s="30" t="str">
        <x:v>B9</x:v>
      </x:c>
      <x:c r="D225" s="30" t="str">
        <x:v>Diehl Defence — Ammunition: 120 mm Tank Ammunition Portfolio
Diehl Defence — Ammunition: 155 mm Artillery Ammunition Portfolio
Diehl Defence — company details</x:v>
      </x:c>
    </x:row>
    <x:row r="226">
      <x:c r="A226" s="30" t="str">
        <x:v>https://new.diehl.com/defence/en/press-media/news/contracts-for-iris-t-guided-missiles-signed-with-baainbw</x:v>
      </x:c>
      <x:c r="B226" s="30" t="str">
        <x:v>Diehl Defence</x:v>
      </x:c>
      <x:c r="C226" s="30" t="str">
        <x:v>B9</x:v>
      </x:c>
      <x:c r="D226" s="30" t="str">
        <x:v>Diehl Defence — Missiles: IRIS-T SLM</x:v>
      </x:c>
    </x:row>
    <x:row r="227">
      <x:c r="A227" s="30" t="str">
        <x:v>https://new.diehl.com/defence/en/press-media/news/diehl-defence-and-hellenic-defence-systems-renew-partnership-on-iris-t</x:v>
      </x:c>
      <x:c r="B227" s="30" t="str">
        <x:v>Diehl Defence</x:v>
      </x:c>
      <x:c r="C227" s="30" t="str">
        <x:v>B9</x:v>
      </x:c>
      <x:c r="D227" s="30" t="str">
        <x:v>Diehl Defence — Missiles: IRIS-T Air-to-Air Missile</x:v>
      </x:c>
    </x:row>
    <x:row r="228">
      <x:c r="A228" s="30" t="str">
        <x:v>https://new.diehl.com/defence/en/press-media/news/diehl-defence-opens-new-production-building-at-nonnweiler</x:v>
      </x:c>
      <x:c r="B228" s="30" t="str">
        <x:v>Diehl Defence</x:v>
      </x:c>
      <x:c r="C228" s="30" t="str">
        <x:v>B9</x:v>
      </x:c>
      <x:c r="D228" s="30" t="str">
        <x:v>Diehl Defence — company details</x:v>
      </x:c>
    </x:row>
    <x:row r="229">
      <x:c r="A229" s="30" t="str">
        <x:v>https://new.diehl.com/defence/en/press-media/news/diehl-defence-presents-all-in-one-solution-for-air-defence-iris-t-sls-mk4</x:v>
      </x:c>
      <x:c r="B229" s="30" t="str">
        <x:v>Diehl Defence</x:v>
      </x:c>
      <x:c r="C229" s="30" t="str">
        <x:v>B9</x:v>
      </x:c>
      <x:c r="D229" s="30" t="str">
        <x:v>Diehl Defence — Missiles: IRIS-T SLS MK4</x:v>
      </x:c>
    </x:row>
    <x:row r="230">
      <x:c r="A230" s="30" t="str">
        <x:v>https://new.diehl.com/defence/en/products/air-defence-systems/</x:v>
      </x:c>
      <x:c r="B230" s="30" t="str">
        <x:v>Diehl Defence</x:v>
      </x:c>
      <x:c r="C230" s="30" t="str">
        <x:v>B9</x:v>
      </x:c>
      <x:c r="D230" s="30" t="str">
        <x:v>Diehl Defence — Missiles: IRIS-T SLX</x:v>
      </x:c>
    </x:row>
    <x:row r="231">
      <x:c r="A231" s="30" t="str">
        <x:v>https://new.diehl.com/defence/en/products/drone-defence-counter-uas</x:v>
      </x:c>
      <x:c r="B231" s="30" t="str">
        <x:v>Diehl Defence</x:v>
      </x:c>
      <x:c r="C231" s="30" t="str">
        <x:v>B9</x:v>
      </x:c>
      <x:c r="D231" s="30" t="str">
        <x:v>Diehl Defence — Missiles: CICADA eMissile
Diehl Defence — Missiles: IRIS-T SLM</x:v>
      </x:c>
    </x:row>
    <x:row r="232">
      <x:c r="A232" s="30" t="str">
        <x:v>https://new.diehl.com/defence/en/products/guided-missiles/</x:v>
      </x:c>
      <x:c r="B232" s="30" t="str">
        <x:v>Diehl Defence</x:v>
      </x:c>
      <x:c r="C232" s="30" t="str">
        <x:v>B9</x:v>
      </x:c>
      <x:c r="D232" s="30" t="str">
        <x:v>Diehl Defence — Missiles: IDAS Submarine-Launched Missile
Diehl Defence — Missiles: IRIS-T Air-to-Air Missile
Diehl Defence — Missiles: PARS 3 LR</x:v>
      </x:c>
    </x:row>
    <x:row r="233">
      <x:c r="A233" s="30" t="str">
        <x:v>https://new.diehl.com/defence/en/render-tab-content/2511</x:v>
      </x:c>
      <x:c r="B233" s="30" t="str">
        <x:v>Diehl Defence</x:v>
      </x:c>
      <x:c r="C233" s="30" t="str">
        <x:v>B9</x:v>
      </x:c>
      <x:c r="D233" s="30" t="str">
        <x:v>Diehl Defence — Missiles: IRIS-T Air-to-Air Missile</x:v>
      </x:c>
    </x:row>
    <x:row r="234">
      <x:c r="A234" s="30" t="str">
        <x:v>https://new.diehl.com/defence/en/render-tab-content/2526</x:v>
      </x:c>
      <x:c r="B234" s="30" t="str">
        <x:v>Diehl Defence</x:v>
      </x:c>
      <x:c r="C234" s="30" t="str">
        <x:v>B9</x:v>
      </x:c>
      <x:c r="D234" s="30" t="str">
        <x:v>Diehl Defence — Missiles: IRIS-T SLM</x:v>
      </x:c>
    </x:row>
    <x:row r="235">
      <x:c r="A235" s="30" t="str">
        <x:v>https://new.diehl.com/defence/en/render-tab-content/31766</x:v>
      </x:c>
      <x:c r="B235" s="30" t="str">
        <x:v>Diehl Defence</x:v>
      </x:c>
      <x:c r="C235" s="30" t="str">
        <x:v>B9</x:v>
      </x:c>
      <x:c r="D235" s="30" t="str">
        <x:v>Diehl Defence — Missiles: IRIS-T SLS</x:v>
      </x:c>
    </x:row>
    <x:row r="236">
      <x:c r="A236" s="30" t="str">
        <x:v>https://new.diehl.com/defence/en/render-tab-content/31822</x:v>
      </x:c>
      <x:c r="B236" s="30" t="str">
        <x:v>Diehl Defence</x:v>
      </x:c>
      <x:c r="C236" s="30" t="str">
        <x:v>B9</x:v>
      </x:c>
      <x:c r="D236" s="30" t="str">
        <x:v>Diehl Defence — Missiles: IRIS-T SLX</x:v>
      </x:c>
    </x:row>
    <x:row r="237">
      <x:c r="A237" s="30" t="str">
        <x:v>https://new.diehl.com/defence/en/render-tab-content/31902</x:v>
      </x:c>
      <x:c r="B237" s="30" t="str">
        <x:v>Diehl Defence</x:v>
      </x:c>
      <x:c r="C237" s="30" t="str">
        <x:v>B9</x:v>
      </x:c>
      <x:c r="D237" s="30" t="str">
        <x:v>Diehl Defence — Missiles: IRIS-T SLS MK4</x:v>
      </x:c>
    </x:row>
    <x:row r="238">
      <x:c r="A238" s="30" t="str">
        <x:v>https://newsnviews.larsentoubro.com/Lists/Article/DispForm.aspx?ContentTypeId=0x0100EF455C4C063A584F87C6890804F21B42&amp;ID=807</x:v>
      </x:c>
      <x:c r="B238" s="30" t="str">
        <x:v>Larsen &amp; Toubro (L&amp;T)</x:v>
      </x:c>
      <x:c r="C238" s="30" t="str">
        <x:v>B3</x:v>
      </x:c>
      <x:c r="D238" s="30" t="str">
        <x:v>Larsen &amp; Toubro (L&amp;T) — Missiles: Nag missile carrier
Larsen &amp; Toubro (L&amp;T) — Missiles: Trishul launcher</x:v>
      </x:c>
    </x:row>
    <x:row r="239">
      <x:c r="A239" s="30" t="str">
        <x:v>https://newsnviews.larsentoubro.com/Lists/Posts/Post.aspx?ID=446</x:v>
      </x:c>
      <x:c r="B239" s="30" t="str">
        <x:v>Larsen &amp; Toubro (L&amp;T)</x:v>
      </x:c>
      <x:c r="C239" s="30" t="str">
        <x:v>B3</x:v>
      </x:c>
      <x:c r="D239" s="30" t="str">
        <x:v>Larsen &amp; Toubro (L&amp;T) — Marine/Naval: P7 Heavy Drop Platform System
Larsen &amp; Toubro (L&amp;T) — Marine/Naval: Rail-less Helicopter Traversing System (RHTS)</x:v>
      </x:c>
    </x:row>
    <x:row r="240">
      <x:c r="A240" s="30" t="str">
        <x:v>https://nsearchives.nseindia.com/annual_reports/AR_28827_PREMEXPLN_2024_2025_A_1627996_06092025194124.pdf</x:v>
      </x:c>
      <x:c r="B240" s="30" t="str">
        <x:v>Premier Explosives</x:v>
      </x:c>
      <x:c r="C240" s="30" t="str">
        <x:v>B10</x:v>
      </x:c>
      <x:c r="D240" s="30" t="str">
        <x:v>Premier Explosives — Ammunition: Agni Strategic Pyrogen Igniter / Daisy-II Motor
Premier Explosives — Ammunition: Air Target Imitator Rocket / Motor
Premier Explosives — Ammunition: Akash Booster &amp; Sustainer Grains
Premier Explosives — Ammunition: Astra Solid Propellant
Premier Explosives — Ammunition: BrahMos Solid-Propellant Booster Material
Premier Explosives — Ammunition: Chaff &amp; IR Flare Countermeasure Ammunition
Premier Explosives — Ammunition: LRSAM Solid Propellant
Premier Explosives — Ammunition: MRSAM Solid Propellant
Premier Explosives — Ammunition: Pinaka Mk-I Rocket
Premier Explosives — Ammunition: Pinaka Mk-II Rocket
Premier Explosives — Ammunition: QRSAM / NGARM Solid Propellant Family
Premier Explosives — Ammunition: Sledge Rocket Motor</x:v>
      </x:c>
    </x:row>
    <x:row r="241">
      <x:c r="A241" s="30" t="str">
        <x:v>https://nsearchives.nseindia.com/annual_reports/AR_29299_ADANIENT_2025_2026_A_17942605_29052026223750.pdf</x:v>
      </x:c>
      <x:c r="B241" s="30" t="str">
        <x:v>Adani Defence</x:v>
      </x:c>
      <x:c r="C241" s="30" t="str">
        <x:v>B10</x:v>
      </x:c>
      <x:c r="D241" s="30" t="str">
        <x:v>Adani Defence — Artillery: Aryan 52 Mounted Gun System</x:v>
      </x:c>
    </x:row>
    <x:row r="242">
      <x:c r="A242" s="30" t="str">
        <x:v>https://nsearchives.nseindia.com/corporate/SOLARINDS_05092025104330_signedrevisedtrasncript1234566.pdf</x:v>
      </x:c>
      <x:c r="B242" s="30" t="str">
        <x:v>Solar Industries</x:v>
      </x:c>
      <x:c r="C242" s="30" t="str">
        <x:v>B10</x:v>
      </x:c>
      <x:c r="D242" s="30" t="str">
        <x:v>Solar Industries — UAVs/Drones: Rudrastra
Solar Industries — Missiles: Bhargavastra Counter-Drone Micro-Missile System</x:v>
      </x:c>
    </x:row>
    <x:row r="243">
      <x:c r="A243" s="30" t="str">
        <x:v>https://nsearchives.nseindia.com/corporate/SOLARINDS_06022025210738_pinaka12344sd1.pdf</x:v>
      </x:c>
      <x:c r="B243" s="30" t="str">
        <x:v>Solar Industries</x:v>
      </x:c>
      <x:c r="C243" s="30" t="str">
        <x:v>B10</x:v>
      </x:c>
      <x:c r="D243" s="30" t="str">
        <x:v>Solar Industries — Ammunition: Guided Pinaka Rocket
Solar Industries — Ammunition: Pinaka HEPF Mk-I (Enhanced) Rocket
Solar Industries — Ammunition: Pinaka Mk-I Rocket
Solar Industries — UAVs/Drones: NAGASTRA-1</x:v>
      </x:c>
    </x:row>
    <x:row r="244">
      <x:c r="A244" s="30" t="str">
        <x:v>https://odin.t2com.army.mil/WEG/Asset/2d16a930236b99e7af6ca4fd504e8bc6</x:v>
      </x:c>
      <x:c r="B244" s="30" t="str">
        <x:v>Hanwha (Aerospace/Group)</x:v>
      </x:c>
      <x:c r="C244" s="30" t="str">
        <x:v>B2</x:v>
      </x:c>
      <x:c r="D244" s="30" t="str">
        <x:v>Hanwha (Aerospace/Group) — Artillery: K9 Thunder</x:v>
      </x:c>
    </x:row>
    <x:row r="245">
      <x:c r="A245" s="30" t="str">
        <x:v>https://odin.t2com.army.mil/WEG/Asset/8011f1c0abea03f72a80034fa8a17630</x:v>
      </x:c>
      <x:c r="B245" s="30" t="str">
        <x:v>Rheinmetall, UVision Air</x:v>
      </x:c>
      <x:c r="C245" s="30" t="str">
        <x:v>B2, B10</x:v>
      </x:c>
      <x:c r="D245" s="30" t="str">
        <x:v>UVision Air — UAVs/Drones: HERO 30
Rheinmetall — appendix: HERO 30</x:v>
      </x:c>
    </x:row>
    <x:row r="246">
      <x:c r="A246" s="30" t="str">
        <x:v>https://odin.t2com.army.mil/WEG/Asset/Hermes_900_Israeli_Unmanned_Aerial_Vehicle_%28UAV%29</x:v>
      </x:c>
      <x:c r="B246" s="30" t="str">
        <x:v>Elbit Systems</x:v>
      </x:c>
      <x:c r="C246" s="30" t="str">
        <x:v>B2</x:v>
      </x:c>
      <x:c r="D246" s="30" t="str">
        <x:v>Elbit Systems — UAVs/Drones: Hermes 900</x:v>
      </x:c>
    </x:row>
    <x:row r="247">
      <x:c r="A247" s="30" t="str">
        <x:v>https://odin.t2com.army.mil/WEG/Asset/PCL-181_</x:v>
      </x:c>
      <x:c r="B247" s="30" t="str">
        <x:v>NORINCO</x:v>
      </x:c>
      <x:c r="C247" s="30" t="str">
        <x:v>B2</x:v>
      </x:c>
      <x:c r="D247" s="30" t="str">
        <x:v>NORINCO — Artillery: SH15 / PCL-181 155 mm Wheeled Howitzer</x:v>
      </x:c>
    </x:row>
    <x:row r="248">
      <x:c r="A248" s="30" t="str">
        <x:v>https://odin.t2com.army.mil/WEG/Asset/QJY-88_Chinese_5.8mm_Light_Machine_Gun</x:v>
      </x:c>
      <x:c r="B248" s="30" t="str">
        <x:v>NORINCO</x:v>
      </x:c>
      <x:c r="C248" s="30" t="str">
        <x:v>B2</x:v>
      </x:c>
      <x:c r="D248" s="30" t="str">
        <x:v>NORINCO — Small Arms: QJY-88 5.8 mm Machine Gun</x:v>
      </x:c>
    </x:row>
    <x:row r="249">
      <x:c r="A249" s="30" t="str">
        <x:v>https://odin.t2com.army.mil/WEG/Asset/a912aa8b360f636e3d7e63a7534f1ad6</x:v>
      </x:c>
      <x:c r="B249" s="30" t="str">
        <x:v>Hanwha (Aerospace/Group)</x:v>
      </x:c>
      <x:c r="C249" s="30" t="str">
        <x:v>B2</x:v>
      </x:c>
      <x:c r="D249" s="30" t="str">
        <x:v>Hanwha (Aerospace/Group) — Artillery: Chunmoo Multiple Rocket Launcher</x:v>
      </x:c>
    </x:row>
    <x:row r="250">
      <x:c r="A250" s="30" t="str">
        <x:v>https://odin.t2com.army.mil/WEG/Asset/fed0b32b6f13e8a5bd11956163fbb7d5</x:v>
      </x:c>
      <x:c r="B250" s="30" t="str">
        <x:v>NORINCO</x:v>
      </x:c>
      <x:c r="C250" s="30" t="str">
        <x:v>B2</x:v>
      </x:c>
      <x:c r="D250" s="30" t="str">
        <x:v>NORINCO — Artillery: AH4 155 mm Lightweight Howitzer</x:v>
      </x:c>
    </x:row>
    <x:row r="251">
      <x:c r="A251" s="30" t="str">
        <x:v>https://oshkoshdefense.com/about/leadership/</x:v>
      </x:c>
      <x:c r="B251" s="30" t="str">
        <x:v>Oshkosh Defense</x:v>
      </x:c>
      <x:c r="C251" s="30" t="str">
        <x:v>B5</x:v>
      </x:c>
      <x:c r="D251" s="30" t="str">
        <x:v>Oshkosh Defense — company details</x:v>
      </x:c>
    </x:row>
    <x:row r="252">
      <x:c r="A252" s="30" t="str">
        <x:v>https://oshkoshdefense.com/leadership/steve-nordlund/</x:v>
      </x:c>
      <x:c r="B252" s="30" t="str">
        <x:v>Oshkosh Defense</x:v>
      </x:c>
      <x:c r="C252" s="30" t="str">
        <x:v>B5</x:v>
      </x:c>
      <x:c r="D252" s="30" t="str">
        <x:v>Oshkosh Defense — company details</x:v>
      </x:c>
    </x:row>
    <x:row r="253">
      <x:c r="A253" s="30" t="str">
        <x:v>https://oshkoshdefense.com/medium-caliber-weapon-system-mcws/</x:v>
      </x:c>
      <x:c r="B253" s="30" t="str">
        <x:v>Oshkosh Defense</x:v>
      </x:c>
      <x:c r="C253" s="30" t="str">
        <x:v>B5</x:v>
      </x:c>
      <x:c r="D253" s="30" t="str">
        <x:v>Oshkosh Defense — Protected Vehicles: Stryker Medium Caliber Weapon System (MCWS)</x:v>
      </x:c>
    </x:row>
    <x:row r="254">
      <x:c r="A254" s="30" t="str">
        <x:v>https://oshkoshdefense.com/oshkosh-defense-marks-10-years-of-het-service-to-the-u-k-mod/</x:v>
      </x:c>
      <x:c r="B254" s="30" t="str">
        <x:v>Oshkosh Defense</x:v>
      </x:c>
      <x:c r="C254" s="30" t="str">
        <x:v>B5</x:v>
      </x:c>
      <x:c r="D254" s="30" t="str">
        <x:v>Oshkosh Defense — Protected Vehicles: HET A1 / M1070</x:v>
      </x:c>
    </x:row>
    <x:row r="255">
      <x:c r="A255" s="30" t="str">
        <x:v>https://oshkoshdefense.com/oshkosh-defense-to-bolster-the-u-s-marine-corps-heavy-fleet/</x:v>
      </x:c>
      <x:c r="B255" s="30" t="str">
        <x:v>Oshkosh Defense</x:v>
      </x:c>
      <x:c r="C255" s="30" t="str">
        <x:v>B5</x:v>
      </x:c>
      <x:c r="D255" s="30" t="str">
        <x:v>Oshkosh Defense — Protected Vehicles: LVSR</x:v>
      </x:c>
    </x:row>
    <x:row r="256">
      <x:c r="A256" s="30" t="str">
        <x:v>https://oshkoshdefense.com/vehicles/</x:v>
      </x:c>
      <x:c r="B256" s="30" t="str">
        <x:v>Oshkosh Defense</x:v>
      </x:c>
      <x:c r="C256" s="30" t="str">
        <x:v>B5</x:v>
      </x:c>
      <x:c r="D256" s="30" t="str">
        <x:v>Oshkosh Defense — Protected Vehicles: M-ATV Standard</x:v>
      </x:c>
    </x:row>
    <x:row r="257">
      <x:c r="A257" s="30" t="str">
        <x:v>https://oshkoshdefense.com/vehicles/heavy-tactical-vehicles/hemtt-a4/</x:v>
      </x:c>
      <x:c r="B257" s="30" t="str">
        <x:v>Oshkosh Defense</x:v>
      </x:c>
      <x:c r="C257" s="30" t="str">
        <x:v>B5</x:v>
      </x:c>
      <x:c r="D257" s="30" t="str">
        <x:v>Oshkosh Defense — Protected Vehicles: HEMTT A4</x:v>
      </x:c>
    </x:row>
    <x:row r="258">
      <x:c r="A258" s="30" t="str">
        <x:v>https://oshkoshdefense.com/vehicles/heavy-tactical-vehicles/hemtt/</x:v>
      </x:c>
      <x:c r="B258" s="30" t="str">
        <x:v>Oshkosh Defense</x:v>
      </x:c>
      <x:c r="C258" s="30" t="str">
        <x:v>B5</x:v>
      </x:c>
      <x:c r="D258" s="30" t="str">
        <x:v>Oshkosh Defense — Protected Vehicles: HEMTT A4</x:v>
      </x:c>
    </x:row>
    <x:row r="259">
      <x:c r="A259" s="30" t="str">
        <x:v>https://oshkoshdefense.com/vehicles/heavy-tactical-vehicles/het/</x:v>
      </x:c>
      <x:c r="B259" s="30" t="str">
        <x:v>Oshkosh Defense</x:v>
      </x:c>
      <x:c r="C259" s="30" t="str">
        <x:v>B5</x:v>
      </x:c>
      <x:c r="D259" s="30" t="str">
        <x:v>Oshkosh Defense — Protected Vehicles: HET A1 / M1070</x:v>
      </x:c>
    </x:row>
    <x:row r="260">
      <x:c r="A260" s="30" t="str">
        <x:v>https://oshkoshdefense.com/vehicles/heavy-tactical-vehicles/lvsr/</x:v>
      </x:c>
      <x:c r="B260" s="30" t="str">
        <x:v>Oshkosh Defense</x:v>
      </x:c>
      <x:c r="C260" s="30" t="str">
        <x:v>B5</x:v>
      </x:c>
      <x:c r="D260" s="30" t="str">
        <x:v>Oshkosh Defense — Protected Vehicles: LVSR</x:v>
      </x:c>
    </x:row>
    <x:row r="261">
      <x:c r="A261" s="30" t="str">
        <x:v>https://oshkoshdefense.com/vehicles/heavy-tactical-vehicles/pls-a1/</x:v>
      </x:c>
      <x:c r="B261" s="30" t="str">
        <x:v>Oshkosh Defense</x:v>
      </x:c>
      <x:c r="C261" s="30" t="str">
        <x:v>B5</x:v>
      </x:c>
      <x:c r="D261" s="30" t="str">
        <x:v>Oshkosh Defense — Protected Vehicles: PLS A1</x:v>
      </x:c>
    </x:row>
    <x:row r="262">
      <x:c r="A262" s="30" t="str">
        <x:v>https://oshkoshdefense.com/vehicles/light-tactical-vehicles/jltv/</x:v>
      </x:c>
      <x:c r="B262" s="30" t="str">
        <x:v>Oshkosh Defense</x:v>
      </x:c>
      <x:c r="C262" s="30" t="str">
        <x:v>B5</x:v>
      </x:c>
      <x:c r="D262" s="30" t="str">
        <x:v>Oshkosh Defense — Protected Vehicles: JLTV</x:v>
      </x:c>
    </x:row>
    <x:row r="263">
      <x:c r="A263" s="30" t="str">
        <x:v>https://oshkoshdefense.com/vehicles/light-tactical-vehicles/m-atv/</x:v>
      </x:c>
      <x:c r="B263" s="30" t="str">
        <x:v>Oshkosh Defense</x:v>
      </x:c>
      <x:c r="C263" s="30" t="str">
        <x:v>B5</x:v>
      </x:c>
      <x:c r="D263" s="30" t="str">
        <x:v>Oshkosh Defense — Protected Vehicles: M-ATV Standard</x:v>
      </x:c>
    </x:row>
    <x:row r="264">
      <x:c r="A264" s="30" t="str">
        <x:v>https://oshkoshdefense.com/vehicles/medium-tactical-vehicles/fmtv-a2/</x:v>
      </x:c>
      <x:c r="B264" s="30" t="str">
        <x:v>Oshkosh Defense</x:v>
      </x:c>
      <x:c r="C264" s="30" t="str">
        <x:v>B5</x:v>
      </x:c>
      <x:c r="D264" s="30" t="str">
        <x:v>Oshkosh Defense — Protected Vehicles: FMTV A2 Family</x:v>
      </x:c>
    </x:row>
    <x:row r="265">
      <x:c r="A265" s="30" t="str">
        <x:v>https://oshkoshdefense.com/wp-content/uploads/2018/12/17305_FMTV_Cargo_SS-A4size_LowRes_4.15.2015.pdf</x:v>
      </x:c>
      <x:c r="B265" s="30" t="str">
        <x:v>Oshkosh Defense</x:v>
      </x:c>
      <x:c r="C265" s="30" t="str">
        <x:v>B5</x:v>
      </x:c>
      <x:c r="D265" s="30" t="str">
        <x:v>Oshkosh Defense — Protected Vehicles: FMTV A2 Family</x:v>
      </x:c>
    </x:row>
    <x:row r="266">
      <x:c r="A266" s="30" t="str">
        <x:v>https://oshkoshdefense.com/wp-content/uploads/2018/12/17313_HEMTT-A4-LET_LowRes_4.29.2015.pdf</x:v>
      </x:c>
      <x:c r="B266" s="30" t="str">
        <x:v>Oshkosh Defense</x:v>
      </x:c>
      <x:c r="C266" s="30" t="str">
        <x:v>B5</x:v>
      </x:c>
      <x:c r="D266" s="30" t="str">
        <x:v>Oshkosh Defense — Protected Vehicles: HEMTT A4</x:v>
      </x:c>
    </x:row>
    <x:row r="267">
      <x:c r="A267" s="30" t="str">
        <x:v>https://oshkoshdefense.com/wp-content/uploads/2021/05/2021OverviewBooklet_DigitalFinal_Spreads_01272021-compressed.pdf</x:v>
      </x:c>
      <x:c r="B267" s="30" t="str">
        <x:v>Oshkosh Defense</x:v>
      </x:c>
      <x:c r="C267" s="30" t="str">
        <x:v>B5</x:v>
      </x:c>
      <x:c r="D267" s="30" t="str">
        <x:v>Oshkosh Defense — Protected Vehicles: FMTV A2 Family</x:v>
      </x:c>
    </x:row>
    <x:row r="268">
      <x:c r="A268" s="30" t="str">
        <x:v>https://paramountgroup.com/capabilities/border-security/</x:v>
      </x:c>
      <x:c r="B268" s="30" t="str">
        <x:v>Paramount Group</x:v>
      </x:c>
      <x:c r="C268" s="30" t="str">
        <x:v>B4</x:v>
      </x:c>
      <x:c r="D268" s="30" t="str">
        <x:v>Paramount Group — Protected Vehicles: Mbombe 4</x:v>
      </x:c>
    </x:row>
    <x:row r="269">
      <x:c r="A269" s="30" t="str">
        <x:v>https://paramountgroup.com/capabilities/land/</x:v>
      </x:c>
      <x:c r="B269" s="30" t="str">
        <x:v>Paramount Group</x:v>
      </x:c>
      <x:c r="C269" s="30" t="str">
        <x:v>B4</x:v>
      </x:c>
      <x:c r="D269" s="30" t="str">
        <x:v>Paramount Group — Protected Vehicles: Maatla
Paramount Group — Protected Vehicles: Marauder
Paramount Group — Protected Vehicles: Matador</x:v>
      </x:c>
    </x:row>
    <x:row r="270">
      <x:c r="A270" s="30" t="str">
        <x:v>https://paramountgroup.com/capabilities/land/marauder</x:v>
      </x:c>
      <x:c r="B270" s="30" t="str">
        <x:v>Paramount Group</x:v>
      </x:c>
      <x:c r="C270" s="30" t="str">
        <x:v>B4</x:v>
      </x:c>
      <x:c r="D270" s="30" t="str">
        <x:v>Paramount Group — Protected Vehicles: Marauder</x:v>
      </x:c>
    </x:row>
    <x:row r="271">
      <x:c r="A271" s="30" t="str">
        <x:v>https://paramountgroup.com/capabilities/land/marauder/</x:v>
      </x:c>
      <x:c r="B271" s="30" t="str">
        <x:v>Paramount Group</x:v>
      </x:c>
      <x:c r="C271" s="30" t="str">
        <x:v>B4</x:v>
      </x:c>
      <x:c r="D271" s="30" t="str">
        <x:v>Paramount Group — Protected Vehicles: Marauder</x:v>
      </x:c>
    </x:row>
    <x:row r="272">
      <x:c r="A272" s="30" t="str">
        <x:v>https://paramountgroup.com/capabilities/land/maverick/</x:v>
      </x:c>
      <x:c r="B272" s="30" t="str">
        <x:v>Paramount Group</x:v>
      </x:c>
      <x:c r="C272" s="30" t="str">
        <x:v>B4</x:v>
      </x:c>
      <x:c r="D272" s="30" t="str">
        <x:v>Paramount Group — Protected Vehicles: Maverick</x:v>
      </x:c>
    </x:row>
    <x:row r="273">
      <x:c r="A273" s="30" t="str">
        <x:v>https://paramountgroup.com/capabilities/land/mbombe-4/</x:v>
      </x:c>
      <x:c r="B273" s="30" t="str">
        <x:v>Paramount Group</x:v>
      </x:c>
      <x:c r="C273" s="30" t="str">
        <x:v>B4</x:v>
      </x:c>
      <x:c r="D273" s="30" t="str">
        <x:v>Paramount Group — Protected Vehicles: Mbombe 4</x:v>
      </x:c>
    </x:row>
    <x:row r="274">
      <x:c r="A274" s="30" t="str">
        <x:v>https://paramountgroup.com/capabilities/land/mbombe-6/</x:v>
      </x:c>
      <x:c r="B274" s="30" t="str">
        <x:v>Paramount Group</x:v>
      </x:c>
      <x:c r="C274" s="30" t="str">
        <x:v>B4</x:v>
      </x:c>
      <x:c r="D274" s="30" t="str">
        <x:v>Paramount Group — Protected Vehicles: Mbombe 6</x:v>
      </x:c>
    </x:row>
    <x:row r="275">
      <x:c r="A275" s="30" t="str">
        <x:v>https://paramountgroup.com/capabilities/land/mbombe-8/</x:v>
      </x:c>
      <x:c r="B275" s="30" t="str">
        <x:v>Paramount Group</x:v>
      </x:c>
      <x:c r="C275" s="30" t="str">
        <x:v>B4</x:v>
      </x:c>
      <x:c r="D275" s="30" t="str">
        <x:v>Paramount Group — Protected Vehicles: Mbombe 8</x:v>
      </x:c>
    </x:row>
    <x:row r="276">
      <x:c r="A276" s="30" t="str">
        <x:v>https://paramountgroup.com/capabilities/sea/14m-guardian/</x:v>
      </x:c>
      <x:c r="B276" s="30" t="str">
        <x:v>Paramount Group</x:v>
      </x:c>
      <x:c r="C276" s="30" t="str">
        <x:v>B4</x:v>
      </x:c>
      <x:c r="D276" s="30" t="str">
        <x:v>Paramount Group — Marine/Naval: 14 m Guardian</x:v>
      </x:c>
    </x:row>
    <x:row r="277">
      <x:c r="A277" s="30" t="str">
        <x:v>https://paramountgroup.com/capabilities/sea/42m-frontier/</x:v>
      </x:c>
      <x:c r="B277" s="30" t="str">
        <x:v>Paramount Group</x:v>
      </x:c>
      <x:c r="C277" s="30" t="str">
        <x:v>B4</x:v>
      </x:c>
      <x:c r="D277" s="30" t="str">
        <x:v>Paramount Group — Marine/Naval: 42 m Frontier</x:v>
      </x:c>
    </x:row>
    <x:row r="278">
      <x:c r="A278" s="30" t="str">
        <x:v>https://paramountgroup.com/capabilities/sea/42m-trimaran/</x:v>
      </x:c>
      <x:c r="B278" s="30" t="str">
        <x:v>Paramount Group</x:v>
      </x:c>
      <x:c r="C278" s="30" t="str">
        <x:v>B4</x:v>
      </x:c>
      <x:c r="D278" s="30" t="str">
        <x:v>Paramount Group — Marine/Naval: 42 m Trimaran</x:v>
      </x:c>
    </x:row>
    <x:row r="279">
      <x:c r="A279" s="30" t="str">
        <x:v>https://paramountgroup.com/capabilities/sea/58m-frontier/</x:v>
      </x:c>
      <x:c r="B279" s="30" t="str">
        <x:v>Paramount Group</x:v>
      </x:c>
      <x:c r="C279" s="30" t="str">
        <x:v>B4</x:v>
      </x:c>
      <x:c r="D279" s="30" t="str">
        <x:v>Paramount Group — Marine/Naval: 58 m Frontier</x:v>
      </x:c>
    </x:row>
    <x:row r="280">
      <x:c r="A280" s="30" t="str">
        <x:v>https://paramountgroup.com/media/news/mbombe-4-launch/</x:v>
      </x:c>
      <x:c r="B280" s="30" t="str">
        <x:v>Paramount Group</x:v>
      </x:c>
      <x:c r="C280" s="30" t="str">
        <x:v>B4</x:v>
      </x:c>
      <x:c r="D280" s="30" t="str">
        <x:v>Paramount Group — Protected Vehicles: Mbombe 4</x:v>
      </x:c>
    </x:row>
    <x:row r="281">
      <x:c r="A281" s="30" t="str">
        <x:v>https://paramountgroup.com/media/news/paramount-group-launches-long-range-swarming-uav-system/</x:v>
      </x:c>
      <x:c r="B281" s="30" t="str">
        <x:v>Paramount Group</x:v>
      </x:c>
      <x:c r="C281" s="30" t="str">
        <x:v>B4</x:v>
      </x:c>
      <x:c r="D281" s="30" t="str">
        <x:v>Paramount Group — UAVs/Drones: N-Raven Loitering Munition</x:v>
      </x:c>
    </x:row>
    <x:row r="282">
      <x:c r="A282" s="30" t="str">
        <x:v>https://paramountgroup.com/media/news/paramount-group-unveils-family-of-highly-advanced-infantry-combat-vehicles-at-aad-2016</x:v>
      </x:c>
      <x:c r="B282" s="30" t="str">
        <x:v>Paramount Group</x:v>
      </x:c>
      <x:c r="C282" s="30" t="str">
        <x:v>B4</x:v>
      </x:c>
      <x:c r="D282" s="30" t="str">
        <x:v>Paramount Group — Protected Vehicles: Marauder
Paramount Group — Protected Vehicles: Mbombe 8</x:v>
      </x:c>
    </x:row>
    <x:row r="283">
      <x:c r="A283" s="30" t="str">
        <x:v>https://poongsan.co.kr/en/include/images/ir/2024_Annual_Report%28F%29.pdf</x:v>
      </x:c>
      <x:c r="B283" s="30" t="str">
        <x:v>Poongsan</x:v>
      </x:c>
      <x:c r="C283" s="30" t="str">
        <x:v>B6</x:v>
      </x:c>
      <x:c r="D283" s="30" t="str">
        <x:v>Poongsan — Ammunition: 105 mm Howitzer Ammunition
Poongsan — Ammunition: 105 mm Tank Ammunition
Poongsan — Ammunition: 155 mm Howitzer Ammunition
Poongsan — Ammunition: 8-inch / 203 mm Howitzer Projectile Family</x:v>
      </x:c>
    </x:row>
    <x:row r="284">
      <x:c r="A284" s="30" t="str">
        <x:v>https://poongsan.co.kr/en/product/special/overview</x:v>
      </x:c>
      <x:c r="B284" s="30" t="str">
        <x:v>Poongsan</x:v>
      </x:c>
      <x:c r="C284" s="30" t="str">
        <x:v>B6</x:v>
      </x:c>
      <x:c r="D284" s="30" t="str">
        <x:v>Poongsan — Ammunition: 105 mm Howitzer Ammunition
Poongsan — Ammunition: 12.7×99 mm
Poongsan — Ammunition: 5.56×45 mm
Poongsan — Ammunition: MLRS Warhead / Submunition Assemblies
Poongsan — Ammunition: Pistol &amp; Revolver Ammunition</x:v>
      </x:c>
    </x:row>
    <x:row r="285">
      <x:c r="A285" s="30" t="str">
        <x:v>https://raksha-anirveda.com/aweil-focuses-on-modern-weapons-rd-growth/</x:v>
      </x:c>
      <x:c r="B285" s="30" t="str">
        <x:v>AWEIL</x:v>
      </x:c>
      <x:c r="C285" s="30" t="str">
        <x:v>B1</x:v>
      </x:c>
      <x:c r="D285" s="30" t="str">
        <x:v>AWEIL — Marine/Naval: 12.7 mm Stabilised Remote Control Gun (SRCG)</x:v>
      </x:c>
    </x:row>
    <x:row r="286">
      <x:c r="A286" s="30" t="str">
        <x:v>https://rdl.train.army.mil/catalog-ws/view/100.ATSC/58016C43-60DA-41F3-8B76-72536FC5B799-1376939376712/tc_3-22x37.pdf</x:v>
      </x:c>
      <x:c r="B286" s="30" t="str">
        <x:v>Lockheed Martin</x:v>
      </x:c>
      <x:c r="C286" s="30" t="str">
        <x:v>B8</x:v>
      </x:c>
      <x:c r="D286" s="30" t="str">
        <x:v>Lockheed Martin — Missiles: Javelin FGM-148</x:v>
      </x:c>
    </x:row>
    <x:row r="287">
      <x:c r="A287" s="30" t="str">
        <x:v>https://roe.ru/catalog/sukhoputnye-vosyka/strelkovoe-oruzhie/avtomaty/ak-15/</x:v>
      </x:c>
      <x:c r="B287" s="30" t="str">
        <x:v>Kalashnikov Concern</x:v>
      </x:c>
      <x:c r="C287" s="30" t="str">
        <x:v>B5</x:v>
      </x:c>
      <x:c r="D287" s="30" t="str">
        <x:v>Kalashnikov Concern — Small Arms: AK-15</x:v>
      </x:c>
    </x:row>
    <x:row r="288">
      <x:c r="A288" s="30" t="str">
        <x:v>https://roe.ru/eng/catalog/aerospace-systems/air-to-surface-missiles/vikhr-1/</x:v>
      </x:c>
      <x:c r="B288" s="30" t="str">
        <x:v>Kalashnikov Concern</x:v>
      </x:c>
      <x:c r="C288" s="30" t="str">
        <x:v>B5</x:v>
      </x:c>
      <x:c r="D288" s="30" t="str">
        <x:v>Kalashnikov Concern — Missiles: 9K121 Vikhr-1 Air-Launched ATGM</x:v>
      </x:c>
    </x:row>
    <x:row r="289">
      <x:c r="A289" s="30" t="str">
        <x:v>https://roe.ru/eng/catalog/aerospace-systems/uavs/kub-e/</x:v>
      </x:c>
      <x:c r="B289" s="30" t="str">
        <x:v>Kalashnikov Concern</x:v>
      </x:c>
      <x:c r="C289" s="30" t="str">
        <x:v>B5</x:v>
      </x:c>
      <x:c r="D289" s="30" t="str">
        <x:v>Kalashnikov Concern — UAVs/Drones: KUB-E Loitering Munition</x:v>
      </x:c>
    </x:row>
    <x:row r="290">
      <x:c r="A290" s="30" t="str">
        <x:v>https://roe.ru/eng/catalog/aerospace-systems/uavs/lancet-e/</x:v>
      </x:c>
      <x:c r="B290" s="30" t="str">
        <x:v>Kalashnikov Concern</x:v>
      </x:c>
      <x:c r="C290" s="30" t="str">
        <x:v>B5</x:v>
      </x:c>
      <x:c r="D290" s="30" t="str">
        <x:v>Kalashnikov Concern — UAVs/Drones: Lancet-E Loitering-Munition System</x:v>
      </x:c>
    </x:row>
    <x:row r="291">
      <x:c r="A291" s="30" t="str">
        <x:v>https://roe.ru/eng/catalog/land-forces/small-arms/assault-rifles/ak-308/</x:v>
      </x:c>
      <x:c r="B291" s="30" t="str">
        <x:v>Kalashnikov Concern</x:v>
      </x:c>
      <x:c r="C291" s="30" t="str">
        <x:v>B5</x:v>
      </x:c>
      <x:c r="D291" s="30" t="str">
        <x:v>Kalashnikov Concern — Small Arms: AK-308</x:v>
      </x:c>
    </x:row>
    <x:row r="292">
      <x:c r="A292" s="30" t="str">
        <x:v>https://roe.ru/eng/catalog/land-forces/small-arms/machine-guns/rpl-20/</x:v>
      </x:c>
      <x:c r="B292" s="30" t="str">
        <x:v>Kalashnikov Concern</x:v>
      </x:c>
      <x:c r="C292" s="30" t="str">
        <x:v>B5</x:v>
      </x:c>
      <x:c r="D292" s="30" t="str">
        <x:v>Kalashnikov Concern — Small Arms: RPL-20</x:v>
      </x:c>
    </x:row>
    <x:row r="293">
      <x:c r="A293" s="30" t="str">
        <x:v>https://roe.ru/eng/catalog/land-forces/small-arms/sniper-rifles/svch/</x:v>
      </x:c>
      <x:c r="B293" s="30" t="str">
        <x:v>Kalashnikov Concern</x:v>
      </x:c>
      <x:c r="C293" s="30" t="str">
        <x:v>B5</x:v>
      </x:c>
      <x:c r="D293" s="30" t="str">
        <x:v>Kalashnikov Concern — Small Arms: SVCh Chukavin Sniper Rifle</x:v>
      </x:c>
    </x:row>
    <x:row r="294">
      <x:c r="A294" s="30" t="str">
        <x:v>https://roe.ru/eng/catalog/land-forces/small-arms/submachine-guns/ppk-20/</x:v>
      </x:c>
      <x:c r="B294" s="30" t="str">
        <x:v>Kalashnikov Concern</x:v>
      </x:c>
      <x:c r="C294" s="30" t="str">
        <x:v>B5</x:v>
      </x:c>
      <x:c r="D294" s="30" t="str">
        <x:v>Kalashnikov Concern — Small Arms: PPK-20</x:v>
      </x:c>
    </x:row>
    <x:row r="295">
      <x:c r="A295" s="30" t="str">
        <x:v>https://roe.ru/pdfs/pdf_6173.pdf</x:v>
      </x:c>
      <x:c r="B295" s="30" t="str">
        <x:v>Kalashnikov Concern</x:v>
      </x:c>
      <x:c r="C295" s="30" t="str">
        <x:v>B5</x:v>
      </x:c>
      <x:c r="D295" s="30" t="str">
        <x:v>Kalashnikov Concern — Small Arms: AK-12</x:v>
      </x:c>
    </x:row>
    <x:row r="296">
      <x:c r="A296" s="30" t="str">
        <x:v>https://roshel.com/about/</x:v>
      </x:c>
      <x:c r="B296" s="30" t="str">
        <x:v>Roshel</x:v>
      </x:c>
      <x:c r="C296" s="30" t="str">
        <x:v>B4</x:v>
      </x:c>
      <x:c r="D296" s="30" t="str">
        <x:v>Roshel — company details</x:v>
      </x:c>
    </x:row>
    <x:row r="297">
      <x:c r="A297" s="30" t="str">
        <x:v>https://roshel.com/products/defense/</x:v>
      </x:c>
      <x:c r="B297" s="30" t="str">
        <x:v>Roshel</x:v>
      </x:c>
      <x:c r="C297" s="30" t="str">
        <x:v>B4</x:v>
      </x:c>
      <x:c r="D297" s="30" t="str">
        <x:v>Roshel — Protected Vehicles: Senator APC</x:v>
      </x:c>
    </x:row>
    <x:row r="298">
      <x:c r="A298" s="30" t="str">
        <x:v>https://roshel.com/products/defense/captain-apc/</x:v>
      </x:c>
      <x:c r="B298" s="30" t="str">
        <x:v>Roshel</x:v>
      </x:c>
      <x:c r="C298" s="30" t="str">
        <x:v>B4</x:v>
      </x:c>
      <x:c r="D298" s="30" t="str">
        <x:v>Roshel — Protected Vehicles: Captain APC</x:v>
      </x:c>
    </x:row>
    <x:row r="299">
      <x:c r="A299" s="30" t="str">
        <x:v>https://roshel.com/products/defense/senator-apc/</x:v>
      </x:c>
      <x:c r="B299" s="30" t="str">
        <x:v>Roshel</x:v>
      </x:c>
      <x:c r="C299" s="30" t="str">
        <x:v>B4</x:v>
      </x:c>
      <x:c r="D299" s="30" t="str">
        <x:v>Roshel — Protected Vehicles: Senator APC</x:v>
      </x:c>
    </x:row>
    <x:row r="300">
      <x:c r="A300" s="30" t="str">
        <x:v>https://roshel.com/products/defense/senator-counter-uas/</x:v>
      </x:c>
      <x:c r="B300" s="30" t="str">
        <x:v>Roshel</x:v>
      </x:c>
      <x:c r="C300" s="30" t="str">
        <x:v>B4</x:v>
      </x:c>
      <x:c r="D300" s="30" t="str">
        <x:v>Roshel — Protected Vehicles: Senator Counter-UAS</x:v>
      </x:c>
    </x:row>
    <x:row r="301">
      <x:c r="A301" s="30" t="str">
        <x:v>https://roshel.com/products/defense/senator-erv/</x:v>
      </x:c>
      <x:c r="B301" s="30" t="str">
        <x:v>Roshel</x:v>
      </x:c>
      <x:c r="C301" s="30" t="str">
        <x:v>B4</x:v>
      </x:c>
      <x:c r="D301" s="30" t="str">
        <x:v>Roshel — Protected Vehicles: Senator Emergency Response Vehicle (ERV)</x:v>
      </x:c>
    </x:row>
    <x:row r="302">
      <x:c r="A302" s="30" t="str">
        <x:v>https://roshel.com/products/defense/senator-medevac/</x:v>
      </x:c>
      <x:c r="B302" s="30" t="str">
        <x:v>Roshel</x:v>
      </x:c>
      <x:c r="C302" s="30" t="str">
        <x:v>B4</x:v>
      </x:c>
      <x:c r="D302" s="30" t="str">
        <x:v>Roshel — Protected Vehicles: Senator Medevac</x:v>
      </x:c>
    </x:row>
    <x:row r="303">
      <x:c r="A303" s="30" t="str">
        <x:v>https://roshel.com/products/defense/senator-mrap-smp/</x:v>
      </x:c>
      <x:c r="B303" s="30" t="str">
        <x:v>Roshel</x:v>
      </x:c>
      <x:c r="C303" s="30" t="str">
        <x:v>B4</x:v>
      </x:c>
      <x:c r="D303" s="30" t="str">
        <x:v>Roshel — Protected Vehicles: Senator MRAP</x:v>
      </x:c>
    </x:row>
    <x:row r="304">
      <x:c r="A304" s="30" t="str">
        <x:v>https://roshel.com/products/defense/senator-mrap/</x:v>
      </x:c>
      <x:c r="B304" s="30" t="str">
        <x:v>Roshel</x:v>
      </x:c>
      <x:c r="C304" s="30" t="str">
        <x:v>B4</x:v>
      </x:c>
      <x:c r="D304" s="30" t="str">
        <x:v>Roshel — Protected Vehicles: Senator MRAP</x:v>
      </x:c>
    </x:row>
    <x:row r="305">
      <x:c r="A305" s="30" t="str">
        <x:v>https://roshel.com/products/defense/senator-pickup/</x:v>
      </x:c>
      <x:c r="B305" s="30" t="str">
        <x:v>Roshel</x:v>
      </x:c>
      <x:c r="C305" s="30" t="str">
        <x:v>B4</x:v>
      </x:c>
      <x:c r="D305" s="30" t="str">
        <x:v>Roshel — Protected Vehicles: Senator Pickup</x:v>
      </x:c>
    </x:row>
    <x:row r="306">
      <x:c r="A306" s="30" t="str">
        <x:v>https://roshel.com/products/defense/senator-ram-mrap/</x:v>
      </x:c>
      <x:c r="B306" s="30" t="str">
        <x:v>Roshel</x:v>
      </x:c>
      <x:c r="C306" s="30" t="str">
        <x:v>B4</x:v>
      </x:c>
      <x:c r="D306" s="30" t="str">
        <x:v>Roshel — Protected Vehicles: Senator MRAP
Roshel — Protected Vehicles: Senator RAM MRAP</x:v>
      </x:c>
    </x:row>
    <x:row r="307">
      <x:c r="A307" s="30" t="str">
        <x:v>https://roshel.com/wp-content/uploads/2025/07/annual_report_2024.pdf</x:v>
      </x:c>
      <x:c r="B307" s="30" t="str">
        <x:v>Roshel</x:v>
      </x:c>
      <x:c r="C307" s="30" t="str">
        <x:v>B4</x:v>
      </x:c>
      <x:c r="D307" s="30" t="str">
        <x:v>Roshel — company details</x:v>
      </x:c>
    </x:row>
    <x:row r="308">
      <x:c r="A308" s="30" t="str">
        <x:v>https://rostec.ru/en/directions/weapons/products-projects/ak-12-ak-15-ak-19-assault-rifles/</x:v>
      </x:c>
      <x:c r="B308" s="30" t="str">
        <x:v>Kalashnikov Concern</x:v>
      </x:c>
      <x:c r="C308" s="30" t="str">
        <x:v>B5</x:v>
      </x:c>
      <x:c r="D308" s="30" t="str">
        <x:v>Kalashnikov Concern — Small Arms: AK-12
Kalashnikov Concern — Small Arms: AK-15
Kalashnikov Concern — Small Arms: AK-19
Kalashnikov Concern — company details</x:v>
      </x:c>
    </x:row>
    <x:row r="309">
      <x:c r="A309" s="30" t="str">
        <x:v>https://rostec.ru/en/media/news/a-joint-venture-between-russia-and-india-has-delivered-35-000-ak-203-to-the-indian-army/</x:v>
      </x:c>
      <x:c r="B309" s="30" t="str">
        <x:v>Kalashnikov Concern</x:v>
      </x:c>
      <x:c r="C309" s="30" t="str">
        <x:v>B5</x:v>
      </x:c>
      <x:c r="D309" s="30" t="str">
        <x:v>Kalashnikov Concern — Small Arms: AK-203</x:v>
      </x:c>
    </x:row>
    <x:row r="310">
      <x:c r="A310" s="30" t="str">
        <x:v>https://rostec.ru/en/media/news/kalashnikov-completed-all-contracts-for-supply-of-high-precision-weapons-in-december-2024/</x:v>
      </x:c>
      <x:c r="B310" s="30" t="str">
        <x:v>Kalashnikov Concern</x:v>
      </x:c>
      <x:c r="C310" s="30" t="str">
        <x:v>B5</x:v>
      </x:c>
      <x:c r="D310" s="30" t="str">
        <x:v>Kalashnikov Concern — Missiles: 9K121 Vikhr-1 Air-Launched ATGM</x:v>
      </x:c>
    </x:row>
    <x:row r="311">
      <x:c r="A311" s="30" t="str">
        <x:v>https://rostec.ru/en/media/news/kalashnikov-has-completed-a-delivery-of-another-batch-of-the-improved-ak-12-/</x:v>
      </x:c>
      <x:c r="B311" s="30" t="str">
        <x:v>Kalashnikov Concern</x:v>
      </x:c>
      <x:c r="C311" s="30" t="str">
        <x:v>B5</x:v>
      </x:c>
      <x:c r="D311" s="30" t="str">
        <x:v>Kalashnikov Concern — Small Arms: AK-12</x:v>
      </x:c>
    </x:row>
    <x:row r="312">
      <x:c r="A312" s="30" t="str">
        <x:v>https://rostec.ru/en/media/news/kalashnikov-has-increased-the-output-of-military-and-civilian-products/</x:v>
      </x:c>
      <x:c r="B312" s="30" t="str">
        <x:v>Kalashnikov Concern</x:v>
      </x:c>
      <x:c r="C312" s="30" t="str">
        <x:v>B5</x:v>
      </x:c>
      <x:c r="D312" s="30" t="str">
        <x:v>Kalashnikov Concern — company details</x:v>
      </x:c>
    </x:row>
    <x:row r="313">
      <x:c r="A313" s="30" t="str">
        <x:v>https://rostec.ru/en/media/news/kalashnikov-unveils-new-kub-2-e-loitering-munitions-at-idex-2025/</x:v>
      </x:c>
      <x:c r="B313" s="30" t="str">
        <x:v>Kalashnikov Concern</x:v>
      </x:c>
      <x:c r="C313" s="30" t="str">
        <x:v>B5</x:v>
      </x:c>
      <x:c r="D313" s="30" t="str">
        <x:v>Kalashnikov Concern — UAVs/Drones: KUB-2-E Loitering Munition</x:v>
      </x:c>
    </x:row>
    <x:row r="314">
      <x:c r="A314" s="30" t="str">
        <x:v>https://sae-group.net/</x:v>
      </x:c>
      <x:c r="B314" s="30" t="str">
        <x:v>Premier Explosives</x:v>
      </x:c>
      <x:c r="C314" s="30" t="str">
        <x:v>B10</x:v>
      </x:c>
      <x:c r="D314" s="30" t="str">
        <x:v>Premier Explosives — Ammunition: Agni Strategic Pyrogen Igniter / Daisy-II Motor
Premier Explosives — Ammunition: Air Target Imitator Rocket / Motor
Premier Explosives — Ammunition: Akash Booster &amp; Sustainer Grains
Premier Explosives — Ammunition: Astra Solid Propellant
Premier Explosives — Ammunition: BrahMos Solid-Propellant Booster Material
Premier Explosives — Ammunition: Chaff &amp; IR Flare Countermeasure Ammunition
Premier Explosives — Ammunition: LRSAM Solid Propellant
Premier Explosives — Ammunition: MRSAM Solid Propellant
Premier Explosives — Ammunition: Pinaka Mk-I Rocket
Premier Explosives — Ammunition: Pinaka Mk-II Rocket
Premier Explosives — Ammunition: QRSAM / NGARM Solid Propellant Family
Premier Explosives — Ammunition: Sledge Rocket Motor</x:v>
      </x:c>
    </x:row>
    <x:row r="315">
      <x:c r="A315" s="30" t="str">
        <x:v>https://solargroup.com/Investor-relation.html</x:v>
      </x:c>
      <x:c r="B315" s="30" t="str">
        <x:v>Solar Industries</x:v>
      </x:c>
      <x:c r="C315" s="30" t="str">
        <x:v>B10</x:v>
      </x:c>
      <x:c r="D315" s="30" t="str">
        <x:v>Solar Industries — company details</x:v>
      </x:c>
    </x:row>
    <x:row r="316">
      <x:c r="A316" s="30" t="str">
        <x:v>https://supacat.com.au/products/medium-utility-vehicle/</x:v>
      </x:c>
      <x:c r="B316" s="30" t="str">
        <x:v>Supacat</x:v>
      </x:c>
      <x:c r="C316" s="30" t="str">
        <x:v>B3</x:v>
      </x:c>
      <x:c r="D316" s="30" t="str">
        <x:v>Supacat — Protected Vehicles: Supacat Medium Utility Vehicle (MUV)</x:v>
      </x:c>
    </x:row>
    <x:row r="317">
      <x:c r="A317" s="30" t="str">
        <x:v>https://supacat.com.au/wp-content/uploads/2024/05/HMT-LWR-Closed-Cab.pdf</x:v>
      </x:c>
      <x:c r="B317" s="30" t="str">
        <x:v>Supacat</x:v>
      </x:c>
      <x:c r="C317" s="30" t="str">
        <x:v>B3</x:v>
      </x:c>
      <x:c r="D317" s="30" t="str">
        <x:v>Supacat — Protected Vehicles: HMT LWR</x:v>
      </x:c>
    </x:row>
    <x:row r="318">
      <x:c r="A318" s="30" t="str">
        <x:v>https://supacat.com.au/wp-content/uploads/2024/09/PRO442-Supacat-MUV-SpecBrochure-0924-WEB.pdf</x:v>
      </x:c>
      <x:c r="B318" s="30" t="str">
        <x:v>Supacat</x:v>
      </x:c>
      <x:c r="C318" s="30" t="str">
        <x:v>B3</x:v>
      </x:c>
      <x:c r="D318" s="30" t="str">
        <x:v>Supacat — Protected Vehicles: Supacat Medium Utility Vehicle (MUV)</x:v>
      </x:c>
    </x:row>
    <x:row r="319">
      <x:c r="A319" s="30" t="str">
        <x:v>https://supacat.com/about-us/history/</x:v>
      </x:c>
      <x:c r="B319" s="30" t="str">
        <x:v>Supacat</x:v>
      </x:c>
      <x:c r="C319" s="30" t="str">
        <x:v>B3</x:v>
      </x:c>
      <x:c r="D319" s="30" t="str">
        <x:v>Supacat — company details</x:v>
      </x:c>
    </x:row>
    <x:row r="320">
      <x:c r="A320" s="30" t="str">
        <x:v>https://supacat.com/brochures/</x:v>
      </x:c>
      <x:c r="B320" s="30" t="str">
        <x:v>Supacat</x:v>
      </x:c>
      <x:c r="C320" s="30" t="str">
        <x:v>B3</x:v>
      </x:c>
      <x:c r="D320" s="30" t="str">
        <x:v>Supacat — Artillery: HMT Common Base Platform — 105 Light Gun Carrier</x:v>
      </x:c>
    </x:row>
    <x:row r="321">
      <x:c r="A321" s="30" t="str">
        <x:v>https://supacat.com/contact-us/</x:v>
      </x:c>
      <x:c r="B321" s="30" t="str">
        <x:v>Supacat</x:v>
      </x:c>
      <x:c r="C321" s="30" t="str">
        <x:v>B3</x:v>
      </x:c>
      <x:c r="D321" s="30" t="str">
        <x:v>Supacat — company details</x:v>
      </x:c>
    </x:row>
    <x:row r="322">
      <x:c r="A322" s="30" t="str">
        <x:v>https://supacat.com/media/news/2015/09/supacat-unveils-lrv-400-mk2-light-reconnaissance-vehicle-at-dsei/</x:v>
      </x:c>
      <x:c r="B322" s="30" t="str">
        <x:v>Supacat</x:v>
      </x:c>
      <x:c r="C322" s="30" t="str">
        <x:v>B3</x:v>
      </x:c>
      <x:c r="D322" s="30" t="str">
        <x:v>Supacat — Protected Vehicles: LRV 400 Mk2</x:v>
      </x:c>
    </x:row>
    <x:row r="323">
      <x:c r="A323" s="30" t="str">
        <x:v>https://supacat.com/media/news/2018/09/supacats-hmt-light-weight-recovery-lwr-progresses-through-development-trials/</x:v>
      </x:c>
      <x:c r="B323" s="30" t="str">
        <x:v>Supacat</x:v>
      </x:c>
      <x:c r="C323" s="30" t="str">
        <x:v>B3</x:v>
      </x:c>
      <x:c r="D323" s="30" t="str">
        <x:v>Supacat — Protected Vehicles: HMT LWR</x:v>
      </x:c>
    </x:row>
    <x:row r="324">
      <x:c r="A324" s="30" t="str">
        <x:v>https://supacat.com/media/news/2022/09/supacat-mbda-show-concept-demonstrator-new-brimstone-hmt/</x:v>
      </x:c>
      <x:c r="B324" s="30" t="str">
        <x:v>Supacat</x:v>
      </x:c>
      <x:c r="C324" s="30" t="str">
        <x:v>B3</x:v>
      </x:c>
      <x:c r="D324" s="30" t="str">
        <x:v>Supacat — Missiles: Brimstone HMT Overwatch</x:v>
      </x:c>
    </x:row>
    <x:row r="325">
      <x:c r="A325" s="30" t="str">
        <x:v>https://supacat.com/media/news/2023/02/super-win-supacat/</x:v>
      </x:c>
      <x:c r="B325" s="30" t="str">
        <x:v>Supacat</x:v>
      </x:c>
      <x:c r="C325" s="30" t="str">
        <x:v>B3</x:v>
      </x:c>
      <x:c r="D325" s="30" t="str">
        <x:v>Supacat — Protected Vehicles: HMT Mk3 / Jackal 3</x:v>
      </x:c>
    </x:row>
    <x:row r="326">
      <x:c r="A326" s="30" t="str">
        <x:v>https://supacat.com/media/news/2023/09/common-base-platform-integral-to-the-british-army/</x:v>
      </x:c>
      <x:c r="B326" s="30" t="str">
        <x:v>Supacat</x:v>
      </x:c>
      <x:c r="C326" s="30" t="str">
        <x:v>B3</x:v>
      </x:c>
      <x:c r="D326" s="30" t="str">
        <x:v>Supacat — Protected Vehicles: HMT Common Base Platform (CBP)</x:v>
      </x:c>
    </x:row>
    <x:row r="327">
      <x:c r="A327" s="30" t="str">
        <x:v>https://supacat.com/meet-the-team/</x:v>
      </x:c>
      <x:c r="B327" s="30" t="str">
        <x:v>Supacat</x:v>
      </x:c>
      <x:c r="C327" s="30" t="str">
        <x:v>B3</x:v>
      </x:c>
      <x:c r="D327" s="30" t="str">
        <x:v>Supacat — company details</x:v>
      </x:c>
    </x:row>
    <x:row r="328">
      <x:c r="A328" s="30" t="str">
        <x:v>https://supacat.com/products/</x:v>
      </x:c>
      <x:c r="B328" s="30" t="str">
        <x:v>Supacat</x:v>
      </x:c>
      <x:c r="C328" s="30" t="str">
        <x:v>B3</x:v>
      </x:c>
      <x:c r="D328" s="30" t="str">
        <x:v>Supacat — Protected Vehicles: HMT LWR</x:v>
      </x:c>
    </x:row>
    <x:row r="329">
      <x:c r="A329" s="30" t="str">
        <x:v>https://supacat.com/products/atmp/</x:v>
      </x:c>
      <x:c r="B329" s="30" t="str">
        <x:v>Supacat</x:v>
      </x:c>
      <x:c r="C329" s="30" t="str">
        <x:v>B3</x:v>
      </x:c>
      <x:c r="D329" s="30" t="str">
        <x:v>Supacat — appendix: ATMP / eATMP 6×6</x:v>
      </x:c>
    </x:row>
    <x:row r="330">
      <x:c r="A330" s="30" t="str">
        <x:v>https://supacat.com/products/hmt-armoured-closed-cab</x:v>
      </x:c>
      <x:c r="B330" s="30" t="str">
        <x:v>Supacat</x:v>
      </x:c>
      <x:c r="C330" s="30" t="str">
        <x:v>B3</x:v>
      </x:c>
      <x:c r="D330" s="30" t="str">
        <x:v>Supacat — Protected Vehicles: HMT Armoured Closed Cab</x:v>
      </x:c>
    </x:row>
    <x:row r="331">
      <x:c r="A331" s="30" t="str">
        <x:v>https://supacat.com/products/hmt-armoured-closed-cab/</x:v>
      </x:c>
      <x:c r="B331" s="30" t="str">
        <x:v>Supacat</x:v>
      </x:c>
      <x:c r="C331" s="30" t="str">
        <x:v>B3</x:v>
      </x:c>
      <x:c r="D331" s="30" t="str">
        <x:v>Supacat — Protected Vehicles: HMT Armoured Closed Cab</x:v>
      </x:c>
    </x:row>
    <x:row r="332">
      <x:c r="A332" s="30" t="str">
        <x:v>https://supacat.com/products/hmt-lwr/</x:v>
      </x:c>
      <x:c r="B332" s="30" t="str">
        <x:v>Supacat</x:v>
      </x:c>
      <x:c r="C332" s="30" t="str">
        <x:v>B3</x:v>
      </x:c>
      <x:c r="D332" s="30" t="str">
        <x:v>Supacat — Protected Vehicles: HMT LWR</x:v>
      </x:c>
    </x:row>
    <x:row r="333">
      <x:c r="A333" s="30" t="str">
        <x:v>https://supacat.com/products/hmt/</x:v>
      </x:c>
      <x:c r="B333" s="30" t="str">
        <x:v>Supacat</x:v>
      </x:c>
      <x:c r="C333" s="30" t="str">
        <x:v>B3</x:v>
      </x:c>
      <x:c r="D333" s="30" t="str">
        <x:v>Supacat — Protected Vehicles: HMT Extenda Mk3
Supacat — Protected Vehicles: HMT Mk3 / Jackal 3</x:v>
      </x:c>
    </x:row>
    <x:row r="334">
      <x:c r="A334" s="30" t="str">
        <x:v>https://supacat.com/products/hmt/hmt-cbp/</x:v>
      </x:c>
      <x:c r="B334" s="30" t="str">
        <x:v>Supacat</x:v>
      </x:c>
      <x:c r="C334" s="30" t="str">
        <x:v>B3</x:v>
      </x:c>
      <x:c r="D334" s="30" t="str">
        <x:v>Supacat — Protected Vehicles: HMT Common Base Platform (CBP)</x:v>
      </x:c>
    </x:row>
    <x:row r="335">
      <x:c r="A335" s="30" t="str">
        <x:v>https://supacat.com/products/lmv/</x:v>
      </x:c>
      <x:c r="B335" s="30" t="str">
        <x:v>Supacat</x:v>
      </x:c>
      <x:c r="C335" s="30" t="str">
        <x:v>B3</x:v>
      </x:c>
      <x:c r="D335" s="30" t="str">
        <x:v>Supacat — Protected Vehicles: Light Mobility Vehicle (LMV)</x:v>
      </x:c>
    </x:row>
    <x:row r="336">
      <x:c r="A336" s="30" t="str">
        <x:v>https://supacat.com/projects/autonomous-vehicle/</x:v>
      </x:c>
      <x:c r="B336" s="30" t="str">
        <x:v>Supacat</x:v>
      </x:c>
      <x:c r="C336" s="30" t="str">
        <x:v>B3</x:v>
      </x:c>
      <x:c r="D336" s="30" t="str">
        <x:v>Supacat — appendix: ATMP / eATMP 6×6</x:v>
      </x:c>
    </x:row>
    <x:row r="337">
      <x:c r="A337" s="30" t="str">
        <x:v>https://supacat.com/projects/hmtmk3/</x:v>
      </x:c>
      <x:c r="B337" s="30" t="str">
        <x:v>Supacat</x:v>
      </x:c>
      <x:c r="C337" s="30" t="str">
        <x:v>B3</x:v>
      </x:c>
      <x:c r="D337" s="30" t="str">
        <x:v>Supacat — Protected Vehicles: HMT Mk3 / Jackal 3</x:v>
      </x:c>
    </x:row>
    <x:row r="338">
      <x:c r="A338" s="30" t="str">
        <x:v>https://supacat.com/wp-content/uploads/2024/05/eATMP.pdf</x:v>
      </x:c>
      <x:c r="B338" s="30" t="str">
        <x:v>Supacat</x:v>
      </x:c>
      <x:c r="C338" s="30" t="str">
        <x:v>B3</x:v>
      </x:c>
      <x:c r="D338" s="30" t="str">
        <x:v>Supacat — appendix: ATMP / eATMP 6×6</x:v>
      </x:c>
    </x:row>
    <x:row r="339">
      <x:c r="A339" s="30" t="str">
        <x:v>https://supacat.com/wp-content/uploads/2024/08/HMT-Armoured-Closed-Cab-Platform.pdf</x:v>
      </x:c>
      <x:c r="B339" s="30" t="str">
        <x:v>Supacat</x:v>
      </x:c>
      <x:c r="C339" s="30" t="str">
        <x:v>B3</x:v>
      </x:c>
      <x:c r="D339" s="30" t="str">
        <x:v>Supacat — Protected Vehicles: HMT Armoured Closed Cab</x:v>
      </x:c>
    </x:row>
    <x:row r="340">
      <x:c r="A340" s="30" t="str">
        <x:v>https://supacat.com/wp-content/uploads/2024/08/HMT-Extenda-Mk3.pdf</x:v>
      </x:c>
      <x:c r="B340" s="30" t="str">
        <x:v>Supacat</x:v>
      </x:c>
      <x:c r="C340" s="30" t="str">
        <x:v>B3</x:v>
      </x:c>
      <x:c r="D340" s="30" t="str">
        <x:v>Supacat — Protected Vehicles: HMT Extenda Mk3</x:v>
      </x:c>
    </x:row>
    <x:row r="341">
      <x:c r="A341" s="30" t="str">
        <x:v>https://supacat.com/wp-content/uploads/2024/08/HMT_Armoured_Close-Cab_4_People-2.pdf</x:v>
      </x:c>
      <x:c r="B341" s="30" t="str">
        <x:v>Supacat</x:v>
      </x:c>
      <x:c r="C341" s="30" t="str">
        <x:v>B3</x:v>
      </x:c>
      <x:c r="D341" s="30" t="str">
        <x:v>Supacat — Protected Vehicles: HMT Armoured Closed Cab</x:v>
      </x:c>
    </x:row>
    <x:row r="342">
      <x:c r="A342" s="30" t="str">
        <x:v>https://supacat.com/wp-content/uploads/2024/08/LMV_2024-1.pdf</x:v>
      </x:c>
      <x:c r="B342" s="30" t="str">
        <x:v>Supacat</x:v>
      </x:c>
      <x:c r="C342" s="30" t="str">
        <x:v>B3</x:v>
      </x:c>
      <x:c r="D342" s="30" t="str">
        <x:v>Supacat — Protected Vehicles: Light Mobility Vehicle (LMV)</x:v>
      </x:c>
    </x:row>
    <x:row r="343">
      <x:c r="A343" s="30" t="str">
        <x:v>https://tasl.catpl.co.in/</x:v>
      </x:c>
      <x:c r="B343" s="30" t="str">
        <x:v>Tata Advanced Systems</x:v>
      </x:c>
      <x:c r="C343" s="30" t="str">
        <x:v>B3</x:v>
      </x:c>
      <x:c r="D343" s="30" t="str">
        <x:v>Tata Advanced Systems — Protected Vehicles: Light Armoured Multi-Role Vehicle (LAMV) 4×4</x:v>
      </x:c>
    </x:row>
    <x:row r="344">
      <x:c r="A344" s="30" t="str">
        <x:v>https://tasl.catpl.co.in/vtol</x:v>
      </x:c>
      <x:c r="B344" s="30" t="str">
        <x:v>Tata Advanced Systems</x:v>
      </x:c>
      <x:c r="C344" s="30" t="str">
        <x:v>B3</x:v>
      </x:c>
      <x:c r="D344" s="30" t="str">
        <x:v>Tata Advanced Systems — UAVs/Drones: Rakshak VTOL / IVTOL UAV</x:v>
      </x:c>
    </x:row>
    <x:row r="345">
      <x:c r="A345" s="30" t="str">
        <x:v>https://tdb.gov.in/board-members</x:v>
      </x:c>
      <x:c r="B345" s="30" t="str">
        <x:v>Mahindra Defence</x:v>
      </x:c>
      <x:c r="C345" s="30" t="str">
        <x:v>B3</x:v>
      </x:c>
      <x:c r="D345" s="30" t="str">
        <x:v>Mahindra Defence — company details</x:v>
      </x:c>
    </x:row>
    <x:row r="346">
      <x:c r="A346" s="30" t="str">
        <x:v>https://theaccounts.uk/company/01514084/supacat-limited/</x:v>
      </x:c>
      <x:c r="B346" s="30" t="str">
        <x:v>Supacat</x:v>
      </x:c>
      <x:c r="C346" s="30" t="str">
        <x:v>B3</x:v>
      </x:c>
      <x:c r="D346" s="30" t="str">
        <x:v>Supacat — company details</x:v>
      </x:c>
    </x:row>
    <x:row r="347">
      <x:c r="A347" s="30" t="str">
        <x:v>https://theprint.in/defence/homegrown-sss-defence-makes-its-debut-in-the-indian-army-its-shotgun-to-tackle-drones/2969646/</x:v>
      </x:c>
      <x:c r="B347" s="30" t="str">
        <x:v>SSS Defence</x:v>
      </x:c>
      <x:c r="C347" s="30" t="str">
        <x:v>B6</x:v>
      </x:c>
      <x:c r="D347" s="30" t="str">
        <x:v>SSS Defence — Small Arms: T12
SSS Defence — company details</x:v>
      </x:c>
    </x:row>
    <x:row r="348">
      <x:c r="A348" s="30" t="str">
        <x:v>https://timesofindia.indiatimes.com/defence/news/army-gets-drdo-developed-kamikaze-drone-uav-launched-precision-munition-systems-from-adani-defence/articleshow/131026247.cms</x:v>
      </x:c>
      <x:c r="B348" s="30" t="str">
        <x:v>Adani Defence</x:v>
      </x:c>
      <x:c r="C348" s="30" t="str">
        <x:v>B10</x:v>
      </x:c>
      <x:c r="D348" s="30" t="str">
        <x:v>Adani Defence — UAVs/Drones: AGNIKAA VTOL-1 FPV Kamikaze Drone
Adani Defence — UAVs/Drones: UAV-Launched Precision Guided Munition (ULPGM)</x:v>
      </x:c>
    </x:row>
    <x:row r="349">
      <x:c r="A349" s="30" t="str">
        <x:v>https://timesofindia.indiatimes.com/defence/weapons/gun/negev-ng7</x:v>
      </x:c>
      <x:c r="B349" s="30" t="str">
        <x:v>PLR Systems (IWI+Adani)</x:v>
      </x:c>
      <x:c r="C349" s="30" t="str">
        <x:v>B4</x:v>
      </x:c>
      <x:c r="D349" s="30" t="str">
        <x:v>PLR Systems (IWI+Adani) — Small Arms: NEGEV NG-7 / Prahar LMG</x:v>
      </x:c>
    </x:row>
    <x:row r="350">
      <x:c r="A350" s="30" t="str">
        <x:v>https://timesofindia.indiatimes.com/india/army-to-test-indigenous-artillery-system-with-48-km-strike-range/articleshow/79831376.cms</x:v>
      </x:c>
      <x:c r="B350" s="30" t="str">
        <x:v>Tata Advanced Systems</x:v>
      </x:c>
      <x:c r="C350" s="30" t="str">
        <x:v>B3</x:v>
      </x:c>
      <x:c r="D350" s="30" t="str">
        <x:v>Tata Advanced Systems — Artillery: ATAGS — Advanced Towed Artillery Gun System</x:v>
      </x:c>
    </x:row>
    <x:row r="351">
      <x:c r="A351" s="30" t="str">
        <x:v>https://uncrewed.leonardo.com/documents/16277715/0/FALCO%2BEVO_%28MM07818%29-VEL.pdf</x:v>
      </x:c>
      <x:c r="B351" s="30" t="str">
        <x:v>Leonardo</x:v>
      </x:c>
      <x:c r="C351" s="30" t="str">
        <x:v>B1</x:v>
      </x:c>
      <x:c r="D351" s="30" t="str">
        <x:v>Leonardo — UAVs/Drones: Falco EVO</x:v>
      </x:c>
    </x:row>
    <x:row r="352">
      <x:c r="A352" s="30" t="str">
        <x:v>https://uncrewed.leonardo.com/documents/16277715/0/Falco%2BXplorer%2B%28mm09001%29-VEL.pdf?t=1719474462010</x:v>
      </x:c>
      <x:c r="B352" s="30" t="str">
        <x:v>Leonardo</x:v>
      </x:c>
      <x:c r="C352" s="30" t="str">
        <x:v>B1</x:v>
      </x:c>
      <x:c r="D352" s="30" t="str">
        <x:v>Leonardo — UAVs/Drones: Falco Xplorer</x:v>
      </x:c>
    </x:row>
    <x:row r="353">
      <x:c r="A353" s="30" t="str">
        <x:v>https://uncrewed.leonardo.com/documents/16277715/18565868/AWHERO%2BBrochure.pdf?t=1657904987176</x:v>
      </x:c>
      <x:c r="B353" s="30" t="str">
        <x:v>Leonardo</x:v>
      </x:c>
      <x:c r="C353" s="30" t="str">
        <x:v>B1</x:v>
      </x:c>
      <x:c r="D353" s="30" t="str">
        <x:v>Leonardo — UAVs/Drones: AWHero</x:v>
      </x:c>
    </x:row>
    <x:row r="354">
      <x:c r="A354" s="30" t="str">
        <x:v>https://uncrewed.leonardo.com/documents/16277715/18577372/Falco%2BFamily%2B%28MM09053%29_LQ.pdf?t=1719474758473</x:v>
      </x:c>
      <x:c r="B354" s="30" t="str">
        <x:v>Leonardo</x:v>
      </x:c>
      <x:c r="C354" s="30" t="str">
        <x:v>B1</x:v>
      </x:c>
      <x:c r="D354" s="30" t="str">
        <x:v>Leonardo — UAVs/Drones: Falco EVO
Leonardo — UAVs/Drones: Falco Xplorer</x:v>
      </x:c>
    </x:row>
    <x:row r="355">
      <x:c r="A355" s="30" t="str">
        <x:v>https://uncrewed.leonardo.com/it/products/mirach-1005</x:v>
      </x:c>
      <x:c r="B355" s="30" t="str">
        <x:v>Leonardo</x:v>
      </x:c>
      <x:c r="C355" s="30" t="str">
        <x:v>B1</x:v>
      </x:c>
      <x:c r="D355" s="30" t="str">
        <x:v>Leonardo — UAVs/Drones: Mirach 100/5 Aerial Target</x:v>
      </x:c>
    </x:row>
    <x:row r="356">
      <x:c r="A356" s="30" t="str">
        <x:v>https://uvisionuav.com/about-us/management-team/</x:v>
      </x:c>
      <x:c r="B356" s="30" t="str">
        <x:v>UVision Air</x:v>
      </x:c>
      <x:c r="C356" s="30" t="str">
        <x:v>B10</x:v>
      </x:c>
      <x:c r="D356" s="30" t="str">
        <x:v>UVision Air — company details</x:v>
      </x:c>
    </x:row>
    <x:row r="357">
      <x:c r="A357" s="30" t="str">
        <x:v>https://uvisionuav.com/loitering-munitions/</x:v>
      </x:c>
      <x:c r="B357" s="30" t="str">
        <x:v>UVision Air</x:v>
      </x:c>
      <x:c r="C357" s="30" t="str">
        <x:v>B10</x:v>
      </x:c>
      <x:c r="D357" s="30" t="str">
        <x:v>UVision Air — UAVs/Drones: HERO 1250
UVision Air — UAVs/Drones: HERO 2500
UVision Air — UAVs/Drones: HERO 400 / HERO 400EC
UVision Air — UAVs/Drones: HERO 90
UVision Air — UAVs/Drones: HERO 900</x:v>
      </x:c>
    </x:row>
    <x:row r="358">
      <x:c r="A358" s="30" t="str">
        <x:v>https://uvisionuav.com/loitering-munitions/hero-120/</x:v>
      </x:c>
      <x:c r="B358" s="30" t="str">
        <x:v>UVision Air</x:v>
      </x:c>
      <x:c r="C358" s="30" t="str">
        <x:v>B10</x:v>
      </x:c>
      <x:c r="D358" s="30" t="str">
        <x:v>UVision Air — UAVs/Drones: HERO 120</x:v>
      </x:c>
    </x:row>
    <x:row r="359">
      <x:c r="A359" s="30" t="str">
        <x:v>https://uvisionuav.com/loitering-munitions/hero-30/</x:v>
      </x:c>
      <x:c r="B359" s="30" t="str">
        <x:v>UVision Air</x:v>
      </x:c>
      <x:c r="C359" s="30" t="str">
        <x:v>B10</x:v>
      </x:c>
      <x:c r="D359" s="30" t="str">
        <x:v>UVision Air — UAVs/Drones: HERO 30</x:v>
      </x:c>
    </x:row>
    <x:row r="360">
      <x:c r="A360" s="30" t="str">
        <x:v>https://uvisionuav.com/loitering-munitions/hero-90/</x:v>
      </x:c>
      <x:c r="B360" s="30" t="str">
        <x:v>UVision Air</x:v>
      </x:c>
      <x:c r="C360" s="30" t="str">
        <x:v>B10</x:v>
      </x:c>
      <x:c r="D360" s="30" t="str">
        <x:v>UVision Air — UAVs/Drones: HERO 90</x:v>
      </x:c>
    </x:row>
    <x:row r="361">
      <x:c r="A361" s="30" t="str">
        <x:v>https://uvisionuav.com/loitering-munitions/hero-900/</x:v>
      </x:c>
      <x:c r="B361" s="30" t="str">
        <x:v>UVision Air</x:v>
      </x:c>
      <x:c r="C361" s="30" t="str">
        <x:v>B10</x:v>
      </x:c>
      <x:c r="D361" s="30" t="str">
        <x:v>UVision Air — UAVs/Drones: HERO 900</x:v>
      </x:c>
    </x:row>
    <x:row r="362">
      <x:c r="A362" s="30" t="str">
        <x:v>https://uvisionuav.com/loitering-munitions/peregrine-mr/</x:v>
      </x:c>
      <x:c r="B362" s="30" t="str">
        <x:v>UVision Air</x:v>
      </x:c>
      <x:c r="C362" s="30" t="str">
        <x:v>B10</x:v>
      </x:c>
      <x:c r="D362" s="30" t="str">
        <x:v>UVision Air — UAVs/Drones: PEREGRINE MR</x:v>
      </x:c>
    </x:row>
    <x:row r="363">
      <x:c r="A363" s="30" t="str">
        <x:v>https://uvisionuav.com/loitering-munitions/viper-300/</x:v>
      </x:c>
      <x:c r="B363" s="30" t="str">
        <x:v>UVision Air</x:v>
      </x:c>
      <x:c r="C363" s="30" t="str">
        <x:v>B10</x:v>
      </x:c>
      <x:c r="D363" s="30" t="str">
        <x:v>UVision Air — UAVs/Drones: VIPER 300</x:v>
      </x:c>
    </x:row>
    <x:row r="364">
      <x:c r="A364" s="30" t="str">
        <x:v>https://uvisionuav.com/loitering-munitions/viper-750/</x:v>
      </x:c>
      <x:c r="B364" s="30" t="str">
        <x:v>UVision Air</x:v>
      </x:c>
      <x:c r="C364" s="30" t="str">
        <x:v>B10</x:v>
      </x:c>
      <x:c r="D364" s="30" t="str">
        <x:v>UVision Air — UAVs/Drones: VIPER 750</x:v>
      </x:c>
    </x:row>
    <x:row r="365">
      <x:c r="A365" s="30" t="str">
        <x:v>https://uvisionuav.com/loitering-munitions/viper-i/</x:v>
      </x:c>
      <x:c r="B365" s="30" t="str">
        <x:v>UVision Air</x:v>
      </x:c>
      <x:c r="C365" s="30" t="str">
        <x:v>B10</x:v>
      </x:c>
      <x:c r="D365" s="30" t="str">
        <x:v>UVision Air — UAVs/Drones: VIPER I Interceptor</x:v>
      </x:c>
    </x:row>
    <x:row r="366">
      <x:c r="A366" s="30" t="str">
        <x:v>https://uvisionuav.com/loitering-munitions/viper-mcl/</x:v>
      </x:c>
      <x:c r="B366" s="30" t="str">
        <x:v>UVision Air</x:v>
      </x:c>
      <x:c r="C366" s="30" t="str">
        <x:v>B10</x:v>
      </x:c>
      <x:c r="D366" s="30" t="str">
        <x:v>UVision Air — UAVs/Drones: VIPER Multi-Canister Launcher (MCL)</x:v>
      </x:c>
    </x:row>
    <x:row r="367">
      <x:c r="A367" s="30" t="str">
        <x:v>https://uvisionuav.com/wp-content/uploads/2024/09/Hero-90-2024.pdf</x:v>
      </x:c>
      <x:c r="B367" s="30" t="str">
        <x:v>UVision Air</x:v>
      </x:c>
      <x:c r="C367" s="30" t="str">
        <x:v>B10</x:v>
      </x:c>
      <x:c r="D367" s="30" t="str">
        <x:v>UVision Air — UAVs/Drones: HERO 90</x:v>
      </x:c>
    </x:row>
    <x:row r="368">
      <x:c r="A368" s="30" t="str">
        <x:v>https://uvisionuav.com/wp-content/uploads/2026/01/Peregrine-MR-brochure.pdf</x:v>
      </x:c>
      <x:c r="B368" s="30" t="str">
        <x:v>UVision Air</x:v>
      </x:c>
      <x:c r="C368" s="30" t="str">
        <x:v>B10</x:v>
      </x:c>
      <x:c r="D368" s="30" t="str">
        <x:v>UVision Air — UAVs/Drones: PEREGRINE MR</x:v>
      </x:c>
    </x:row>
    <x:row r="369">
      <x:c r="A369" s="30" t="str">
        <x:v>https://uvisionuav.com/wp-content/uploads/2026/01/VIPER-300-brochure.pdf</x:v>
      </x:c>
      <x:c r="B369" s="30" t="str">
        <x:v>UVision Air</x:v>
      </x:c>
      <x:c r="C369" s="30" t="str">
        <x:v>B10</x:v>
      </x:c>
      <x:c r="D369" s="30" t="str">
        <x:v>UVision Air — UAVs/Drones: VIPER 300</x:v>
      </x:c>
    </x:row>
    <x:row r="370">
      <x:c r="A370" s="30" t="str">
        <x:v>https://uvisionuav.com/wp-content/uploads/2026/01/VIPER-750-brochure.pdf</x:v>
      </x:c>
      <x:c r="B370" s="30" t="str">
        <x:v>UVision Air</x:v>
      </x:c>
      <x:c r="C370" s="30" t="str">
        <x:v>B10</x:v>
      </x:c>
      <x:c r="D370" s="30" t="str">
        <x:v>UVision Air — UAVs/Drones: VIPER 750</x:v>
      </x:c>
    </x:row>
    <x:row r="371">
      <x:c r="A371" s="30" t="str">
        <x:v>https://uvisionuav.eu/about-us/global-presence/</x:v>
      </x:c>
      <x:c r="B371" s="30" t="str">
        <x:v>UVision Air</x:v>
      </x:c>
      <x:c r="C371" s="30" t="str">
        <x:v>B10</x:v>
      </x:c>
      <x:c r="D371" s="30" t="str">
        <x:v>UVision Air — company details</x:v>
      </x:c>
    </x:row>
    <x:row r="372">
      <x:c r="A372" s="30" t="str">
        <x:v>https://uvisionusa.com/about-us/board-of-directors/</x:v>
      </x:c>
      <x:c r="B372" s="30" t="str">
        <x:v>UVision Air</x:v>
      </x:c>
      <x:c r="C372" s="30" t="str">
        <x:v>B10</x:v>
      </x:c>
      <x:c r="D372" s="30" t="str">
        <x:v>UVision Air — company details</x:v>
      </x:c>
    </x:row>
    <x:row r="373">
      <x:c r="A373" s="30" t="str">
        <x:v>https://uvisionusa.com/smart-loitering-munition-systems/</x:v>
      </x:c>
      <x:c r="B373" s="30" t="str">
        <x:v>UVision Air</x:v>
      </x:c>
      <x:c r="C373" s="30" t="str">
        <x:v>B10</x:v>
      </x:c>
      <x:c r="D373" s="30" t="str">
        <x:v>UVision Air — UAVs/Drones: HERO 90</x:v>
      </x:c>
    </x:row>
    <x:row r="374">
      <x:c r="A374" s="30" t="str">
        <x:v>https://vendor.munitionsindia.in/general_reports/show/registered_vendors/1080</x:v>
      </x:c>
      <x:c r="B374" s="30" t="str">
        <x:v>Munitions India Ltd (MIL)</x:v>
      </x:c>
      <x:c r="C374" s="30" t="str">
        <x:v>B5</x:v>
      </x:c>
      <x:c r="D374" s="30" t="str">
        <x:v>Munitions India Ltd (MIL) — Ammunition: 125 mm FSAPDS-T
Munitions India Ltd (MIL) — Ammunition: Air Bombs / PGB-500 Stores</x:v>
      </x:c>
    </x:row>
    <x:row r="375">
      <x:c r="A375" s="30" t="str">
        <x:v>https://warwheels.net/images/MATVbaseSalesBrochureOshkosh2014.pdf</x:v>
      </x:c>
      <x:c r="B375" s="30" t="str">
        <x:v>Oshkosh Defense</x:v>
      </x:c>
      <x:c r="C375" s="30" t="str">
        <x:v>B5</x:v>
      </x:c>
      <x:c r="D375" s="30" t="str">
        <x:v>Oshkosh Defense — Protected Vehicles: M-ATV Standard</x:v>
      </x:c>
    </x:row>
    <x:row r="376">
      <x:c r="A376" s="30" t="str">
        <x:v>https://weaponsofconflict.com/weapons/nagastra-1</x:v>
      </x:c>
      <x:c r="B376" s="30" t="str">
        <x:v>Solar Industries</x:v>
      </x:c>
      <x:c r="C376" s="30" t="str">
        <x:v>B10</x:v>
      </x:c>
      <x:c r="D376" s="30" t="str">
        <x:v>Solar Industries — UAVs/Drones: NAGASTRA-1</x:v>
      </x:c>
    </x:row>
    <x:row r="377">
      <x:c r="A377" s="30" t="str">
        <x:v>https://weaponsystems.net/system/120-Kord</x:v>
      </x:c>
      <x:c r="B377" s="30" t="str">
        <x:v>Kalashnikov Concern</x:v>
      </x:c>
      <x:c r="C377" s="30" t="str">
        <x:v>B5</x:v>
      </x:c>
      <x:c r="D377" s="30" t="str">
        <x:v>Kalashnikov Concern — Small Arms: KORD 12.7 mm</x:v>
      </x:c>
    </x:row>
    <x:row r="378">
      <x:c r="A378" s="30" t="str">
        <x:v>https://weaponsystems.net/system/159-K10%2BAmmunition%2BResupply%2BVehicle</x:v>
      </x:c>
      <x:c r="B378" s="30" t="str">
        <x:v>Hanwha (Aerospace/Group)</x:v>
      </x:c>
      <x:c r="C378" s="30" t="str">
        <x:v>B2</x:v>
      </x:c>
      <x:c r="D378" s="30" t="str">
        <x:v>Hanwha (Aerospace/Group) — Artillery: K10 Ammunition Resupply Vehicle</x:v>
      </x:c>
    </x:row>
    <x:row r="379">
      <x:c r="A379" s="30" t="str">
        <x:v>https://www.acra-ratings.ru/upload/iblock/a45/puhsjsz3qb8qz1i011dm56y844izn2of/20250618_AO-_Kontsern-_Kalashnikov_press_reliz_en.pdf</x:v>
      </x:c>
      <x:c r="B379" s="30" t="str">
        <x:v>Kalashnikov Concern</x:v>
      </x:c>
      <x:c r="C379" s="30" t="str">
        <x:v>B5</x:v>
      </x:c>
      <x:c r="D379" s="30" t="str">
        <x:v>Kalashnikov Concern — company details</x:v>
      </x:c>
    </x:row>
    <x:row r="380">
      <x:c r="A380" s="30" t="str">
        <x:v>https://www.adani.com/newsroom/media-releases/adani-defence-and-aerospace-and-drdo-unveil-indias-vehicle-mounted-counter</x:v>
      </x:c>
      <x:c r="B380" s="30" t="str">
        <x:v>Adani Defence</x:v>
      </x:c>
      <x:c r="C380" s="30" t="str">
        <x:v>B10</x:v>
      </x:c>
      <x:c r="D380" s="30" t="str">
        <x:v>Adani Defence — Protected Vehicles: Vehicle-Mounted Counter-Drone System</x:v>
      </x:c>
    </x:row>
    <x:row r="381">
      <x:c r="A381" s="30" t="str">
        <x:v>https://www.adani.com/newsroom/media-releases/adani-defence-and-aerospace-and-elbit-systems-inaugurate-india-first-private-uav-manufacturing</x:v>
      </x:c>
      <x:c r="B381" s="30" t="str">
        <x:v>Adani Defence</x:v>
      </x:c>
      <x:c r="C381" s="30" t="str">
        <x:v>B10</x:v>
      </x:c>
      <x:c r="D381" s="30" t="str">
        <x:v>Adani Defence — UAVs/Drones: SkyStriker Loitering Munition
Adani Defence — company details</x:v>
      </x:c>
    </x:row>
    <x:row r="382">
      <x:c r="A382" s="30" t="str">
        <x:v>https://www.adani.com/newsroom/media-releases/advancing-aatmanirbharta</x:v>
      </x:c>
      <x:c r="B382" s="30" t="str">
        <x:v>Adani Defence</x:v>
      </x:c>
      <x:c r="C382" s="30" t="str">
        <x:v>B10</x:v>
      </x:c>
      <x:c r="D382" s="30" t="str">
        <x:v>Adani Defence — Ammunition: 12.7×99 mm / .50 Cal Ammunition
Adani Defence — Ammunition: 155 mm Artillery Ammunition Family
Adani Defence — Ammunition: 30 mm Medium-Calibre Ammunition
Adani Defence — Ammunition: 5.56×45 mm Small-Arms Ammunition
Adani Defence — Ammunition: 7.62×39 mm Small-Arms Ammunition
Adani Defence — Ammunition: 7.62×51 mm Small-Arms Ammunition
Adani Defence — Ammunition: 9×19 mm Small-Arms Ammunition
Adani Defence — company details</x:v>
      </x:c>
    </x:row>
    <x:row r="383">
      <x:c r="A383" s="30" t="str">
        <x:v>https://www.adanienterprises.com/-/media/Project/Enterprises/Investors/Investor-Downloads/Annual-Report/AEL-FY25.pdf</x:v>
      </x:c>
      <x:c r="B383" s="30" t="str">
        <x:v>Adani Defence</x:v>
      </x:c>
      <x:c r="C383" s="30" t="str">
        <x:v>B10</x:v>
      </x:c>
      <x:c r="D383" s="30" t="str">
        <x:v>Adani Defence — appendix: GALIL ACE 31
Adani Defence — appendix: GALIL ACE 32
Adani Defence — appendix: GALIL Sniper S.A.
Adani Defence — appendix: MASADA Pistol
Adani Defence — appendix: NEGEV 5.56 LMG
Adani Defence — appendix: PRAHAR / NEGEV NG-7 LMG
Adani Defence — appendix: TAVOR 7
Adani Defence — appendix: TAVOR TAR-21 / TAR Flattop
Adani Defence — appendix: UZI PRO SMG
Adani Defence — appendix: X95 Flattop 419</x:v>
      </x:c>
    </x:row>
    <x:row r="384">
      <x:c r="A384" s="30" t="str">
        <x:v>https://www.adanienterprises.com/digital-reports/enterprises/2026/defence-and-aerospace.html</x:v>
      </x:c>
      <x:c r="B384" s="30" t="str">
        <x:v>Adani Defence</x:v>
      </x:c>
      <x:c r="C384" s="30" t="str">
        <x:v>B10</x:v>
      </x:c>
      <x:c r="D384" s="30" t="str">
        <x:v>Adani Defence — Ammunition: 12.7×99 mm / .50 Cal Ammunition
Adani Defence — Ammunition: 155 mm Artillery Ammunition Family
Adani Defence — Ammunition: 30 mm Medium-Calibre Ammunition
Adani Defence — Ammunition: 5.56×45 mm Small-Arms Ammunition
Adani Defence — Ammunition: 7.62×39 mm Small-Arms Ammunition
Adani Defence — Ammunition: 7.62×51 mm Small-Arms Ammunition
Adani Defence — Ammunition: 9×19 mm Small-Arms Ammunition
Adani Defence — Marine/Naval: Adani autonomous maritime systems
Adani Defence — UAVs/Drones: Agnikaa
Adani Defence — UAVs/Drones: AGNIKAA VTOL-1 FPV Kamikaze Drone
Adani Defence — UAVs/Drones: ALFA-S
Adani Defence — UAVs/Drones: DRISHTI 10 Starliner</x:v>
      </x:c>
    </x:row>
    <x:row r="385">
      <x:c r="A385" s="30" t="str">
        <x:v>https://www.aeromagasia.com/news/aerospace/rafael-reports-record-growth-in-2025-with-strong-operational-performance</x:v>
      </x:c>
      <x:c r="B385" s="30" t="str">
        <x:v>Rafael Advanced Defense Systems</x:v>
      </x:c>
      <x:c r="C385" s="30" t="str">
        <x:v>B6</x:v>
      </x:c>
      <x:c r="D385" s="30" t="str">
        <x:v>Rafael Advanced Defense Systems — company details</x:v>
      </x:c>
    </x:row>
    <x:row r="386">
      <x:c r="A386" s="30" t="str">
        <x:v>https://www.afmc.af.mil/News/Article-Display/Article/155587/jassm-the-air-forces-next-generation-cruise-missile/</x:v>
      </x:c>
      <x:c r="B386" s="30" t="str">
        <x:v>Lockheed Martin</x:v>
      </x:c>
      <x:c r="C386" s="30" t="str">
        <x:v>B8</x:v>
      </x:c>
      <x:c r="D386" s="30" t="str">
        <x:v>Lockheed Martin — Missiles: JASSM / AGM-158A</x:v>
      </x:c>
    </x:row>
    <x:row r="387">
      <x:c r="A387" s="30" t="str">
        <x:v>https://www.ajaishukla.com/2016/12/indian-artillery-gun-shines-in-trials.html</x:v>
      </x:c>
      <x:c r="B387" s="30" t="str">
        <x:v>Tata Advanced Systems</x:v>
      </x:c>
      <x:c r="C387" s="30" t="str">
        <x:v>B3</x:v>
      </x:c>
      <x:c r="D387" s="30" t="str">
        <x:v>Tata Advanced Systems — Artillery: ATAGS — Advanced Towed Artillery Gun System</x:v>
      </x:c>
    </x:row>
    <x:row r="388">
      <x:c r="A388" s="30" t="str">
        <x:v>https://www.anduril.com/</x:v>
      </x:c>
      <x:c r="B388" s="30" t="str">
        <x:v>Anduril</x:v>
      </x:c>
      <x:c r="C388" s="30" t="str">
        <x:v>B9</x:v>
      </x:c>
      <x:c r="D388" s="30" t="str">
        <x:v>Anduril — company details</x:v>
      </x:c>
    </x:row>
    <x:row r="389">
      <x:c r="A389" s="30" t="str">
        <x:v>https://www.anduril.com/anvil/</x:v>
      </x:c>
      <x:c r="B389" s="30" t="str">
        <x:v>Anduril</x:v>
      </x:c>
      <x:c r="C389" s="30" t="str">
        <x:v>B9</x:v>
      </x:c>
      <x:c r="D389" s="30" t="str">
        <x:v>Anduril — UAVs/Drones: Anvil
Anduril — UAVs/Drones: Anvil-M</x:v>
      </x:c>
    </x:row>
    <x:row r="390">
      <x:c r="A390" s="30" t="str">
        <x:v>https://www.anduril.com/arsenal</x:v>
      </x:c>
      <x:c r="B390" s="30" t="str">
        <x:v>Anduril</x:v>
      </x:c>
      <x:c r="C390" s="30" t="str">
        <x:v>B9</x:v>
      </x:c>
      <x:c r="D390" s="30" t="str">
        <x:v>Anduril — UAVs/Drones: ALTIUS 600
Anduril — UAVs/Drones: Fury
Anduril — UAVs/Drones: Ghost
Anduril — Missiles: Barracuda-500</x:v>
      </x:c>
    </x:row>
    <x:row r="391">
      <x:c r="A391" s="30" t="str">
        <x:v>https://www.anduril.com/copperhead</x:v>
      </x:c>
      <x:c r="B391" s="30" t="str">
        <x:v>Anduril</x:v>
      </x:c>
      <x:c r="C391" s="30" t="str">
        <x:v>B9</x:v>
      </x:c>
      <x:c r="D391" s="30" t="str">
        <x:v>Anduril — Marine/Naval: Copperhead-100 AUV
Anduril — Marine/Naval: Copperhead-100M
Anduril — Marine/Naval: Copperhead-500 AUV</x:v>
      </x:c>
    </x:row>
    <x:row r="392">
      <x:c r="A392" s="30" t="str">
        <x:v>https://www.anduril.com/counter-uas/</x:v>
      </x:c>
      <x:c r="B392" s="30" t="str">
        <x:v>Anduril</x:v>
      </x:c>
      <x:c r="C392" s="30" t="str">
        <x:v>B9</x:v>
      </x:c>
      <x:c r="D392" s="30" t="str">
        <x:v>Anduril — UAVs/Drones: Anvil
Anduril — UAVs/Drones: Roadrunner</x:v>
      </x:c>
    </x:row>
    <x:row r="393">
      <x:c r="A393" s="30" t="str">
        <x:v>https://www.anduril.com/dive-ld</x:v>
      </x:c>
      <x:c r="B393" s="30" t="str">
        <x:v>Anduril</x:v>
      </x:c>
      <x:c r="C393" s="30" t="str">
        <x:v>B9</x:v>
      </x:c>
      <x:c r="D393" s="30" t="str">
        <x:v>Anduril — Marine/Naval: Dive-LD AUV</x:v>
      </x:c>
    </x:row>
    <x:row r="394">
      <x:c r="A394" s="30" t="str">
        <x:v>https://www.anduril.com/fury/</x:v>
      </x:c>
      <x:c r="B394" s="30" t="str">
        <x:v>Anduril</x:v>
      </x:c>
      <x:c r="C394" s="30" t="str">
        <x:v>B9</x:v>
      </x:c>
      <x:c r="D394" s="30" t="str">
        <x:v>Anduril — UAVs/Drones: Fury</x:v>
      </x:c>
    </x:row>
    <x:row r="395">
      <x:c r="A395" s="30" t="str">
        <x:v>https://www.anduril.com/news/anduril-announces-best-in-class-loitering-munition</x:v>
      </x:c>
      <x:c r="B395" s="30" t="str">
        <x:v>Anduril</x:v>
      </x:c>
      <x:c r="C395" s="30" t="str">
        <x:v>B9</x:v>
      </x:c>
      <x:c r="D395" s="30" t="str">
        <x:v>Anduril — UAVs/Drones: ALTIUS 600M
Anduril — UAVs/Drones: ALTIUS 700M</x:v>
      </x:c>
    </x:row>
    <x:row r="396">
      <x:c r="A396" s="30" t="str">
        <x:v>https://www.anduril.com/news/anduril-demonstrates-lattice-for-mission-autonomy-controlling-teams-of-autonomous-assets-at-us</x:v>
      </x:c>
      <x:c r="B396" s="30" t="str">
        <x:v>Anduril</x:v>
      </x:c>
      <x:c r="C396" s="30" t="str">
        <x:v>B9</x:v>
      </x:c>
      <x:c r="D396" s="30" t="str">
        <x:v>Anduril — UAVs/Drones: ALTIUS 600</x:v>
      </x:c>
    </x:row>
    <x:row r="397">
      <x:c r="A397" s="30" t="str">
        <x:v>https://www.anduril.com/news/anduril-department-of-war-sign-production-agreement-for-surface-launched-barracuda-500m</x:v>
      </x:c>
      <x:c r="B397" s="30" t="str">
        <x:v>Rheinmetall</x:v>
      </x:c>
      <x:c r="C397" s="30" t="str">
        <x:v>B2</x:v>
      </x:c>
      <x:c r="D397" s="30" t="str">
        <x:v>Rheinmetall — appendix: Barracuda 500M Cruise Missile</x:v>
      </x:c>
    </x:row>
    <x:row r="398">
      <x:c r="A398" s="30" t="str">
        <x:v>https://www.anduril.com/news/anduril-hires-keith-flynn-to-lead-manufacturing</x:v>
      </x:c>
      <x:c r="B398" s="30" t="str">
        <x:v>Anduril</x:v>
      </x:c>
      <x:c r="C398" s="30" t="str">
        <x:v>B9</x:v>
      </x:c>
      <x:c r="D398" s="30" t="str">
        <x:v>Anduril — company details</x:v>
      </x:c>
    </x:row>
    <x:row r="399">
      <x:c r="A399" s="30" t="str">
        <x:v>https://www.anduril.com/news/anduril-unveils-copperhead-a-new-era-of-autonomous-undersea-dominance</x:v>
      </x:c>
      <x:c r="B399" s="30" t="str">
        <x:v>Anduril</x:v>
      </x:c>
      <x:c r="C399" s="30" t="str">
        <x:v>B9</x:v>
      </x:c>
      <x:c r="D399" s="30" t="str">
        <x:v>Anduril — Marine/Naval: Copperhead-100M
Anduril — Marine/Naval: Copperhead-500M</x:v>
      </x:c>
    </x:row>
    <x:row r="400">
      <x:c r="A400" s="30" t="str">
        <x:v>https://www.anduril.com/news/anvil-m-launch</x:v>
      </x:c>
      <x:c r="B400" s="30" t="str">
        <x:v>Anduril</x:v>
      </x:c>
      <x:c r="C400" s="30" t="str">
        <x:v>B9</x:v>
      </x:c>
      <x:c r="D400" s="30" t="str">
        <x:v>Anduril — UAVs/Drones: Anvil-M</x:v>
      </x:c>
    </x:row>
    <x:row r="401">
      <x:c r="A401" s="30" t="str">
        <x:v>https://www.anduril.com/news/barracuda-500-selected-to-move-forward-on-the-enterprise-test-vehicle-prototype-project</x:v>
      </x:c>
      <x:c r="B401" s="30" t="str">
        <x:v>Anduril</x:v>
      </x:c>
      <x:c r="C401" s="30" t="str">
        <x:v>B9</x:v>
      </x:c>
      <x:c r="D401" s="30" t="str">
        <x:v>Anduril — Missiles: Barracuda-500</x:v>
      </x:c>
    </x:row>
    <x:row r="402">
      <x:c r="A402" s="30" t="str">
        <x:v>https://www.anduril.com/news/pgz-and-anduril-to-produce-surface-launched-barracuda-500m-in-bydgoszcz</x:v>
      </x:c>
      <x:c r="B402" s="30" t="str">
        <x:v>Anduril</x:v>
      </x:c>
      <x:c r="C402" s="30" t="str">
        <x:v>B9</x:v>
      </x:c>
      <x:c r="D402" s="30" t="str">
        <x:v>Anduril — Missiles: Barracuda-500M / SLB-500M</x:v>
      </x:c>
    </x:row>
    <x:row r="403">
      <x:c r="A403" s="30" t="str">
        <x:v>https://www.anduril.com/rebuild-the-arsenal</x:v>
      </x:c>
      <x:c r="B403" s="30" t="str">
        <x:v>Anduril</x:v>
      </x:c>
      <x:c r="C403" s="30" t="str">
        <x:v>B9</x:v>
      </x:c>
      <x:c r="D403" s="30" t="str">
        <x:v>Anduril — company details</x:v>
      </x:c>
    </x:row>
    <x:row r="404">
      <x:c r="A404" s="30" t="str">
        <x:v>https://www.anduril.com/roadrunner</x:v>
      </x:c>
      <x:c r="B404" s="30" t="str">
        <x:v>Anduril</x:v>
      </x:c>
      <x:c r="C404" s="30" t="str">
        <x:v>B9</x:v>
      </x:c>
      <x:c r="D404" s="30" t="str">
        <x:v>Anduril — UAVs/Drones: Roadrunner
Anduril — Missiles: Roadrunner-M</x:v>
      </x:c>
    </x:row>
    <x:row r="405">
      <x:c r="A405" s="30" t="str">
        <x:v>https://www.anduril.com/sea/seapower</x:v>
      </x:c>
      <x:c r="B405" s="30" t="str">
        <x:v>Anduril</x:v>
      </x:c>
      <x:c r="C405" s="30" t="str">
        <x:v>B9</x:v>
      </x:c>
      <x:c r="D405" s="30" t="str">
        <x:v>Anduril — Marine/Naval: Copperhead-100 AUV
Anduril — Marine/Naval: Dive-LD AUV
Anduril — Marine/Naval: Dive-XL
Anduril — Marine/Naval: Seabed Sentry</x:v>
      </x:c>
    </x:row>
    <x:row r="406">
      <x:c r="A406" s="30" t="str">
        <x:v>https://www.army.gov.au/equipment/vehicles-and-surveillance/m1a2-abrams-tank</x:v>
      </x:c>
      <x:c r="B406" s="30" t="str">
        <x:v>General Dynamics</x:v>
      </x:c>
      <x:c r="C406" s="30" t="str">
        <x:v>B2</x:v>
      </x:c>
      <x:c r="D406" s="30" t="str">
        <x:v>General Dynamics — Protected Vehicles: M1A2 Abrams SEPv3</x:v>
      </x:c>
    </x:row>
    <x:row r="407">
      <x:c r="A407" s="30" t="str">
        <x:v>https://www.army.mil/article/171325/army_tactical_missile_system</x:v>
      </x:c>
      <x:c r="B407" s="30" t="str">
        <x:v>Lockheed Martin</x:v>
      </x:c>
      <x:c r="C407" s="30" t="str">
        <x:v>B8</x:v>
      </x:c>
      <x:c r="D407" s="30" t="str">
        <x:v>Lockheed Martin — Missiles: ATACMS</x:v>
      </x:c>
    </x:row>
    <x:row r="408">
      <x:c r="A408" s="30" t="str">
        <x:v>https://www.army.mil/article/202597/joint_light_tactical_vehicle_jltv</x:v>
      </x:c>
      <x:c r="B408" s="30" t="str">
        <x:v>Oshkosh Defense</x:v>
      </x:c>
      <x:c r="C408" s="30" t="str">
        <x:v>B5</x:v>
      </x:c>
      <x:c r="D408" s="30" t="str">
        <x:v>Oshkosh Defense — Protected Vehicles: JLTV</x:v>
      </x:c>
    </x:row>
    <x:row r="409">
      <x:c r="A409" s="30" t="str">
        <x:v>https://www.army.mil/article/272011/army_successfully_fires_extended_range_guided_multiple_launch_rocket_system</x:v>
      </x:c>
      <x:c r="B409" s="30" t="str">
        <x:v>Lockheed Martin</x:v>
      </x:c>
      <x:c r="C409" s="30" t="str">
        <x:v>B8</x:v>
      </x:c>
      <x:c r="D409" s="30" t="str">
        <x:v>Lockheed Martin — Missiles: ER GMLRS</x:v>
      </x:c>
    </x:row>
    <x:row r="410">
      <x:c r="A410" s="30" t="str">
        <x:v>https://www.army.mil/article/294415/army_expands_hydra_70_rocket_supply_chain_through_innovative_ota_agreements</x:v>
      </x:c>
      <x:c r="B410" s="30" t="str">
        <x:v>General Dynamics</x:v>
      </x:c>
      <x:c r="C410" s="30" t="str">
        <x:v>B2</x:v>
      </x:c>
      <x:c r="D410" s="30" t="str">
        <x:v>General Dynamics — Missiles: Hydra-70 Rocket System</x:v>
      </x:c>
    </x:row>
    <x:row r="411">
      <x:c r="A411" s="30" t="str">
        <x:v>https://www.army.mil/e2/downloads/rv7/2020-2021_Weapon_Systems_Handbook.pdf</x:v>
      </x:c>
      <x:c r="B411" s="30" t="str">
        <x:v>General Dynamics</x:v>
      </x:c>
      <x:c r="C411" s="30" t="str">
        <x:v>B2</x:v>
      </x:c>
      <x:c r="D411" s="30" t="str">
        <x:v>General Dynamics — Missiles: Hydra-70 Rocket System</x:v>
      </x:c>
    </x:row>
    <x:row r="412">
      <x:c r="A412" s="30" t="str">
        <x:v>https://www.army.mod.uk/learn-and-explore/equipment/reconnaissance-vehicles/fuchs/</x:v>
      </x:c>
      <x:c r="B412" s="30" t="str">
        <x:v>Rheinmetall</x:v>
      </x:c>
      <x:c r="C412" s="30" t="str">
        <x:v>B2</x:v>
      </x:c>
      <x:c r="D412" s="30" t="str">
        <x:v>Rheinmetall — Protected Vehicles: Fuchs Evolution</x:v>
      </x:c>
    </x:row>
    <x:row r="413">
      <x:c r="A413" s="30" t="str">
        <x:v>https://www.armyrecognition.com/</x:v>
      </x:c>
      <x:c r="B413" s="30" t="str">
        <x:v>Kalashnikov Concern</x:v>
      </x:c>
      <x:c r="C413" s="30" t="str">
        <x:v>B5</x:v>
      </x:c>
      <x:c r="D413" s="30" t="str">
        <x:v>Kalashnikov Concern — Small Arms: AK-15
Kalashnikov Concern — Small Arms: AK-308
Kalashnikov Concern — Small Arms: KORD 12.7 mm
Kalashnikov Concern — Small Arms: Lebedev PL-15 / PLK Family
Kalashnikov Concern — Small Arms: PLK Pistol
Kalashnikov Concern — Small Arms: RPL-20
Kalashnikov Concern — UAVs/Drones: KUB-E Loitering Munition
Kalashnikov Concern — UAVs/Drones: Lancet-E Loitering-Munition System
Kalashnikov Concern — Missiles: 9K121 Vikhr-1 Air-Launched ATGM</x:v>
      </x:c>
    </x:row>
    <x:row r="414">
      <x:c r="A414" s="30" t="str">
        <x:v>https://www.armyrecognition.com/archives/archives-land-defense/2019/idex-2019-norinco-displayed-red-arrow-10-antitank-guided-missiles-on-vn1-8x8-apc</x:v>
      </x:c>
      <x:c r="B414" s="30" t="str">
        <x:v>NORINCO</x:v>
      </x:c>
      <x:c r="C414" s="30" t="str">
        <x:v>B2</x:v>
      </x:c>
      <x:c r="D414" s="30" t="str">
        <x:v>NORINCO — Missiles: HJ-10 / Red Arrow 10</x:v>
      </x:c>
    </x:row>
    <x:row r="415">
      <x:c r="A415" s="30" t="str">
        <x:v>https://www.armyrecognition.com/archives/archives-land-defense/2021/idef-2021-video-review-of-tracked-and-wheeled-armored-vehicles-display-by-otokar</x:v>
      </x:c>
      <x:c r="B415" s="30" t="str">
        <x:v>Otokar</x:v>
      </x:c>
      <x:c r="C415" s="30" t="str">
        <x:v>B4</x:v>
      </x:c>
      <x:c r="D415" s="30" t="str">
        <x:v>Otokar — Protected Vehicles: ARMA 6×6
Otokar — Protected Vehicles: TULPAR S
Otokar — Protected Vehicles: URAL / URAL II 4×4</x:v>
      </x:c>
    </x:row>
    <x:row r="416">
      <x:c r="A416" s="30" t="str">
        <x:v>https://www.armyrecognition.com/archives/archives-land-defense/defense-news-army-2025/defea-2025-israels-iai-unveils-lora-ballistic-missile-system-with-long-range-precision-strike-capability</x:v>
      </x:c>
      <x:c r="B416" s="30" t="str">
        <x:v>Israel Aerospace Industries (IAI)</x:v>
      </x:c>
      <x:c r="C416" s="30" t="str">
        <x:v>B7</x:v>
      </x:c>
      <x:c r="D416" s="30" t="str">
        <x:v>Israel Aerospace Industries (IAI) — Missiles: LORA Precision Strike Missile</x:v>
      </x:c>
    </x:row>
    <x:row r="417">
      <x:c r="A417" s="30" t="str">
        <x:v>https://www.armyrecognition.com/archives/archives-land-defense/defense-news-army-2025/hanwha-aerospace-proposes-tigon-armored-vehicle-family-to-chile-to-strengthen-strategic-autonomy-through-local-production</x:v>
      </x:c>
      <x:c r="B417" s="30" t="str">
        <x:v>Hanwha (Aerospace/Group)</x:v>
      </x:c>
      <x:c r="C417" s="30" t="str">
        <x:v>B2</x:v>
      </x:c>
      <x:c r="D417" s="30" t="str">
        <x:v>Hanwha (Aerospace/Group) — Protected Vehicles: Tigon 8×8</x:v>
      </x:c>
    </x:row>
    <x:row r="418">
      <x:c r="A418" s="30" t="str">
        <x:v>https://www.armyrecognition.com/archives/archives-land-defense/land-defense-2012/mahindra-mpv-mine-protected-vehicle-india-uk</x:v>
      </x:c>
      <x:c r="B418" s="30" t="str">
        <x:v>Mahindra Defence</x:v>
      </x:c>
      <x:c r="C418" s="30" t="str">
        <x:v>B3</x:v>
      </x:c>
      <x:c r="D418" s="30" t="str">
        <x:v>Mahindra Defence — Protected Vehicles: Mine Protected Vehicle-I (MPV-I)</x:v>
      </x:c>
    </x:row>
    <x:row r="419">
      <x:c r="A419" s="30" t="str">
        <x:v>https://www.armyrecognition.com/archives/archives-land-defense/land-defense-2012/norinco-aad-2012-22-september-2012-uk</x:v>
      </x:c>
      <x:c r="B419" s="30" t="str">
        <x:v>NORINCO</x:v>
      </x:c>
      <x:c r="C419" s="30" t="str">
        <x:v>B2</x:v>
      </x:c>
      <x:c r="D419" s="30" t="str">
        <x:v>NORINCO — Artillery: PLZ-52 155 mm Tracked SPH</x:v>
      </x:c>
    </x:row>
    <x:row r="420">
      <x:c r="A420" s="30" t="str">
        <x:v>https://www.armyrecognition.com/archives/archives-land-defense/land-defense-2017/otokar-showcases-its-capabilities-in-defense-security-2017</x:v>
      </x:c>
      <x:c r="B420" s="30" t="str">
        <x:v>Otokar</x:v>
      </x:c>
      <x:c r="C420" s="30" t="str">
        <x:v>B4</x:v>
      </x:c>
      <x:c r="D420" s="30" t="str">
        <x:v>Otokar — Protected Vehicles: KAYA II MRAP</x:v>
      </x:c>
    </x:row>
    <x:row r="421">
      <x:c r="A421" s="30" t="str">
        <x:v>https://www.armyrecognition.com/archives/archives-land-defense/land-defense-2018/airshow-china-2018-new-sh15-155mm-8x8-self-propelled-howitzer</x:v>
      </x:c>
      <x:c r="B421" s="30" t="str">
        <x:v>NORINCO</x:v>
      </x:c>
      <x:c r="C421" s="30" t="str">
        <x:v>B2</x:v>
      </x:c>
      <x:c r="D421" s="30" t="str">
        <x:v>NORINCO — Artillery: SH15 / PCL-181 155 mm Wheeled Howitzer</x:v>
      </x:c>
    </x:row>
    <x:row r="422">
      <x:c r="A422" s="30" t="str">
        <x:v>https://www.armyrecognition.com/archives/archives-land-defense/land-defense-2019/norinco-ah4-155-mm-howitzers-for-united-arab-emirates-army</x:v>
      </x:c>
      <x:c r="B422" s="30" t="str">
        <x:v>NORINCO</x:v>
      </x:c>
      <x:c r="C422" s="30" t="str">
        <x:v>B2</x:v>
      </x:c>
      <x:c r="D422" s="30" t="str">
        <x:v>NORINCO — Artillery: AH4 155 mm Lightweight Howitzer
NORINCO — Ammunition: 155 mm GP6 Laser-Guided Projectile</x:v>
      </x:c>
    </x:row>
    <x:row r="423">
      <x:c r="A423" s="30" t="str">
        <x:v>https://www.armyrecognition.com/archives/archives-land-defense/land-defense-2021/chinese-made-vt4-main-battle-tank-mbt-is-now-officially-in-service-with-pakistan</x:v>
      </x:c>
      <x:c r="B423" s="30" t="str">
        <x:v>NORINCO</x:v>
      </x:c>
      <x:c r="C423" s="30" t="str">
        <x:v>B2</x:v>
      </x:c>
      <x:c r="D423" s="30" t="str">
        <x:v>NORINCO — Protected Vehicles: VT4 / MBT-3000</x:v>
      </x:c>
    </x:row>
    <x:row r="424">
      <x:c r="A424" s="30" t="str">
        <x:v>https://www.armyrecognition.com/archives/archives-land-defense/land-defense-2021/expodefensa-2021-otokar-presents-full-range-of-armored-vehicles</x:v>
      </x:c>
      <x:c r="B424" s="30" t="str">
        <x:v>Otokar</x:v>
      </x:c>
      <x:c r="C424" s="30" t="str">
        <x:v>B4</x:v>
      </x:c>
      <x:c r="D424" s="30" t="str">
        <x:v>Otokar — Protected Vehicles: KAYA II MRAP</x:v>
      </x:c>
    </x:row>
    <x:row r="425">
      <x:c r="A425" s="30" t="str">
        <x:v>https://www.armyrecognition.com/archives/archives-land-defense/land-defense-2021/idex-2021-patria-showcases-amvxp-8x8-armored-vehicle</x:v>
      </x:c>
      <x:c r="B425" s="30" t="str">
        <x:v>Patria</x:v>
      </x:c>
      <x:c r="C425" s="30" t="str">
        <x:v>B3</x:v>
      </x:c>
      <x:c r="D425" s="30" t="str">
        <x:v>Patria — Artillery: Patria AMOS
Patria — Protected Vehicles: Patria AMV 8x8</x:v>
      </x:c>
    </x:row>
    <x:row r="426">
      <x:c r="A426" s="30" t="str">
        <x:v>https://www.armyrecognition.com/archives/archives-land-defense/land-defense-2022/indian-police-first-to-receive-tata-kestrel-whap-8x8-armoured-vehicles</x:v>
      </x:c>
      <x:c r="B426" s="30" t="str">
        <x:v>Tata Advanced Systems</x:v>
      </x:c>
      <x:c r="C426" s="30" t="str">
        <x:v>B3</x:v>
      </x:c>
      <x:c r="D426" s="30" t="str">
        <x:v>Tata Advanced Systems — Protected Vehicles: WhAP / Kestrel 8×8</x:v>
      </x:c>
    </x:row>
    <x:row r="427">
      <x:c r="A427" s="30" t="str">
        <x:v>https://www.armyrecognition.com/archives/archives-land-defense/land-defense-2022/indo-defence-2022-otokar-aims-to-strengthen-its-presence-in-southeast-asia</x:v>
      </x:c>
      <x:c r="B427" s="30" t="str">
        <x:v>Otokar</x:v>
      </x:c>
      <x:c r="C427" s="30" t="str">
        <x:v>B4</x:v>
      </x:c>
      <x:c r="D427" s="30" t="str">
        <x:v>Otokar — Protected Vehicles: ISV 4x4</x:v>
      </x:c>
    </x:row>
    <x:row r="428">
      <x:c r="A428" s="30" t="str">
        <x:v>https://www.armyrecognition.com/archives/archives-land-defense/land-defense-2023/idef-2023-day-3-summary-at-international-defense-exhibition-istanbul-turkiye</x:v>
      </x:c>
      <x:c r="B428" s="30" t="str">
        <x:v>Otokar</x:v>
      </x:c>
      <x:c r="C428" s="30" t="str">
        <x:v>B4</x:v>
      </x:c>
      <x:c r="D428" s="30" t="str">
        <x:v>Otokar — Protected Vehicles: TULPAR S</x:v>
      </x:c>
    </x:row>
    <x:row r="429">
      <x:c r="A429" s="30" t="str">
        <x:v>https://www.armyrecognition.com/archives/archives-land-defense/land-defense-2024/mspo-2024-hanwhas-arion-smet-6x6-ugv-steps-into-the-global-arena-following-us-defense-endorsement</x:v>
      </x:c>
      <x:c r="B429" s="30" t="str">
        <x:v>Hanwha (Aerospace/Group)</x:v>
      </x:c>
      <x:c r="C429" s="30" t="str">
        <x:v>B2</x:v>
      </x:c>
      <x:c r="D429" s="30" t="str">
        <x:v>Hanwha (Aerospace/Group) — appendix: ARION-SMET / ARION-L</x:v>
      </x:c>
    </x:row>
    <x:row r="430">
      <x:c r="A430" s="30" t="str">
        <x:v>https://www.armyrecognition.com/archives/archives-naval-defense/naval-defense-2021/defea-2021-elbit-systems-showcases-the-seagull-usv</x:v>
      </x:c>
      <x:c r="B430" s="30" t="str">
        <x:v>Elbit Systems</x:v>
      </x:c>
      <x:c r="C430" s="30" t="str">
        <x:v>B2</x:v>
      </x:c>
      <x:c r="D430" s="30" t="str">
        <x:v>Elbit Systems — Marine/Naval: Seagull USV</x:v>
      </x:c>
    </x:row>
    <x:row r="431">
      <x:c r="A431" s="30" t="str">
        <x:v>https://www.armyrecognition.com/defense-industry/asia/china?id=16413&amp;option=com_content&amp;view=article</x:v>
      </x:c>
      <x:c r="B431" s="30" t="str">
        <x:v>NORINCO</x:v>
      </x:c>
      <x:c r="C431" s="30" t="str">
        <x:v>B2</x:v>
      </x:c>
      <x:c r="D431" s="30" t="str">
        <x:v>NORINCO — Protected Vehicles: VN1 8×8 IFV</x:v>
      </x:c>
    </x:row>
    <x:row r="432">
      <x:c r="A432" s="30" t="str">
        <x:v>https://www.armyrecognition.com/focus-analysis-conflicts/army/defence-security-industry-technology/analysis-top-most-modern-6x6-wheeled-self-propelled-howitzers</x:v>
      </x:c>
      <x:c r="B432" s="30" t="str">
        <x:v>Elbit Systems</x:v>
      </x:c>
      <x:c r="C432" s="30" t="str">
        <x:v>B2</x:v>
      </x:c>
      <x:c r="D432" s="30" t="str">
        <x:v>Elbit Systems — Artillery: ATMOS 155 mm Self-Propelled Howitzer</x:v>
      </x:c>
    </x:row>
    <x:row r="433">
      <x:c r="A433" s="30" t="str">
        <x:v>https://www.armyrecognition.com/focus-analysis-conflicts/army/defence-security-industry-technology/discover-new-south-korean-k9a2-155mm-self-propelled-howitzer-combat-capabilities</x:v>
      </x:c>
      <x:c r="B433" s="30" t="str">
        <x:v>Hanwha (Aerospace/Group)</x:v>
      </x:c>
      <x:c r="C433" s="30" t="str">
        <x:v>B2</x:v>
      </x:c>
      <x:c r="D433" s="30" t="str">
        <x:v>Hanwha (Aerospace/Group) — Artillery: K9A2</x:v>
      </x:c>
    </x:row>
    <x:row r="434">
      <x:c r="A434" s="30" t="str">
        <x:v>https://www.armyrecognition.com/military-products/army/air-defense-systems/air-defense-vehicles/de-m-shorad-guardian-stryker-50-kw-class-laser-weapon-data-fact-sheet</x:v>
      </x:c>
      <x:c r="B434" s="30" t="str">
        <x:v>General Dynamics</x:v>
      </x:c>
      <x:c r="C434" s="30" t="str">
        <x:v>B2</x:v>
      </x:c>
      <x:c r="D434" s="30" t="str">
        <x:v>General Dynamics — Protected Vehicles: Stryker A1</x:v>
      </x:c>
    </x:row>
    <x:row r="435">
      <x:c r="A435" s="30" t="str">
        <x:v>https://www.armyrecognition.com/military-products/army/air-defense-systems/air-defense-vehicles/sky-dragon-50-gas2-medium-range-surface-to-air-defense-missile-technical-data-sheet-specifications-pictures-video-12401163</x:v>
      </x:c>
      <x:c r="B435" s="30" t="str">
        <x:v>NORINCO</x:v>
      </x:c>
      <x:c r="C435" s="30" t="str">
        <x:v>B2</x:v>
      </x:c>
      <x:c r="D435" s="30" t="str">
        <x:v>NORINCO — Missiles: Sky Dragon 50</x:v>
      </x:c>
    </x:row>
    <x:row r="436">
      <x:c r="A436" s="30" t="str">
        <x:v>https://www.armyrecognition.com/military-products/army/anti-tank-systems-and-vehicles/anti-tank-guided-missiles/hj-12-red-arrow-12-anti-tank-multirole-fire-and-forget-missile-technical-data-sheet-video-pictures-11111153</x:v>
      </x:c>
      <x:c r="B436" s="30" t="str">
        <x:v>NORINCO</x:v>
      </x:c>
      <x:c r="C436" s="30" t="str">
        <x:v>B2</x:v>
      </x:c>
      <x:c r="D436" s="30" t="str">
        <x:v>NORINCO — Missiles: HJ-12 / Red Arrow 12 ATGM</x:v>
      </x:c>
    </x:row>
    <x:row r="437">
      <x:c r="A437" s="30" t="str">
        <x:v>https://www.armyrecognition.com/military-products/army/armoured-personnel-carriers/wheeled-vehicles/amv-patria-finland-uk</x:v>
      </x:c>
      <x:c r="B437" s="30" t="str">
        <x:v>Patria</x:v>
      </x:c>
      <x:c r="C437" s="30" t="str">
        <x:v>B3</x:v>
      </x:c>
      <x:c r="D437" s="30" t="str">
        <x:v>Patria — Protected Vehicles: Patria AMV 8x8</x:v>
      </x:c>
    </x:row>
    <x:row r="438">
      <x:c r="A438" s="30" t="str">
        <x:v>https://www.armyrecognition.com/military-products/army/armoured-personnel-carriers/wheeled-vehicles/cobra-ii-otokar-tactical-4x4-wheeled-armored-vehicle-data</x:v>
      </x:c>
      <x:c r="B438" s="30" t="str">
        <x:v>Otokar</x:v>
      </x:c>
      <x:c r="C438" s="30" t="str">
        <x:v>B4</x:v>
      </x:c>
      <x:c r="D438" s="30" t="str">
        <x:v>Otokar — Protected Vehicles: COBRA II 4×4
Otokar — Protected Vehicles: COBRA II MRAP</x:v>
      </x:c>
    </x:row>
    <x:row r="439">
      <x:c r="A439" s="30" t="str">
        <x:v>https://www.armyrecognition.com/military-products/army/armoured-personnel-carriers/wheeled-vehicles/kestrel-8x8-india-uk</x:v>
      </x:c>
      <x:c r="B439" s="30" t="str">
        <x:v>Tata Advanced Systems</x:v>
      </x:c>
      <x:c r="C439" s="30" t="str">
        <x:v>B3</x:v>
      </x:c>
      <x:c r="D439" s="30" t="str">
        <x:v>Tata Advanced Systems — Protected Vehicles: WhAP / Kestrel 8×8</x:v>
      </x:c>
    </x:row>
    <x:row r="440">
      <x:c r="A440" s="30" t="str">
        <x:v>https://www.armyrecognition.com/military-products/army/artillery-systems/self-propelled-howitzers/krab-155mm-self-propelled-howitzer-hsw-polish-army-technical-data</x:v>
      </x:c>
      <x:c r="B440" s="30" t="str">
        <x:v>Huta Stalowa Wola (HSW)</x:v>
      </x:c>
      <x:c r="C440" s="30" t="str">
        <x:v>B5</x:v>
      </x:c>
      <x:c r="D440" s="30" t="str">
        <x:v>Huta Stalowa Wola (HSW) — Artillery: KRAB 155 mm Self-Propelled Howitzer</x:v>
      </x:c>
    </x:row>
    <x:row r="441">
      <x:c r="A441" s="30" t="str">
        <x:v>https://www.armyrecognition.com/military-products/army/artillery-systems/self-propelled-mortars/rak-120mm-self-propelled-mortar-polish-army-technical-data</x:v>
      </x:c>
      <x:c r="B441" s="30" t="str">
        <x:v>Huta Stalowa Wola (HSW)</x:v>
      </x:c>
      <x:c r="C441" s="30" t="str">
        <x:v>B5</x:v>
      </x:c>
      <x:c r="D441" s="30" t="str">
        <x:v>Huta Stalowa Wola (HSW) — Artillery: RAK M120K 120 mm Self-Propelled Mortar</x:v>
      </x:c>
    </x:row>
    <x:row r="442">
      <x:c r="A442" s="30" t="str">
        <x:v>https://www.armyrecognition.com/military-products/army/artillery-vehicles-and-weapons/multiple-launch-rocket-systems/ar3-china-uk</x:v>
      </x:c>
      <x:c r="B442" s="30" t="str">
        <x:v>NORINCO</x:v>
      </x:c>
      <x:c r="C442" s="30" t="str">
        <x:v>B2</x:v>
      </x:c>
      <x:c r="D442" s="30" t="str">
        <x:v>NORINCO — Artillery: AR3 Multiple Rocket Launcher</x:v>
      </x:c>
    </x:row>
    <x:row r="443">
      <x:c r="A443" s="30" t="str">
        <x:v>https://www.armyrecognition.com/military-products/army/artillery-vehicles-and-weapons/multiple-launch-rocket-systems/k239-chunmoo</x:v>
      </x:c>
      <x:c r="B443" s="30" t="str">
        <x:v>Hanwha (Aerospace/Group)</x:v>
      </x:c>
      <x:c r="C443" s="30" t="str">
        <x:v>B2</x:v>
      </x:c>
      <x:c r="D443" s="30" t="str">
        <x:v>Hanwha (Aerospace/Group) — Artillery: Chunmoo Multiple Rocket Launcher</x:v>
      </x:c>
    </x:row>
    <x:row r="444">
      <x:c r="A444" s="30" t="str">
        <x:v>https://www.armyrecognition.com/military-products/army/artillery-vehicles-and-weapons/multiple-launch-rocket-systems/sr5-gmlrs-mlrs</x:v>
      </x:c>
      <x:c r="B444" s="30" t="str">
        <x:v>NORINCO</x:v>
      </x:c>
      <x:c r="C444" s="30" t="str">
        <x:v>B2</x:v>
      </x:c>
      <x:c r="D444" s="30" t="str">
        <x:v>NORINCO — Artillery: SR5 Universal Multiple Rocket Launcher</x:v>
      </x:c>
    </x:row>
    <x:row r="445">
      <x:c r="A445" s="30" t="str">
        <x:v>https://www.armyrecognition.com/military-products/army/artillery-vehicles-and-weapons/multiple-launch-rocket-systems/type-90b-122mm-mlrs-china-uk</x:v>
      </x:c>
      <x:c r="B445" s="30" t="str">
        <x:v>NORINCO</x:v>
      </x:c>
      <x:c r="C445" s="30" t="str">
        <x:v>B2</x:v>
      </x:c>
      <x:c r="D445" s="30" t="str">
        <x:v>NORINCO — Artillery: Type 90B 122 mm MLRS</x:v>
      </x:c>
    </x:row>
    <x:row r="446">
      <x:c r="A446" s="30" t="str">
        <x:v>https://www.armyrecognition.com/military-products/army/artillery-vehicles-and-weapons/non-categories/k10-arv-south-korea-uk</x:v>
      </x:c>
      <x:c r="B446" s="30" t="str">
        <x:v>Hanwha (Aerospace/Group)</x:v>
      </x:c>
      <x:c r="C446" s="30" t="str">
        <x:v>B2</x:v>
      </x:c>
      <x:c r="D446" s="30" t="str">
        <x:v>Hanwha (Aerospace/Group) — Artillery: K10 Ammunition Resupply Vehicle</x:v>
      </x:c>
    </x:row>
    <x:row r="447">
      <x:c r="A447" s="30" t="str">
        <x:v>https://www.armyrecognition.com/military-products/army/artillery-vehicles-and-weapons/self-propelled-howitzers/atmos-soltam-israel-uk</x:v>
      </x:c>
      <x:c r="B447" s="30" t="str">
        <x:v>Elbit Systems</x:v>
      </x:c>
      <x:c r="C447" s="30" t="str">
        <x:v>B2</x:v>
      </x:c>
      <x:c r="D447" s="30" t="str">
        <x:v>Elbit Systems — Artillery: ATMOS 155 mm Self-Propelled Howitzer</x:v>
      </x:c>
    </x:row>
    <x:row r="448">
      <x:c r="A448" s="30" t="str">
        <x:v>https://www.armyrecognition.com/military-products/army/artillery-vehicles-and-weapons/self-propelled-howitzers/k9-thunder-south-korea-uk</x:v>
      </x:c>
      <x:c r="B448" s="30" t="str">
        <x:v>Hanwha (Aerospace/Group), Larsen &amp; Toubro (L&amp;T)</x:v>
      </x:c>
      <x:c r="C448" s="30" t="str">
        <x:v>B2, B3</x:v>
      </x:c>
      <x:c r="D448" s="30" t="str">
        <x:v>Hanwha (Aerospace/Group) — Artillery: K9 Thunder
Larsen &amp; Toubro (L&amp;T) — Artillery: K9 Vajra-T</x:v>
      </x:c>
    </x:row>
    <x:row r="449">
      <x:c r="A449" s="30" t="str">
        <x:v>https://www.armyrecognition.com/military-products/army/artillery-vehicles-and-weapons/self-propelled-howitzers/kryl-155mm-self-propelled-howitzer-poland-uk</x:v>
      </x:c>
      <x:c r="B449" s="30" t="str">
        <x:v>Huta Stalowa Wola (HSW)</x:v>
      </x:c>
      <x:c r="C449" s="30" t="str">
        <x:v>B5</x:v>
      </x:c>
      <x:c r="D449" s="30" t="str">
        <x:v>Huta Stalowa Wola (HSW) — Artillery: KRYL 155 mm Truck-Mounted Howitzer</x:v>
      </x:c>
    </x:row>
    <x:row r="450">
      <x:c r="A450" s="30" t="str">
        <x:v>https://www.armyrecognition.com/military-products/army/artillery-vehicles-and-weapons/self-propelled-howitzers/pcl-09-cs-sh1-china-uk</x:v>
      </x:c>
      <x:c r="B450" s="30" t="str">
        <x:v>NORINCO</x:v>
      </x:c>
      <x:c r="C450" s="30" t="str">
        <x:v>B2</x:v>
      </x:c>
      <x:c r="D450" s="30" t="str">
        <x:v>NORINCO — Artillery: PCL-09 / CS-SH1 122 mm SPH</x:v>
      </x:c>
    </x:row>
    <x:row r="451">
      <x:c r="A451" s="30" t="str">
        <x:v>https://www.armyrecognition.com/military-products/army/artillery-vehicles-and-weapons/self-propelled-howitzers/sh1-china-uk</x:v>
      </x:c>
      <x:c r="B451" s="30" t="str">
        <x:v>NORINCO</x:v>
      </x:c>
      <x:c r="C451" s="30" t="str">
        <x:v>B2</x:v>
      </x:c>
      <x:c r="D451" s="30" t="str">
        <x:v>NORINCO — Artillery: SH1 155 mm Wheeled Self-Propelled Howitzer</x:v>
      </x:c>
    </x:row>
    <x:row r="452">
      <x:c r="A452" s="30" t="str">
        <x:v>https://www.armyrecognition.com/military-products/army/infantry-fighting-vehicles/tracked-vehicles/ascod-apc-general-dynamics-light-tracked-armoured-personnel-carrier-technical-data-sheet-specifications-pictures-video-11006155</x:v>
      </x:c>
      <x:c r="B452" s="30" t="str">
        <x:v>General Dynamics</x:v>
      </x:c>
      <x:c r="C452" s="30" t="str">
        <x:v>B2</x:v>
      </x:c>
      <x:c r="D452" s="30" t="str">
        <x:v>General Dynamics — Protected Vehicles: ASCOD Tracked Vehicle Family</x:v>
      </x:c>
    </x:row>
    <x:row r="453">
      <x:c r="A453" s="30" t="str">
        <x:v>https://www.armyrecognition.com/military-products/army/infantry-fighting-vehicles/tracked-vehicles/k-21-south-korea-uk</x:v>
      </x:c>
      <x:c r="B453" s="30" t="str">
        <x:v>Hanwha (Aerospace/Group)</x:v>
      </x:c>
      <x:c r="C453" s="30" t="str">
        <x:v>B2</x:v>
      </x:c>
      <x:c r="D453" s="30" t="str">
        <x:v>Hanwha (Aerospace/Group) — Protected Vehicles: K21 IFV</x:v>
      </x:c>
    </x:row>
    <x:row r="454">
      <x:c r="A454" s="30" t="str">
        <x:v>https://www.armyrecognition.com/military-products/army/main-battle-tanks/main-battle-tanks/kf51-panther-mbt-main-battle-tank-germany-technical-data-fact-sheet</x:v>
      </x:c>
      <x:c r="B454" s="30" t="str">
        <x:v>Rheinmetall</x:v>
      </x:c>
      <x:c r="C454" s="30" t="str">
        <x:v>B2</x:v>
      </x:c>
      <x:c r="D454" s="30" t="str">
        <x:v>Rheinmetall — Protected Vehicles: Panther KF51</x:v>
      </x:c>
    </x:row>
    <x:row r="455">
      <x:c r="A455" s="30" t="str">
        <x:v>https://www.armyrecognition.com/military-products/army/main-battle-tanks/main-battle-tanks/m1a2-sep-v3-main-battle-tank-technical-data-sheet-specifications-pictures-video-11710154</x:v>
      </x:c>
      <x:c r="B455" s="30" t="str">
        <x:v>General Dynamics</x:v>
      </x:c>
      <x:c r="C455" s="30" t="str">
        <x:v>B2</x:v>
      </x:c>
      <x:c r="D455" s="30" t="str">
        <x:v>General Dynamics — Protected Vehicles: M1A2 Abrams SEPv3</x:v>
      </x:c>
    </x:row>
    <x:row r="456">
      <x:c r="A456" s="30" t="str">
        <x:v>https://www.armyrecognition.com/military-products/army/main-battle-tanks/main-battle-tanks/vt4-mbt-3000-china-uk</x:v>
      </x:c>
      <x:c r="B456" s="30" t="str">
        <x:v>NORINCO</x:v>
      </x:c>
      <x:c r="C456" s="30" t="str">
        <x:v>B2</x:v>
      </x:c>
      <x:c r="D456" s="30" t="str">
        <x:v>NORINCO — Protected Vehicles: VT4 / MBT-3000</x:v>
      </x:c>
    </x:row>
    <x:row r="457">
      <x:c r="A457" s="30" t="str">
        <x:v>https://www.armyrecognition.com/military-products/army/missiles/tactical-missiles/meteor-bvraam-missile</x:v>
      </x:c>
      <x:c r="B457" s="30" t="str">
        <x:v>MBDA</x:v>
      </x:c>
      <x:c r="C457" s="30" t="str">
        <x:v>B7</x:v>
      </x:c>
      <x:c r="D457" s="30" t="str">
        <x:v>MBDA — Missiles: METEOR BVRAAM</x:v>
      </x:c>
    </x:row>
    <x:row r="458">
      <x:c r="A458" s="30" t="str">
        <x:v>https://www.armyrecognition.com/news/aerospace-news/2026/germany-accelerates-sensor-to-shooter-links-with-luna-ng-drone-in-bundeswehr-trials</x:v>
      </x:c>
      <x:c r="B458" s="30" t="str">
        <x:v>Rheinmetall</x:v>
      </x:c>
      <x:c r="C458" s="30" t="str">
        <x:v>B2</x:v>
      </x:c>
      <x:c r="D458" s="30" t="str">
        <x:v>Rheinmetall — UAVs/Drones: LUNA NG</x:v>
      </x:c>
    </x:row>
    <x:row r="459">
      <x:c r="A459" s="30" t="str">
        <x:v>https://www.armyrecognition.com/news/army-news/2026/chinas-vn22-6x6-armored-vehicle-appears-at-uzbekistans-military-technical-institute</x:v>
      </x:c>
      <x:c r="B459" s="30" t="str">
        <x:v>NORINCO</x:v>
      </x:c>
      <x:c r="C459" s="30" t="str">
        <x:v>B2</x:v>
      </x:c>
      <x:c r="D459" s="30" t="str">
        <x:v>NORINCO — Protected Vehicles: VN22 6×6</x:v>
      </x:c>
    </x:row>
    <x:row r="460">
      <x:c r="A460" s="30" t="str">
        <x:v>https://www.armyrecognition.com/news/army-news/2026/hanwha-arion-smet-south-korea-army-ugv-contract</x:v>
      </x:c>
      <x:c r="B460" s="30" t="str">
        <x:v>Hanwha (Aerospace/Group)</x:v>
      </x:c>
      <x:c r="C460" s="30" t="str">
        <x:v>B2</x:v>
      </x:c>
      <x:c r="D460" s="30" t="str">
        <x:v>Hanwha (Aerospace/Group) — appendix: ARION-SMET / ARION-L</x:v>
      </x:c>
    </x:row>
    <x:row r="461">
      <x:c r="A461" s="30" t="str">
        <x:v>https://www.armyrecognition.com/news/army-news/2026/patria-eurosatory-2026-land-warfare-portfolio</x:v>
      </x:c>
      <x:c r="B461" s="30" t="str">
        <x:v>Patria</x:v>
      </x:c>
      <x:c r="C461" s="30" t="str">
        <x:v>B3</x:v>
      </x:c>
      <x:c r="D461" s="30" t="str">
        <x:v>Patria — Protected Vehicles: Patria TRACKX</x:v>
      </x:c>
    </x:row>
    <x:row r="462">
      <x:c r="A462" s="30" t="str">
        <x:v>https://www.armyrecognition.com/news/army-news/2026/u-s-army-orders-3-000-anduril-barracuda-500m-cruise-missiles-for-indo-pacific-long-range-warfare</x:v>
      </x:c>
      <x:c r="B462" s="30" t="str">
        <x:v>Rheinmetall</x:v>
      </x:c>
      <x:c r="C462" s="30" t="str">
        <x:v>B2</x:v>
      </x:c>
      <x:c r="D462" s="30" t="str">
        <x:v>Rheinmetall — appendix: Barracuda 500M Cruise Missile</x:v>
      </x:c>
    </x:row>
    <x:row r="463">
      <x:c r="A463" s="30" t="str">
        <x:v>https://www.armyrecognition.com/news/army-news/2026/us-army-hero-120-loitering-munition-lot-acceptance-tests</x:v>
      </x:c>
      <x:c r="B463" s="30" t="str">
        <x:v>UVision Air</x:v>
      </x:c>
      <x:c r="C463" s="30" t="str">
        <x:v>B10</x:v>
      </x:c>
      <x:c r="D463" s="30" t="str">
        <x:v>UVision Air — UAVs/Drones: HERO 120</x:v>
      </x:c>
    </x:row>
    <x:row r="464">
      <x:c r="A464" s="30" t="str">
        <x:v>https://www.armyrecognition.com/news/army-news/army-news-2022/south-korea-hanwha-defense-demonstrates-combat-capabilities-of-as-21-redback-tracked-armored-ifv</x:v>
      </x:c>
      <x:c r="B464" s="30" t="str">
        <x:v>Hanwha (Aerospace/Group)</x:v>
      </x:c>
      <x:c r="C464" s="30" t="str">
        <x:v>B2</x:v>
      </x:c>
      <x:c r="D464" s="30" t="str">
        <x:v>Hanwha (Aerospace/Group) — Protected Vehicles: Redback IFV</x:v>
      </x:c>
    </x:row>
    <x:row r="465">
      <x:c r="A465" s="30" t="str">
        <x:v>https://www.armyrecognition.com/news/army-news/army-news-2023/otokar-from-turkey-aims-to-grow-with-technology-transfer-and-local-manufacturing-opportunities-in-south-america</x:v>
      </x:c>
      <x:c r="B465" s="30" t="str">
        <x:v>Otokar</x:v>
      </x:c>
      <x:c r="C465" s="30" t="str">
        <x:v>B4</x:v>
      </x:c>
      <x:c r="D465" s="30" t="str">
        <x:v>Otokar — Protected Vehicles: ISV 4x4</x:v>
      </x:c>
    </x:row>
    <x:row r="466">
      <x:c r="A466" s="30" t="str">
        <x:v>https://www.armyrecognition.com/news/army-news/army-news-2024/india-unveils-new-zorawar-light-tank-developed-by-drdo-and-larsen-toubro</x:v>
      </x:c>
      <x:c r="B466" s="30" t="str">
        <x:v>Larsen &amp; Toubro (L&amp;T)</x:v>
      </x:c>
      <x:c r="C466" s="30" t="str">
        <x:v>B3</x:v>
      </x:c>
      <x:c r="D466" s="30" t="str">
        <x:v>Larsen &amp; Toubro (L&amp;T) — Protected Vehicles: Zorawar Light Tank</x:v>
      </x:c>
    </x:row>
    <x:row r="467">
      <x:c r="A467" s="30" t="str">
        <x:v>https://www.armyrecognition.com/news/defense-web-tv/poland-hsw-borsuk-amphibious-infantry-fighting-vehicle-at-mspo-2023</x:v>
      </x:c>
      <x:c r="B467" s="30" t="str">
        <x:v>Huta Stalowa Wola (HSW)</x:v>
      </x:c>
      <x:c r="C467" s="30" t="str">
        <x:v>B5</x:v>
      </x:c>
      <x:c r="D467" s="30" t="str">
        <x:v>Huta Stalowa Wola (HSW) — Protected Vehicles: Borsuk Amphibious IFV</x:v>
      </x:c>
    </x:row>
    <x:row r="468">
      <x:c r="A468" s="30" t="str">
        <x:v>https://www.armyrecognition.com/news/defense-web-tv/tuerkiyes-otokar-showcases-new-generation-of-wheeled-and-tracked-combat-vehicles-at-idef-2025</x:v>
      </x:c>
      <x:c r="B468" s="30" t="str">
        <x:v>Otokar</x:v>
      </x:c>
      <x:c r="C468" s="30" t="str">
        <x:v>B4</x:v>
      </x:c>
      <x:c r="D468" s="30" t="str">
        <x:v>Otokar — Protected Vehicles: AKREP II 4×4
Otokar — Protected Vehicles: ARMA 6×6
Otokar — Protected Vehicles: ARMA 8×8
Otokar — Protected Vehicles: ARMA II 8×8</x:v>
      </x:c>
    </x:row>
    <x:row r="469">
      <x:c r="A469" s="30" t="str">
        <x:v>https://www.atlas-elektronik.com/solutions/naval-weapons/seahake-mod4</x:v>
      </x:c>
      <x:c r="B469" s="30" t="str">
        <x:v>Thyssenkrupp Marine Systems</x:v>
      </x:c>
      <x:c r="C469" s="30" t="str">
        <x:v>B8</x:v>
      </x:c>
      <x:c r="D469" s="30" t="str">
        <x:v>Thyssenkrupp Marine Systems — Marine/Naval: SeaHake mod4 / DM2A4 Heavyweight Torpedo</x:v>
      </x:c>
    </x:row>
    <x:row r="470">
      <x:c r="A470" s="30" t="str">
        <x:v>https://www.atlas-elektronik.com/solutions/unmanned-systems/arcims</x:v>
      </x:c>
      <x:c r="B470" s="30" t="str">
        <x:v>Thyssenkrupp Marine Systems</x:v>
      </x:c>
      <x:c r="C470" s="30" t="str">
        <x:v>B8</x:v>
      </x:c>
      <x:c r="D470" s="30" t="str">
        <x:v>Thyssenkrupp Marine Systems — Marine/Naval: ARCIMS Unmanned Surface System</x:v>
      </x:c>
    </x:row>
    <x:row r="471">
      <x:c r="A471" s="30" t="str">
        <x:v>https://www.avinc.com/</x:v>
      </x:c>
      <x:c r="B471" s="30" t="str">
        <x:v>AeroVironment</x:v>
      </x:c>
      <x:c r="C471" s="30" t="str">
        <x:v>B9</x:v>
      </x:c>
      <x:c r="D471" s="30" t="str">
        <x:v>AeroVironment — company details</x:v>
      </x:c>
    </x:row>
    <x:row r="472">
      <x:c r="A472" s="30" t="str">
        <x:v>https://www.avinc.com/images/uploads/media_assets/Corporate_Fact_Sheet.pdf</x:v>
      </x:c>
      <x:c r="B472" s="30" t="str">
        <x:v>AeroVironment</x:v>
      </x:c>
      <x:c r="C472" s="30" t="str">
        <x:v>B9</x:v>
      </x:c>
      <x:c r="D472" s="30" t="str">
        <x:v>AeroVironment — UAVs/Drones: Blackwing</x:v>
      </x:c>
    </x:row>
    <x:row r="473">
      <x:c r="A473" s="30" t="str">
        <x:v>https://www.avinc.com/images/uploads/product_docs/PumaAE_Datasheet_2017_Web_v1.1.pdf</x:v>
      </x:c>
      <x:c r="B473" s="30" t="str">
        <x:v>AeroVironment</x:v>
      </x:c>
      <x:c r="C473" s="30" t="str">
        <x:v>B9</x:v>
      </x:c>
      <x:c r="D473" s="30" t="str">
        <x:v>AeroVironment — UAVs/Drones: Puma AE RQ-20B</x:v>
      </x:c>
    </x:row>
    <x:row r="474">
      <x:c r="A474" s="30" t="str">
        <x:v>https://www.avinc.com/images/uploads/product_docs/Switchblade_300_Block20_Datasheet_12_240617.pdf</x:v>
      </x:c>
      <x:c r="B474" s="30" t="str">
        <x:v>AeroVironment</x:v>
      </x:c>
      <x:c r="C474" s="30" t="str">
        <x:v>B9</x:v>
      </x:c>
      <x:c r="D474" s="30" t="str">
        <x:v>AeroVironment — UAVs/Drones: Switchblade 300 Block 20</x:v>
      </x:c>
    </x:row>
    <x:row r="475">
      <x:c r="A475" s="30" t="str">
        <x:v>https://www.avinc.com/solution/jump-20-x/</x:v>
      </x:c>
      <x:c r="B475" s="30" t="str">
        <x:v>AeroVironment</x:v>
      </x:c>
      <x:c r="C475" s="30" t="str">
        <x:v>B9</x:v>
      </x:c>
      <x:c r="D475" s="30" t="str">
        <x:v>AeroVironment — UAVs/Drones: JUMP 20-X</x:v>
      </x:c>
    </x:row>
    <x:row r="476">
      <x:c r="A476" s="30" t="str">
        <x:v>https://www.avinc.com/solution/jump-20/</x:v>
      </x:c>
      <x:c r="B476" s="30" t="str">
        <x:v>AeroVironment</x:v>
      </x:c>
      <x:c r="C476" s="30" t="str">
        <x:v>B9</x:v>
      </x:c>
      <x:c r="D476" s="30" t="str">
        <x:v>AeroVironment — UAVs/Drones: JUMP 20</x:v>
      </x:c>
    </x:row>
    <x:row r="477">
      <x:c r="A477" s="30" t="str">
        <x:v>https://www.avinc.com/solution/p550/</x:v>
      </x:c>
      <x:c r="B477" s="30" t="str">
        <x:v>AeroVironment</x:v>
      </x:c>
      <x:c r="C477" s="30" t="str">
        <x:v>B9</x:v>
      </x:c>
      <x:c r="D477" s="30" t="str">
        <x:v>AeroVironment — UAVs/Drones: P550</x:v>
      </x:c>
    </x:row>
    <x:row r="478">
      <x:c r="A478" s="30" t="str">
        <x:v>https://www.avinc.com/solution/puma-3-ae/</x:v>
      </x:c>
      <x:c r="B478" s="30" t="str">
        <x:v>AeroVironment</x:v>
      </x:c>
      <x:c r="C478" s="30" t="str">
        <x:v>B9</x:v>
      </x:c>
      <x:c r="D478" s="30" t="str">
        <x:v>AeroVironment — UAVs/Drones: Puma 3 AE</x:v>
      </x:c>
    </x:row>
    <x:row r="479">
      <x:c r="A479" s="30" t="str">
        <x:v>https://www.avinc.com/solution/puma-le/</x:v>
      </x:c>
      <x:c r="B479" s="30" t="str">
        <x:v>AeroVironment</x:v>
      </x:c>
      <x:c r="C479" s="30" t="str">
        <x:v>B9</x:v>
      </x:c>
      <x:c r="D479" s="30" t="str">
        <x:v>AeroVironment — UAVs/Drones: Puma LE</x:v>
      </x:c>
    </x:row>
    <x:row r="480">
      <x:c r="A480" s="30" t="str">
        <x:v>https://www.avinc.com/solution/raven-b/</x:v>
      </x:c>
      <x:c r="B480" s="30" t="str">
        <x:v>AeroVironment</x:v>
      </x:c>
      <x:c r="C480" s="30" t="str">
        <x:v>B9</x:v>
      </x:c>
      <x:c r="D480" s="30" t="str">
        <x:v>AeroVironment — UAVs/Drones: RQ-11B Raven</x:v>
      </x:c>
    </x:row>
    <x:row r="481">
      <x:c r="A481" s="30" t="str">
        <x:v>https://www.avinc.com/solution/raven/</x:v>
      </x:c>
      <x:c r="B481" s="30" t="str">
        <x:v>AeroVironment</x:v>
      </x:c>
      <x:c r="C481" s="30" t="str">
        <x:v>B9</x:v>
      </x:c>
      <x:c r="D481" s="30" t="str">
        <x:v>AeroVironment — UAVs/Drones: RQ-11B Raven</x:v>
      </x:c>
    </x:row>
    <x:row r="482">
      <x:c r="A482" s="30" t="str">
        <x:v>https://www.avinc.com/solution/switchblade-300-block-20/</x:v>
      </x:c>
      <x:c r="B482" s="30" t="str">
        <x:v>AeroVironment</x:v>
      </x:c>
      <x:c r="C482" s="30" t="str">
        <x:v>B9</x:v>
      </x:c>
      <x:c r="D482" s="30" t="str">
        <x:v>AeroVironment — UAVs/Drones: Switchblade 300 Block 20</x:v>
      </x:c>
    </x:row>
    <x:row r="483">
      <x:c r="A483" s="30" t="str">
        <x:v>https://www.avinc.com/solution/switchblade-600/</x:v>
      </x:c>
      <x:c r="B483" s="30" t="str">
        <x:v>AeroVironment</x:v>
      </x:c>
      <x:c r="C483" s="30" t="str">
        <x:v>B9</x:v>
      </x:c>
      <x:c r="D483" s="30" t="str">
        <x:v>AeroVironment — UAVs/Drones: Switchblade 600</x:v>
      </x:c>
    </x:row>
    <x:row r="484">
      <x:c r="A484" s="30" t="str">
        <x:v>https://www.avinc.com/wp-content/uploads/2026/03/2025_Switchblade-300B20_Datasheet_250911_v07.pdf</x:v>
      </x:c>
      <x:c r="B484" s="30" t="str">
        <x:v>AeroVironment</x:v>
      </x:c>
      <x:c r="C484" s="30" t="str">
        <x:v>B9</x:v>
      </x:c>
      <x:c r="D484" s="30" t="str">
        <x:v>AeroVironment — UAVs/Drones: Switchblade 300 Block 20</x:v>
      </x:c>
    </x:row>
    <x:row r="485">
      <x:c r="A485" s="30" t="str">
        <x:v>https://www.aweil.in/?lang=en</x:v>
      </x:c>
      <x:c r="B485" s="30" t="str">
        <x:v>AWEIL</x:v>
      </x:c>
      <x:c r="C485" s="30" t="str">
        <x:v>B1</x:v>
      </x:c>
      <x:c r="D485" s="30" t="str">
        <x:v>AWEIL — company details</x:v>
      </x:c>
    </x:row>
    <x:row r="486">
      <x:c r="A486" s="30" t="str">
        <x:v>https://www.aweil.in/about?lang=en</x:v>
      </x:c>
      <x:c r="B486" s="30" t="str">
        <x:v>AWEIL</x:v>
      </x:c>
      <x:c r="C486" s="30" t="str">
        <x:v>B1</x:v>
      </x:c>
      <x:c r="D486" s="30" t="str">
        <x:v>AWEIL — company details</x:v>
      </x:c>
    </x:row>
    <x:row r="487">
      <x:c r="A487" s="30" t="str">
        <x:v>https://www.aweil.in/download/Annual-Report-2021-22-Handbook.pdf?v=1.68</x:v>
      </x:c>
      <x:c r="B487" s="30" t="str">
        <x:v>AWEIL</x:v>
      </x:c>
      <x:c r="C487" s="30" t="str">
        <x:v>B1</x:v>
      </x:c>
      <x:c r="D487" s="30" t="str">
        <x:v>AWEIL — Artillery: Sharang 155 mm × 45 Cal Up-Gunned Artillery System
AWEIL — Ammunition: 105 mm Colour Shells
AWEIL — Ammunition: 105 mm HE Shells
AWEIL — Ammunition: 105 mm Illuminating Shells
AWEIL — Ammunition: 105 mm Smoke Shells
AWEIL — Ammunition: 120 mm Tank Ammunition
AWEIL — Ammunition: 125 mm Tank Ammunition
AWEIL — Ammunition: 130 mm Artillery Ammunition
AWEIL — Ammunition: 155 mm Artillery Ammunition
AWEIL — Ammunition: 30 mm Shells
AWEIL — Ammunition: 40 mm Shells
AWEIL — Ammunition: 51 mm Mortar Bombs</x:v>
      </x:c>
    </x:row>
    <x:row r="488">
      <x:c r="A488" s="30" t="str">
        <x:v>https://www.aweil.in/download/Annual-Report-2024-25-en.pdf?v=1.87</x:v>
      </x:c>
      <x:c r="B488" s="30" t="str">
        <x:v>AWEIL</x:v>
      </x:c>
      <x:c r="C488" s="30" t="str">
        <x:v>B1</x:v>
      </x:c>
      <x:c r="D488" s="30" t="str">
        <x:v>AWEIL — Artillery: 105 mm Light Field Gun (LFG)
AWEIL — Artillery: 120 mm Mortar
AWEIL — Artillery: 155 mm × 52 Cal Mounted Gun System (MGS)
AWEIL — Artillery: 155 mm × 52 Cal Towed Gun System (TGS)
AWEIL — Artillery: 81 mm Mortar
AWEIL — Artillery: Arjun Tank Gun / Ordnance
AWEIL — Artillery: Dhanush 155 mm × 45 Cal Artillery Gun System
AWEIL — Artillery: T-72 Tank Gun / Ordnance
AWEIL — Artillery: T-90 Tank Gun / Ordnance
AWEIL — Small Arms: 12 Bore Pump Action Gun
AWEIL — Small Arms: 7.62 mm LMG Belt-Fed
AWEIL — Small Arms: 7.62 mm MAG Machine Gun</x:v>
      </x:c>
    </x:row>
    <x:row r="489">
      <x:c r="A489" s="30" t="str">
        <x:v>https://www.aweil.in/download/rti/manuals_standard/1.1.pdf</x:v>
      </x:c>
      <x:c r="B489" s="30" t="str">
        <x:v>AWEIL</x:v>
      </x:c>
      <x:c r="C489" s="30" t="str">
        <x:v>B1</x:v>
      </x:c>
      <x:c r="D489" s="30" t="str">
        <x:v>AWEIL — Artillery: 105 mm Light Field Gun (LFG)
AWEIL — Artillery: 120 mm Mortar
AWEIL — Artillery: 81 mm Mortar
AWEIL — Artillery: Arjun Tank Gun / Ordnance
AWEIL — Artillery: Dhanush 155 mm × 45 Cal Artillery Gun System
AWEIL — Artillery: Sharang 155 mm × 45 Cal Up-Gunned Artillery System
AWEIL — Artillery: T-72 Tank Gun / Ordnance
AWEIL — Artillery: T-90 Tank Gun / Ordnance
AWEIL — Ammunition: 105 mm Colour Shells
AWEIL — Ammunition: 105 mm HE Shells
AWEIL — Ammunition: 105 mm Illuminating Shells
AWEIL — Ammunition: 105 mm Smoke Shells</x:v>
      </x:c>
    </x:row>
    <x:row r="490">
      <x:c r="A490" s="30" t="str">
        <x:v>https://www.aweil.in/products</x:v>
      </x:c>
      <x:c r="B490" s="30" t="str">
        <x:v>AWEIL</x:v>
      </x:c>
      <x:c r="C490" s="30" t="str">
        <x:v>B1</x:v>
      </x:c>
      <x:c r="D490" s="30" t="str">
        <x:v>AWEIL — Artillery: 120 mm Mortar
AWEIL — Artillery: 81 mm Mortar
AWEIL — Small Arms: .315 Sporting Rifle
AWEIL — Small Arms: 12 Bore Pump Action Gun
AWEIL — Small Arms: 12.7 mm Air Defence Gun
AWEIL — Small Arms: 12.7 mm Light Weight Anti-Material Rifle (AMR)
AWEIL — Small Arms: 14.5 mm Field Artillery Training System
AWEIL — Small Arms: 14.5 mm Sub-Caliber Device
AWEIL — Small Arms: 14.5/20 mm Anti-Material Rifle (Vidhwanshak)
AWEIL — Small Arms: 23 mm Ghasha Gun
AWEIL — Small Arms: 30 mm Cannon Gun
AWEIL — Small Arms: 38 mm Multi Shell Launcher</x:v>
      </x:c>
    </x:row>
    <x:row r="491">
      <x:c r="A491" s="30" t="str">
        <x:v>https://www.babcockinternational.com/investors/annual-report-financial-statements-2026/</x:v>
      </x:c>
      <x:c r="B491" s="30" t="str">
        <x:v>Babcock</x:v>
      </x:c>
      <x:c r="C491" s="30" t="str">
        <x:v>B9</x:v>
      </x:c>
      <x:c r="D491" s="30" t="str">
        <x:v>Babcock — company details</x:v>
      </x:c>
    </x:row>
    <x:row r="492">
      <x:c r="A492" s="30" t="str">
        <x:v>https://www.babcockinternational.com/news/babcock-and-st-engineering-launch-uk-manufactured-120mm-mortar-to-strengthen-uk-defence-capabilities/</x:v>
      </x:c>
      <x:c r="B492" s="30" t="str">
        <x:v>Babcock</x:v>
      </x:c>
      <x:c r="C492" s="30" t="str">
        <x:v>B9</x:v>
      </x:c>
      <x:c r="D492" s="30" t="str">
        <x:v>Babcock — Artillery: 120 mm Ground Deployed Advanced Mortar System (GDAMS)</x:v>
      </x:c>
    </x:row>
    <x:row r="493">
      <x:c r="A493" s="30" t="str">
        <x:v>https://www.babcockinternational.com/news/david-lockwood-appointed-knight-of-frances-legion-of-honour/</x:v>
      </x:c>
      <x:c r="B493" s="30" t="str">
        <x:v>Babcock</x:v>
      </x:c>
      <x:c r="C493" s="30" t="str">
        <x:v>B9</x:v>
      </x:c>
      <x:c r="D493" s="30" t="str">
        <x:v>Babcock — company details</x:v>
      </x:c>
    </x:row>
    <x:row r="494">
      <x:c r="A494" s="30" t="str">
        <x:v>https://www.babcockinternational.com/news/hms-venturer-ventures-forth-as-the-first-type-31-frigate-makes-its-debut/</x:v>
      </x:c>
      <x:c r="B494" s="30" t="str">
        <x:v>Babcock</x:v>
      </x:c>
      <x:c r="C494" s="30" t="str">
        <x:v>B9</x:v>
      </x:c>
      <x:c r="D494" s="30" t="str">
        <x:v>Babcock — Marine/Naval: Arrowhead 140 Frigate
Babcock — Marine/Naval: Type 31 Inspiration-class Frigate</x:v>
      </x:c>
    </x:row>
    <x:row r="495">
      <x:c r="A495" s="30" t="str">
        <x:v>https://www.babcockinternational.com/what-we-do/product/design-develop-and-manufacture/</x:v>
      </x:c>
      <x:c r="B495" s="30" t="str">
        <x:v>Babcock</x:v>
      </x:c>
      <x:c r="C495" s="30" t="str">
        <x:v>B9</x:v>
      </x:c>
      <x:c r="D495" s="30" t="str">
        <x:v>Babcock — Protected Vehicles: General Logistics Vehicle (GLV)
Babcock — Protected Vehicles: Jackal 3 / HMT High Mobility Transporter Programme
Babcock — company details</x:v>
      </x:c>
    </x:row>
    <x:row r="496">
      <x:c r="A496" s="30" t="str">
        <x:v>https://www.babcockinternational.com/what-we-do/product/design-develop-and-manufacture/ground-deployed-advanced-mortar-system/</x:v>
      </x:c>
      <x:c r="B496" s="30" t="str">
        <x:v>Babcock</x:v>
      </x:c>
      <x:c r="C496" s="30" t="str">
        <x:v>B9</x:v>
      </x:c>
      <x:c r="D496" s="30" t="str">
        <x:v>Babcock — Artillery: 120 mm Ground Deployed Advanced Mortar System (GDAMS)</x:v>
      </x:c>
    </x:row>
    <x:row r="497">
      <x:c r="A497" s="30" t="str">
        <x:v>https://www.babcockinternational.com/what-we-do/product/design-develop-and-manufacture/the-arrowhead-family/arrowhead-120/</x:v>
      </x:c>
      <x:c r="B497" s="30" t="str">
        <x:v>Babcock</x:v>
      </x:c>
      <x:c r="C497" s="30" t="str">
        <x:v>B9</x:v>
      </x:c>
      <x:c r="D497" s="30" t="str">
        <x:v>Babcock — Marine/Naval: Arrowhead 120 Frigate</x:v>
      </x:c>
    </x:row>
    <x:row r="498">
      <x:c r="A498" s="30" t="str">
        <x:v>https://www.babcockinternational.com/what-we-do/product/design-develop-and-manufacture/the-arrowhead-family/arrowhead-140/</x:v>
      </x:c>
      <x:c r="B498" s="30" t="str">
        <x:v>Babcock</x:v>
      </x:c>
      <x:c r="C498" s="30" t="str">
        <x:v>B9</x:v>
      </x:c>
      <x:c r="D498" s="30" t="str">
        <x:v>Babcock — Marine/Naval: Arrowhead 140 Frigate</x:v>
      </x:c>
    </x:row>
    <x:row r="499">
      <x:c r="A499" s="30" t="str">
        <x:v>https://www.babcockinternational.com/what-we-do/product/design-develop-and-manufacture/type-31/</x:v>
      </x:c>
      <x:c r="B499" s="30" t="str">
        <x:v>Babcock</x:v>
      </x:c>
      <x:c r="C499" s="30" t="str">
        <x:v>B9</x:v>
      </x:c>
      <x:c r="D499" s="30" t="str">
        <x:v>Babcock — Marine/Naval: Type 31 Inspiration-class Frigate</x:v>
      </x:c>
    </x:row>
    <x:row r="500">
      <x:c r="A500" s="30" t="str">
        <x:v>https://www.babcockinternational.com/who-we-are/leadership-and-governance/the-board/harry-holt-dso-obe/</x:v>
      </x:c>
      <x:c r="B500" s="30" t="str">
        <x:v>Babcock</x:v>
      </x:c>
      <x:c r="C500" s="30" t="str">
        <x:v>B9</x:v>
      </x:c>
      <x:c r="D500" s="30" t="str">
        <x:v>Babcock — company details</x:v>
      </x:c>
    </x:row>
    <x:row r="501">
      <x:c r="A501" s="30" t="str">
        <x:v>https://www.babcockinternational.com/wp-content/uploads/2024/11/Babcock-HY25-half-year-results-statement-13.11.24.pdf</x:v>
      </x:c>
      <x:c r="B501" s="30" t="str">
        <x:v>Babcock</x:v>
      </x:c>
      <x:c r="C501" s="30" t="str">
        <x:v>B9</x:v>
      </x:c>
      <x:c r="D501" s="30" t="str">
        <x:v>Babcock — Protected Vehicles: General Logistics Vehicle (GLV)
Babcock — Protected Vehicles: Jackal 3 / HMT High Mobility Transporter Programme</x:v>
      </x:c>
    </x:row>
    <x:row r="502">
      <x:c r="A502" s="30" t="str">
        <x:v>https://www.baesystems.com/annualreport/2025</x:v>
      </x:c>
      <x:c r="B502" s="30" t="str">
        <x:v>BAE Systems</x:v>
      </x:c>
      <x:c r="C502" s="30" t="str">
        <x:v>B1</x:v>
      </x:c>
      <x:c r="D502" s="30" t="str">
        <x:v>BAE Systems — company details</x:v>
      </x:c>
    </x:row>
    <x:row r="503">
      <x:c r="A503" s="30" t="str">
        <x:v>https://www.baesystems.com/dam/jcr%3A460e123c-94b6-4bea-a619-eed32a8b87a7</x:v>
      </x:c>
      <x:c r="B503" s="30" t="str">
        <x:v>BAE Systems</x:v>
      </x:c>
      <x:c r="C503" s="30" t="str">
        <x:v>B1</x:v>
      </x:c>
      <x:c r="D503" s="30" t="str">
        <x:v>BAE Systems — Artillery: M777 Lightweight Towed 155 mm Howitzer</x:v>
      </x:c>
    </x:row>
    <x:row r="504">
      <x:c r="A504" s="30" t="str">
        <x:v>https://www.baesystems.com/dam/jcr%3A86d9ad40-5148-45ab-9a0a-d5069169f316</x:v>
      </x:c>
      <x:c r="B504" s="30" t="str">
        <x:v>BAE Systems</x:v>
      </x:c>
      <x:c r="C504" s="30" t="str">
        <x:v>B1</x:v>
      </x:c>
      <x:c r="D504" s="30" t="str">
        <x:v>BAE Systems — Artillery: M109-52 Self-Propelled Howitzer</x:v>
      </x:c>
    </x:row>
    <x:row r="505">
      <x:c r="A505" s="30" t="str">
        <x:v>https://www.baesystems.com/dam/jcr%3A891d545e-5925-442e-a4b1-65172af2647d</x:v>
      </x:c>
      <x:c r="B505" s="30" t="str">
        <x:v>BAE Systems</x:v>
      </x:c>
      <x:c r="C505" s="30" t="str">
        <x:v>B1</x:v>
      </x:c>
      <x:c r="D505" s="30" t="str">
        <x:v>BAE Systems — Artillery: M109A7</x:v>
      </x:c>
    </x:row>
    <x:row r="506">
      <x:c r="A506" s="30" t="str">
        <x:v>https://www.baesystems.com/en-uk/product/destroyers</x:v>
      </x:c>
      <x:c r="B506" s="30" t="str">
        <x:v>BAE Systems</x:v>
      </x:c>
      <x:c r="C506" s="30" t="str">
        <x:v>B1</x:v>
      </x:c>
      <x:c r="D506" s="30" t="str">
        <x:v>BAE Systems — Marine/Naval: Type 45 Daring-class Air Defence Destroyer</x:v>
      </x:c>
    </x:row>
    <x:row r="507">
      <x:c r="A507" s="30" t="str">
        <x:v>https://www.baesystems.com/en-uk/product/mk-45-mod-4-naval-gun-system</x:v>
      </x:c>
      <x:c r="B507" s="30" t="str">
        <x:v>BAE Systems</x:v>
      </x:c>
      <x:c r="C507" s="30" t="str">
        <x:v>B1</x:v>
      </x:c>
      <x:c r="D507" s="30" t="str">
        <x:v>BAE Systems — Marine/Naval: Mk45 Mod 4 Naval Gun System</x:v>
      </x:c>
    </x:row>
    <x:row r="508">
      <x:c r="A508" s="30" t="str">
        <x:v>https://www.baesystems.com/en-uk/what-we-do/land/combat-vehicles</x:v>
      </x:c>
      <x:c r="B508" s="30" t="str">
        <x:v>BAE Systems</x:v>
      </x:c>
      <x:c r="C508" s="30" t="str">
        <x:v>B1</x:v>
      </x:c>
      <x:c r="D508" s="30" t="str">
        <x:v>BAE Systems — Protected Vehicles: ACV
BAE Systems — Protected Vehicles: AMPV
BAE Systems — Protected Vehicles: Bradley Fighting Vehicle
BAE Systems — Protected Vehicles: BvS10
BAE Systems — Protected Vehicles: BvS10 Beowulf
BAE Systems — Protected Vehicles: CV90
BAE Systems — Protected Vehicles: CV90 Armadillo
BAE Systems — Protected Vehicles: CV90 MkIV
BAE Systems — Protected Vehicles: CV90120
BAE Systems — Protected Vehicles: M113 Family
BAE Systems — Protected Vehicles: M88 HERCULES</x:v>
      </x:c>
    </x:row>
    <x:row r="509">
      <x:c r="A509" s="30" t="str">
        <x:v>https://www.baesystems.com/en-uk/what-we-do/weapon-systems/munitions</x:v>
      </x:c>
      <x:c r="B509" s="30" t="str">
        <x:v>BAE Systems</x:v>
      </x:c>
      <x:c r="C509" s="30" t="str">
        <x:v>B1</x:v>
      </x:c>
      <x:c r="D509" s="30" t="str">
        <x:v>BAE Systems — Ammunition: 105 mm Artillery Ammunition
BAE Systems — Ammunition: 120 mm Mortar Ammunition
BAE Systems — Ammunition: 155 mm Artillery Ammunition
BAE Systems — Ammunition: 3P Programmable Ammunition
BAE Systems — Ammunition: 4.5-inch Naval Ammunition
BAE Systems — Ammunition: 40 mm Cased Telescoped Ammunition
BAE Systems — Ammunition: 5.56 mm Small Arms Ammunition
BAE Systems — Ammunition: 7.62 mm Small Arms Ammunition
BAE Systems — Ammunition: 81 mm Mortar Ammunition
BAE Systems — Ammunition: BlackThorn Mission-Configurable Warheads
BAE Systems — Ammunition: Bofors 155 BONUS
BAE Systems — Ammunition: Hypervelocity Projectile (HVP)</x:v>
      </x:c>
    </x:row>
    <x:row r="510">
      <x:c r="A510" s="30" t="str">
        <x:v>https://www.baesystems.com/en-uk/what-we-do/weapon-systems/naval-weapons</x:v>
      </x:c>
      <x:c r="B510" s="30" t="str">
        <x:v>BAE Systems</x:v>
      </x:c>
      <x:c r="C510" s="30" t="str">
        <x:v>B1</x:v>
      </x:c>
      <x:c r="D510" s="30" t="str">
        <x:v>BAE Systems — Marine/Naval: 57 mm Naval Gun System / Bofors 57 Mk3</x:v>
      </x:c>
    </x:row>
    <x:row r="511">
      <x:c r="A511" s="30" t="str">
        <x:v>https://www.baesystems.com/en-us/product/57mm-naval-gun-system</x:v>
      </x:c>
      <x:c r="B511" s="30" t="str">
        <x:v>BAE Systems</x:v>
      </x:c>
      <x:c r="C511" s="30" t="str">
        <x:v>B1</x:v>
      </x:c>
      <x:c r="D511" s="30" t="str">
        <x:v>BAE Systems — Marine/Naval: 57 mm Naval Gun System / Bofors 57 Mk3</x:v>
      </x:c>
    </x:row>
    <x:row r="512">
      <x:c r="A512" s="30" t="str">
        <x:v>https://www.baesystems.com/en-us/product/amphibious-combat-vehicle</x:v>
      </x:c>
      <x:c r="B512" s="30" t="str">
        <x:v>BAE Systems</x:v>
      </x:c>
      <x:c r="C512" s="30" t="str">
        <x:v>B1</x:v>
      </x:c>
      <x:c r="D512" s="30" t="str">
        <x:v>BAE Systems — Protected Vehicles: ACV</x:v>
      </x:c>
    </x:row>
    <x:row r="513">
      <x:c r="A513" s="30" t="str">
        <x:v>https://www.baesystems.com/en-us/product/apkws</x:v>
      </x:c>
      <x:c r="B513" s="30" t="str">
        <x:v>BAE Systems</x:v>
      </x:c>
      <x:c r="C513" s="30" t="str">
        <x:v>B1</x:v>
      </x:c>
      <x:c r="D513" s="30" t="str">
        <x:v>BAE Systems — Missiles: APKWS
BAE Systems — company details</x:v>
      </x:c>
    </x:row>
    <x:row r="514">
      <x:c r="A514" s="30" t="str">
        <x:v>https://www.baesystems.com/en-us/product/archer</x:v>
      </x:c>
      <x:c r="B514" s="30" t="str">
        <x:v>BAE Systems</x:v>
      </x:c>
      <x:c r="C514" s="30" t="str">
        <x:v>B1</x:v>
      </x:c>
      <x:c r="D514" s="30" t="str">
        <x:v>BAE Systems — Artillery: ARCHER Mobile Howitzer</x:v>
      </x:c>
    </x:row>
    <x:row r="515">
      <x:c r="A515" s="30" t="str">
        <x:v>https://www.baesystems.com/en-us/product/cv90-mkiv</x:v>
      </x:c>
      <x:c r="B515" s="30" t="str">
        <x:v>BAE Systems</x:v>
      </x:c>
      <x:c r="C515" s="30" t="str">
        <x:v>B1</x:v>
      </x:c>
      <x:c r="D515" s="30" t="str">
        <x:v>BAE Systems — Protected Vehicles: CV90 MkIV</x:v>
      </x:c>
    </x:row>
    <x:row r="516">
      <x:c r="A516" s="30" t="str">
        <x:v>https://www.baesystems.com/en-us/product/m109-52-self-propelled-howitzer</x:v>
      </x:c>
      <x:c r="B516" s="30" t="str">
        <x:v>BAE Systems</x:v>
      </x:c>
      <x:c r="C516" s="30" t="str">
        <x:v>B1</x:v>
      </x:c>
      <x:c r="D516" s="30" t="str">
        <x:v>BAE Systems — Artillery: M109-52 Self-Propelled Howitzer</x:v>
      </x:c>
    </x:row>
    <x:row r="517">
      <x:c r="A517" s="30" t="str">
        <x:v>https://www.baesystems.com/en-us/product/m109a7</x:v>
      </x:c>
      <x:c r="B517" s="30" t="str">
        <x:v>BAE Systems</x:v>
      </x:c>
      <x:c r="C517" s="30" t="str">
        <x:v>B1</x:v>
      </x:c>
      <x:c r="D517" s="30" t="str">
        <x:v>BAE Systems — Artillery: M109A7</x:v>
      </x:c>
    </x:row>
    <x:row r="518">
      <x:c r="A518" s="30" t="str">
        <x:v>https://www.baesystems.com/en-us/product/phasa-35</x:v>
      </x:c>
      <x:c r="B518" s="30" t="str">
        <x:v>BAE Systems</x:v>
      </x:c>
      <x:c r="C518" s="30" t="str">
        <x:v>B1</x:v>
      </x:c>
      <x:c r="D518" s="30" t="str">
        <x:v>BAE Systems — UAVs/Drones: PHASA-35</x:v>
      </x:c>
    </x:row>
    <x:row r="519">
      <x:c r="A519" s="30" t="str">
        <x:v>https://www.baesystems.com/en-us/product/precision-guided-munitions</x:v>
      </x:c>
      <x:c r="B519" s="30" t="str">
        <x:v>BAE Systems</x:v>
      </x:c>
      <x:c r="C519" s="30" t="str">
        <x:v>B1</x:v>
      </x:c>
      <x:c r="D519" s="30" t="str">
        <x:v>BAE Systems — Ammunition: 105 mm Artillery Ammunition
BAE Systems — Ammunition: 120 mm Mortar Ammunition
BAE Systems — Ammunition: 155 mm Artillery Ammunition
BAE Systems — Ammunition: 3P Programmable Ammunition
BAE Systems — Ammunition: 4.5-inch Naval Ammunition
BAE Systems — Ammunition: 40 mm Cased Telescoped Ammunition
BAE Systems — Ammunition: 5.56 mm Small Arms Ammunition
BAE Systems — Ammunition: 7.62 mm Small Arms Ammunition
BAE Systems — Ammunition: 81 mm Mortar Ammunition
BAE Systems — Ammunition: BlackThorn Mission-Configurable Warheads
BAE Systems — Ammunition: Bofors 155 BONUS
BAE Systems — Ammunition: Hypervelocity Projectile (HVP)</x:v>
      </x:c>
    </x:row>
    <x:row r="520">
      <x:c r="A520" s="30" t="str">
        <x:v>https://www.baesystems.com/en-us/product/uncrewed-air-systems</x:v>
      </x:c>
      <x:c r="B520" s="30" t="str">
        <x:v>BAE Systems</x:v>
      </x:c>
      <x:c r="C520" s="30" t="str">
        <x:v>B1</x:v>
      </x:c>
      <x:c r="D520" s="30" t="str">
        <x:v>BAE Systems — UAVs/Drones: Brontanax
BAE Systems — UAVs/Drones: Capstone
BAE Systems — UAVs/Drones: DEMON
BAE Systems — UAVs/Drones: Fregata
BAE Systems — UAVs/Drones: Koios
BAE Systems — UAVs/Drones: Nyan
BAE Systems — UAVs/Drones: PHASA-35
BAE Systems — UAVs/Drones: T-600
BAE Systems — UAVs/Drones: T-650
BAE Systems — UAVs/Drones: Taranis</x:v>
      </x:c>
    </x:row>
    <x:row r="521">
      <x:c r="A521" s="30" t="str">
        <x:v>https://www.baesystems.com/en-us/what-we-do/land/artillery</x:v>
      </x:c>
      <x:c r="B521" s="30" t="str">
        <x:v>BAE Systems</x:v>
      </x:c>
      <x:c r="C521" s="30" t="str">
        <x:v>B1</x:v>
      </x:c>
      <x:c r="D521" s="30" t="str">
        <x:v>BAE Systems — Artillery: ARCHER Mobile Howitzer
BAE Systems — Artillery: M109-52 Self-Propelled Howitzer
BAE Systems — Artillery: M109A7
BAE Systems — Artillery: M777 Lightweight Towed 155 mm Howitzer
BAE Systems — Artillery: TRIDON Mk2
BAE Systems — appendix: LEMUR</x:v>
      </x:c>
    </x:row>
    <x:row r="522">
      <x:c r="A522" s="30" t="str">
        <x:v>https://www.baesystems.com/en-us/who-we-are/platforms-and-services/products-and-services</x:v>
      </x:c>
      <x:c r="B522" s="30" t="str">
        <x:v>BAE Systems</x:v>
      </x:c>
      <x:c r="C522" s="30" t="str">
        <x:v>B1</x:v>
      </x:c>
      <x:c r="D522" s="30" t="str">
        <x:v>BAE Systems — Marine/Naval: 57 mm Naval Gun System / Bofors 57 Mk3
BAE Systems — Marine/Naval: Adaptable Deck Launching System (ADLS)
BAE Systems — Marine/Naval: Archerfish Mine Disposal System
BAE Systems — Marine/Naval: Bofors 40 Mk4 Naval Gun
BAE Systems — Marine/Naval: Mk38 Mod 3 Machine Gun System
BAE Systems — Marine/Naval: Mk45 Mod 4 Naval Gun System
BAE Systems — Marine/Naval: Spearfish Heavyweight Torpedo
BAE Systems — Marine/Naval: Sting Ray Mod 1 Lightweight Torpedo
BAE Systems — Marine/Naval: VLS Mk41
BAE Systems — appendix: Bofors LEMUR</x:v>
      </x:c>
    </x:row>
    <x:row r="523">
      <x:c r="A523" s="30" t="str">
        <x:v>https://www.baesystems.com/en/article/brimstone-missile-contract-boosts-manufacturing-at-bae-systems</x:v>
      </x:c>
      <x:c r="B523" s="30" t="str">
        <x:v>BAE Systems</x:v>
      </x:c>
      <x:c r="C523" s="30" t="str">
        <x:v>B1</x:v>
      </x:c>
      <x:c r="D523" s="30" t="str">
        <x:v>BAE Systems — appendix: Brimstone</x:v>
      </x:c>
    </x:row>
    <x:row r="524">
      <x:c r="A524" s="30" t="str">
        <x:v>https://www.baesystems.com/en/article/t-600-electric-uncrewed-demonstrator-aircraft-achieves-significant-milestone-at-nato-exercise</x:v>
      </x:c>
      <x:c r="B524" s="30" t="str">
        <x:v>BAE Systems</x:v>
      </x:c>
      <x:c r="C524" s="30" t="str">
        <x:v>B1</x:v>
      </x:c>
      <x:c r="D524" s="30" t="str">
        <x:v>BAE Systems — UAVs/Drones: T-600</x:v>
      </x:c>
    </x:row>
    <x:row r="525">
      <x:c r="A525" s="30" t="str">
        <x:v>https://www.baesystems.com/en/leadership/board-of-directors</x:v>
      </x:c>
      <x:c r="B525" s="30" t="str">
        <x:v>BAE Systems</x:v>
      </x:c>
      <x:c r="C525" s="30" t="str">
        <x:v>B1</x:v>
      </x:c>
      <x:c r="D525" s="30" t="str">
        <x:v>BAE Systems — company details</x:v>
      </x:c>
    </x:row>
    <x:row r="526">
      <x:c r="A526" s="30" t="str">
        <x:v>https://www.baesystems.com/en/leadership/executive-committee</x:v>
      </x:c>
      <x:c r="B526" s="30" t="str">
        <x:v>BAE Systems</x:v>
      </x:c>
      <x:c r="C526" s="30" t="str">
        <x:v>B1</x:v>
      </x:c>
      <x:c r="D526" s="30" t="str">
        <x:v>BAE Systems — company details</x:v>
      </x:c>
    </x:row>
    <x:row r="527">
      <x:c r="A527" s="30" t="str">
        <x:v>https://www.baesystems.com/en/our-company/company-information</x:v>
      </x:c>
      <x:c r="B527" s="30" t="str">
        <x:v>BAE Systems</x:v>
      </x:c>
      <x:c r="C527" s="30" t="str">
        <x:v>B1</x:v>
      </x:c>
      <x:c r="D527" s="30" t="str">
        <x:v>BAE Systems — company details</x:v>
      </x:c>
    </x:row>
    <x:row r="528">
      <x:c r="A528" s="30" t="str">
        <x:v>https://www.baesystems.com/en/product/155-bonus</x:v>
      </x:c>
      <x:c r="B528" s="30" t="str">
        <x:v>BAE Systems</x:v>
      </x:c>
      <x:c r="C528" s="30" t="str">
        <x:v>B1</x:v>
      </x:c>
      <x:c r="D528" s="30" t="str">
        <x:v>BAE Systems — Ammunition: Bofors 155 BONUS</x:v>
      </x:c>
    </x:row>
    <x:row r="529">
      <x:c r="A529" s="30" t="str">
        <x:v>https://www.baesystems.com/en/product/4-5inch-naval-ammunition</x:v>
      </x:c>
      <x:c r="B529" s="30" t="str">
        <x:v>BAE Systems</x:v>
      </x:c>
      <x:c r="C529" s="30" t="str">
        <x:v>B1</x:v>
      </x:c>
      <x:c r="D529" s="30" t="str">
        <x:v>BAE Systems — Ammunition: 4.5-inch Naval Ammunition</x:v>
      </x:c>
    </x:row>
    <x:row r="530">
      <x:c r="A530" s="30" t="str">
        <x:v>https://www.baesystems.com/en/product/556mm-ball</x:v>
      </x:c>
      <x:c r="B530" s="30" t="str">
        <x:v>BAE Systems</x:v>
      </x:c>
      <x:c r="C530" s="30" t="str">
        <x:v>B1</x:v>
      </x:c>
      <x:c r="D530" s="30" t="str">
        <x:v>BAE Systems — Ammunition: 5.56 mm Small Arms Ammunition</x:v>
      </x:c>
    </x:row>
    <x:row r="531">
      <x:c r="A531" s="30" t="str">
        <x:v>https://www.baesystems.com/en/product/archer-switzerland</x:v>
      </x:c>
      <x:c r="B531" s="30" t="str">
        <x:v>BAE Systems</x:v>
      </x:c>
      <x:c r="C531" s="30" t="str">
        <x:v>B1</x:v>
      </x:c>
      <x:c r="D531" s="30" t="str">
        <x:v>BAE Systems — Artillery: ARCHER Mobile Howitzer</x:v>
      </x:c>
    </x:row>
    <x:row r="532">
      <x:c r="A532" s="30" t="str">
        <x:v>https://www.baesystems.com/en/product/assault-amphibious-vehicle</x:v>
      </x:c>
      <x:c r="B532" s="30" t="str">
        <x:v>BAE Systems</x:v>
      </x:c>
      <x:c r="C532" s="30" t="str">
        <x:v>B1</x:v>
      </x:c>
      <x:c r="D532" s="30" t="str">
        <x:v>BAE Systems — Protected Vehicles: AAV7A1 Assault Amphibious Vehicle</x:v>
      </x:c>
    </x:row>
    <x:row r="533">
      <x:c r="A533" s="30" t="str">
        <x:v>https://www.baesystems.com/en/product/astute-class-submarines</x:v>
      </x:c>
      <x:c r="B533" s="30" t="str">
        <x:v>BAE Systems</x:v>
      </x:c>
      <x:c r="C533" s="30" t="str">
        <x:v>B1</x:v>
      </x:c>
      <x:c r="D533" s="30" t="str">
        <x:v>BAE Systems — Marine/Naval: Astute-class Attack Submarine
BAE Systems — company details</x:v>
      </x:c>
    </x:row>
    <x:row r="534">
      <x:c r="A534" s="30" t="str">
        <x:v>https://www.baesystems.com/en/product/bradley-fighting-vehicle</x:v>
      </x:c>
      <x:c r="B534" s="30" t="str">
        <x:v>BAE Systems</x:v>
      </x:c>
      <x:c r="C534" s="30" t="str">
        <x:v>B1</x:v>
      </x:c>
      <x:c r="D534" s="30" t="str">
        <x:v>BAE Systems — Protected Vehicles: Bradley Fighting Vehicle</x:v>
      </x:c>
    </x:row>
    <x:row r="535">
      <x:c r="A535" s="30" t="str">
        <x:v>https://www.baesystems.com/en/product/cv90-armadillo--multirole-flexibility</x:v>
      </x:c>
      <x:c r="B535" s="30" t="str">
        <x:v>BAE Systems</x:v>
      </x:c>
      <x:c r="C535" s="30" t="str">
        <x:v>B1</x:v>
      </x:c>
      <x:c r="D535" s="30" t="str">
        <x:v>BAE Systems — Protected Vehicles: CV90 Armadillo</x:v>
      </x:c>
    </x:row>
    <x:row r="536">
      <x:c r="A536" s="30" t="str">
        <x:v>https://www.baesystems.com/en/product/cv90-ifv-worldleading-combat-capability</x:v>
      </x:c>
      <x:c r="B536" s="30" t="str">
        <x:v>BAE Systems</x:v>
      </x:c>
      <x:c r="C536" s="30" t="str">
        <x:v>B1</x:v>
      </x:c>
      <x:c r="D536" s="30" t="str">
        <x:v>BAE Systems — Protected Vehicles: CV90
BAE Systems — company details</x:v>
      </x:c>
    </x:row>
    <x:row r="537">
      <x:c r="A537" s="30" t="str">
        <x:v>https://www.baesystems.com/en/product/cv90120--strong-agile-lethal</x:v>
      </x:c>
      <x:c r="B537" s="30" t="str">
        <x:v>BAE Systems</x:v>
      </x:c>
      <x:c r="C537" s="30" t="str">
        <x:v>B1</x:v>
      </x:c>
      <x:c r="D537" s="30" t="str">
        <x:v>BAE Systems — Protected Vehicles: CV90120</x:v>
      </x:c>
    </x:row>
    <x:row r="538">
      <x:c r="A538" s="30" t="str">
        <x:v>https://www.baesystems.com/en/product/global-combat-ship</x:v>
      </x:c>
      <x:c r="B538" s="30" t="str">
        <x:v>BAE Systems</x:v>
      </x:c>
      <x:c r="C538" s="30" t="str">
        <x:v>B1</x:v>
      </x:c>
      <x:c r="D538" s="30" t="str">
        <x:v>BAE Systems — Marine/Naval: Type 26 Global Combat Ship</x:v>
      </x:c>
    </x:row>
    <x:row r="539">
      <x:c r="A539" s="30" t="str">
        <x:v>https://www.baesystems.com/en/product/phasa-35</x:v>
      </x:c>
      <x:c r="B539" s="30" t="str">
        <x:v>BAE Systems</x:v>
      </x:c>
      <x:c r="C539" s="30" t="str">
        <x:v>B1</x:v>
      </x:c>
      <x:c r="D539" s="30" t="str">
        <x:v>BAE Systems — UAVs/Drones: PHASA-35</x:v>
      </x:c>
    </x:row>
    <x:row r="540">
      <x:c r="A540" s="30" t="str">
        <x:v>https://www.baesystems.com/en/product/t-series</x:v>
      </x:c>
      <x:c r="B540" s="30" t="str">
        <x:v>BAE Systems</x:v>
      </x:c>
      <x:c r="C540" s="30" t="str">
        <x:v>B1</x:v>
      </x:c>
      <x:c r="D540" s="30" t="str">
        <x:v>BAE Systems — UAVs/Drones: T-Series Heavy-Lift UAS</x:v>
      </x:c>
    </x:row>
    <x:row r="541">
      <x:c r="A541" s="30" t="str">
        <x:v>https://www.baesystems.com/en/product/taranis</x:v>
      </x:c>
      <x:c r="B541" s="30" t="str">
        <x:v>BAE Systems</x:v>
      </x:c>
      <x:c r="C541" s="30" t="str">
        <x:v>B1</x:v>
      </x:c>
      <x:c r="D541" s="30" t="str">
        <x:v>BAE Systems — UAVs/Drones: Taranis</x:v>
      </x:c>
    </x:row>
    <x:row r="542">
      <x:c r="A542" s="30" t="str">
        <x:v>https://www.baesystems.com/en/product/tridon-mk2</x:v>
      </x:c>
      <x:c r="B542" s="30" t="str">
        <x:v>BAE Systems</x:v>
      </x:c>
      <x:c r="C542" s="30" t="str">
        <x:v>B1</x:v>
      </x:c>
      <x:c r="D542" s="30" t="str">
        <x:v>BAE Systems — Artillery: TRIDON Mk2</x:v>
      </x:c>
    </x:row>
    <x:row r="543">
      <x:c r="A543" s="30" t="str">
        <x:v>https://www.baesystems.com/en/product~small-arms-ammunition-5-56mm~</x:v>
      </x:c>
      <x:c r="B543" s="30" t="str">
        <x:v>BAE Systems</x:v>
      </x:c>
      <x:c r="C543" s="30" t="str">
        <x:v>B1</x:v>
      </x:c>
      <x:c r="D543" s="30" t="str">
        <x:v>BAE Systems — Ammunition: 5.56 mm Small Arms Ammunition</x:v>
      </x:c>
    </x:row>
    <x:row r="544">
      <x:c r="A544" s="30" t="str">
        <x:v>https://www.baesystems.com/en/product~small-arms-ammunition-7-62mm~</x:v>
      </x:c>
      <x:c r="B544" s="30" t="str">
        <x:v>BAE Systems</x:v>
      </x:c>
      <x:c r="C544" s="30" t="str">
        <x:v>B1</x:v>
      </x:c>
      <x:c r="D544" s="30" t="str">
        <x:v>BAE Systems — Ammunition: 7.62 mm Small Arms Ammunition</x:v>
      </x:c>
    </x:row>
    <x:row r="545">
      <x:c r="A545" s="30" t="str">
        <x:v>https://www.baesystems.com/en/what-we-do/air</x:v>
      </x:c>
      <x:c r="B545" s="30" t="str">
        <x:v>BAE Systems</x:v>
      </x:c>
      <x:c r="C545" s="30" t="str">
        <x:v>B1</x:v>
      </x:c>
      <x:c r="D545" s="30" t="str">
        <x:v>BAE Systems — UAVs/Drones: DEMON</x:v>
      </x:c>
    </x:row>
    <x:row r="546">
      <x:c r="A546" s="30" t="str">
        <x:v>https://www.baesystems.com/en/what-we-do/land</x:v>
      </x:c>
      <x:c r="B546" s="30" t="str">
        <x:v>BAE Systems</x:v>
      </x:c>
      <x:c r="C546" s="30" t="str">
        <x:v>B1</x:v>
      </x:c>
      <x:c r="D546" s="30" t="str">
        <x:v>BAE Systems — Ammunition: 105 mm Artillery Ammunition
BAE Systems — Ammunition: 155 mm Artillery Ammunition
BAE Systems — Protected Vehicles: ACV
BAE Systems — Protected Vehicles: Bradley Fighting Vehicle</x:v>
      </x:c>
    </x:row>
    <x:row r="547">
      <x:c r="A547" s="30" t="str">
        <x:v>https://www.baesystems.com/investors/shareholder-faqs</x:v>
      </x:c>
      <x:c r="B547" s="30" t="str">
        <x:v>BAE Systems</x:v>
      </x:c>
      <x:c r="C547" s="30" t="str">
        <x:v>B1</x:v>
      </x:c>
      <x:c r="D547" s="30" t="str">
        <x:v>BAE Systems — company details</x:v>
      </x:c>
    </x:row>
    <x:row r="548">
      <x:c r="A548" s="30" t="str">
        <x:v>https://www.bdl-india.in/VLSRSAM</x:v>
      </x:c>
      <x:c r="B548" s="30" t="str">
        <x:v>Bharat Dynamics Ltd (BDL)</x:v>
      </x:c>
      <x:c r="C548" s="30" t="str">
        <x:v>B5</x:v>
      </x:c>
      <x:c r="D548" s="30" t="str">
        <x:v>Bharat Dynamics Ltd (BDL) — Missiles: VL-SRSAM</x:v>
      </x:c>
    </x:row>
    <x:row r="549">
      <x:c r="A549" s="30" t="str">
        <x:v>https://www.bdl-india.in/annual-reports</x:v>
      </x:c>
      <x:c r="B549" s="30" t="str">
        <x:v>Bharat Dynamics Ltd (BDL)</x:v>
      </x:c>
      <x:c r="C549" s="30" t="str">
        <x:v>B5</x:v>
      </x:c>
      <x:c r="D549" s="30" t="str">
        <x:v>Bharat Dynamics Ltd (BDL) — company details</x:v>
      </x:c>
    </x:row>
    <x:row r="550">
      <x:c r="A550" s="30" t="str">
        <x:v>https://www.bdl-india.in/message-cmd</x:v>
      </x:c>
      <x:c r="B550" s="30" t="str">
        <x:v>Bharat Dynamics Ltd (BDL)</x:v>
      </x:c>
      <x:c r="C550" s="30" t="str">
        <x:v>B5</x:v>
      </x:c>
      <x:c r="D550" s="30" t="str">
        <x:v>Bharat Dynamics Ltd (BDL) — company details</x:v>
      </x:c>
    </x:row>
    <x:row r="551">
      <x:c r="A551" s="30" t="str">
        <x:v>https://www.bdl-india.in/sites/default/files/Detailsofbusiness.pdf</x:v>
      </x:c>
      <x:c r="B551" s="30" t="str">
        <x:v>Bharat Dynamics Ltd (BDL)</x:v>
      </x:c>
      <x:c r="C551" s="30" t="str">
        <x:v>B5</x:v>
      </x:c>
      <x:c r="D551" s="30" t="str">
        <x:v>Bharat Dynamics Ltd (BDL) — Marine/Naval: TAL / Advanced Light Weight Torpedo</x:v>
      </x:c>
    </x:row>
    <x:row r="552">
      <x:c r="A552" s="30" t="str">
        <x:v>https://www.brahmos.com/</x:v>
      </x:c>
      <x:c r="B552" s="30" t="str">
        <x:v>BrahMos Aerospace</x:v>
      </x:c>
      <x:c r="C552" s="30" t="str">
        <x:v>B10</x:v>
      </x:c>
      <x:c r="D552" s="30" t="str">
        <x:v>BrahMos Aerospace — Missiles: BRAHMOS Air-Launched Cruise Missile (ALCM)
BrahMos Aerospace — Missiles: BRAHMOS Land-Based Weapon System
BrahMos Aerospace — Missiles: BRAHMOS Ship-Based Weapon System
BrahMos Aerospace — Missiles: BRAHMOS Submarine-Launched Cruise Missile (SLCM)</x:v>
      </x:c>
    </x:row>
    <x:row r="553">
      <x:c r="A553" s="30" t="str">
        <x:v>https://www.brahmos.com/feature-of-brahmos</x:v>
      </x:c>
      <x:c r="B553" s="30" t="str">
        <x:v>BrahMos Aerospace</x:v>
      </x:c>
      <x:c r="C553" s="30" t="str">
        <x:v>B10</x:v>
      </x:c>
      <x:c r="D553" s="30" t="str">
        <x:v>BrahMos Aerospace — Missiles: BRAHMOS Submarine-Launched Cruise Missile (SLCM)
BrahMos Aerospace — Missiles: BRAHMOS-II Hypersonic Cruise Missile</x:v>
      </x:c>
    </x:row>
    <x:row r="554">
      <x:c r="A554" s="30" t="str">
        <x:v>https://www.brahmos.com/index.php/page/air-launch-system</x:v>
      </x:c>
      <x:c r="B554" s="30" t="str">
        <x:v>BrahMos Aerospace</x:v>
      </x:c>
      <x:c r="C554" s="30" t="str">
        <x:v>B10</x:v>
      </x:c>
      <x:c r="D554" s="30" t="str">
        <x:v>BrahMos Aerospace — Missiles: BRAHMOS Air-Launched Cruise Missile (ALCM)</x:v>
      </x:c>
    </x:row>
    <x:row r="555">
      <x:c r="A555" s="30" t="str">
        <x:v>https://www.brahmos.com/index.php/page/company-profile</x:v>
      </x:c>
      <x:c r="B555" s="30" t="str">
        <x:v>BrahMos Aerospace</x:v>
      </x:c>
      <x:c r="C555" s="30" t="str">
        <x:v>B10</x:v>
      </x:c>
      <x:c r="D555" s="30" t="str">
        <x:v>BrahMos Aerospace — company details</x:v>
      </x:c>
    </x:row>
    <x:row r="556">
      <x:c r="A556" s="30" t="str">
        <x:v>https://www.brahmos.com/page/brahmos-missile</x:v>
      </x:c>
      <x:c r="B556" s="30" t="str">
        <x:v>BrahMos Aerospace</x:v>
      </x:c>
      <x:c r="C556" s="30" t="str">
        <x:v>B10</x:v>
      </x:c>
      <x:c r="D556" s="30" t="str">
        <x:v>BrahMos Aerospace — Missiles: BRAHMOS Land-Based Weapon System
BrahMos Aerospace — Missiles: BRAHMOS Ship-Based Weapon System</x:v>
      </x:c>
    </x:row>
    <x:row r="557">
      <x:c r="A557" s="30" t="str">
        <x:v>https://www.brahmos.com/page/brahmos-ng</x:v>
      </x:c>
      <x:c r="B557" s="30" t="str">
        <x:v>BrahMos Aerospace</x:v>
      </x:c>
      <x:c r="C557" s="30" t="str">
        <x:v>B10</x:v>
      </x:c>
      <x:c r="D557" s="30" t="str">
        <x:v>BrahMos Aerospace — Missiles: BRAHMOS-NG</x:v>
      </x:c>
    </x:row>
    <x:row r="558">
      <x:c r="A558" s="30" t="str">
        <x:v>https://www.brahmos.com/page/ceo-md</x:v>
      </x:c>
      <x:c r="B558" s="30" t="str">
        <x:v>BrahMos Aerospace</x:v>
      </x:c>
      <x:c r="C558" s="30" t="str">
        <x:v>B10</x:v>
      </x:c>
      <x:c r="D558" s="30" t="str">
        <x:v>BrahMos Aerospace — company details</x:v>
      </x:c>
    </x:row>
    <x:row r="559">
      <x:c r="A559" s="30" t="str">
        <x:v>https://www.brahmos.com/page/land-based-system</x:v>
      </x:c>
      <x:c r="B559" s="30" t="str">
        <x:v>BrahMos Aerospace</x:v>
      </x:c>
      <x:c r="C559" s="30" t="str">
        <x:v>B10</x:v>
      </x:c>
      <x:c r="D559" s="30" t="str">
        <x:v>BrahMos Aerospace — Missiles: BRAHMOS Land Attack Block-I
BrahMos Aerospace — Missiles: BRAHMOS Land Attack Block-III
BrahMos Aerospace — Missiles: BRAHMOS Land-Based Weapon System
BrahMos Aerospace — Missiles: BRAHMOS Ship-Based Weapon System</x:v>
      </x:c>
    </x:row>
    <x:row r="560">
      <x:c r="A560" s="30" t="str">
        <x:v>https://www.brahmos.com/press-release/214</x:v>
      </x:c>
      <x:c r="B560" s="30" t="str">
        <x:v>BrahMos Aerospace</x:v>
      </x:c>
      <x:c r="C560" s="30" t="str">
        <x:v>B10</x:v>
      </x:c>
      <x:c r="D560" s="30" t="str">
        <x:v>BrahMos Aerospace — Missiles: BRAHMOS Air-Launched Cruise Missile (ALCM)</x:v>
      </x:c>
    </x:row>
    <x:row r="561">
      <x:c r="A561" s="30" t="str">
        <x:v>https://www.business-standard.com/markets/capital-market-news/investment-precision-castings-wins-order-from-plr-systems-125071500202_1.html</x:v>
      </x:c>
      <x:c r="B561" s="30" t="str">
        <x:v>PLR Systems (IWI+Adani)</x:v>
      </x:c>
      <x:c r="C561" s="30" t="str">
        <x:v>B4</x:v>
      </x:c>
      <x:c r="D561" s="30" t="str">
        <x:v>PLR Systems (IWI+Adani) — Small Arms: GALIL Sniper S.A.
PLR Systems (IWI+Adani) — Small Arms: IWI CQB Carbine / PLR Jeet programme</x:v>
      </x:c>
    </x:row>
    <x:row r="562">
      <x:c r="A562" s="30" t="str">
        <x:v>https://www.cbinsights.com/company/tata-advanced-systems</x:v>
      </x:c>
      <x:c r="B562" s="30" t="str">
        <x:v>Tata Advanced Systems</x:v>
      </x:c>
      <x:c r="C562" s="30" t="str">
        <x:v>B3</x:v>
      </x:c>
      <x:c r="D562" s="30" t="str">
        <x:v>Tata Advanced Systems — company details</x:v>
      </x:c>
    </x:row>
    <x:row r="563">
      <x:c r="A563" s="30" t="str">
        <x:v>https://www.congress.gov/</x:v>
      </x:c>
      <x:c r="B563" s="30" t="str">
        <x:v>Oshkosh Defense</x:v>
      </x:c>
      <x:c r="C563" s="30" t="str">
        <x:v>B5</x:v>
      </x:c>
      <x:c r="D563" s="30" t="str">
        <x:v>Oshkosh Defense — Protected Vehicles: JLTV</x:v>
      </x:c>
    </x:row>
    <x:row r="564">
      <x:c r="A564" s="30" t="str">
        <x:v>https://www.cpeae.army.mil/Portals/94/Documents/JPEOAAPortfolioBook_2025.pdf</x:v>
      </x:c>
      <x:c r="B564" s="30" t="str">
        <x:v>RTX (Raytheon)</x:v>
      </x:c>
      <x:c r="C564" s="30" t="str">
        <x:v>B8</x:v>
      </x:c>
      <x:c r="D564" s="30" t="str">
        <x:v>RTX (Raytheon) — Ammunition: M982A1 Excalibur 155 mm</x:v>
      </x:c>
    </x:row>
    <x:row r="565">
      <x:c r="A565" s="30" t="str">
        <x:v>https://www.cpeae.army.mil/Project-Offices/PM-CAS/Organizations/Precision-Attack-Cannon-Munitions/Products/Excalibur/</x:v>
      </x:c>
      <x:c r="B565" s="30" t="str">
        <x:v>RTX (Raytheon)</x:v>
      </x:c>
      <x:c r="C565" s="30" t="str">
        <x:v>B8</x:v>
      </x:c>
      <x:c r="D565" s="30" t="str">
        <x:v>RTX (Raytheon) — Ammunition: M982A1 Excalibur 155 mm</x:v>
      </x:c>
    </x:row>
    <x:row r="566">
      <x:c r="A566" s="30" t="str">
        <x:v>https://www.cpeae.army.mil/Project-Offices/PM-CAS/Organizations/Tactical-Artillery-Systems/Products/M777A2/</x:v>
      </x:c>
      <x:c r="B566" s="30" t="str">
        <x:v>BAE Systems</x:v>
      </x:c>
      <x:c r="C566" s="30" t="str">
        <x:v>B1</x:v>
      </x:c>
      <x:c r="D566" s="30" t="str">
        <x:v>BAE Systems — Artillery: M777 Lightweight Towed 155 mm Howitzer</x:v>
      </x:c>
    </x:row>
    <x:row r="567">
      <x:c r="A567" s="30" t="str">
        <x:v>https://www.crisil.com/mnt/winshare/Ratings/RatingList/RatingDocs/SolarIndustriesIndiaLimited_April%2023_%202026_RR_393359.html</x:v>
      </x:c>
      <x:c r="B567" s="30" t="str">
        <x:v>Solar Industries</x:v>
      </x:c>
      <x:c r="C567" s="30" t="str">
        <x:v>B10</x:v>
      </x:c>
      <x:c r="D567" s="30" t="str">
        <x:v>Solar Industries — Ammunition: Akash Composite Propellant
Solar Industries — Ammunition: BrahMos Composite Propellant / Booster Materials
Solar Industries — Ammunition: HMX / RDX / TNT High-Energy Materials
Solar Industries — Ammunition: Pinaka Rocket Propellant</x:v>
      </x:c>
    </x:row>
    <x:row r="568">
      <x:c r="A568" s="30" t="str">
        <x:v>https://www.ddpmod.gov.in/en/resources/products/155mm-electronically-upgraded-artillery-gun-system-dhanush</x:v>
      </x:c>
      <x:c r="B568" s="30" t="str">
        <x:v>AWEIL</x:v>
      </x:c>
      <x:c r="C568" s="30" t="str">
        <x:v>B1</x:v>
      </x:c>
      <x:c r="D568" s="30" t="str">
        <x:v>AWEIL — Artillery: Dhanush 155 mm × 45 Cal Artillery Gun System</x:v>
      </x:c>
    </x:row>
    <x:row r="569">
      <x:c r="A569" s="30" t="str">
        <x:v>https://www.ddpmod.gov.in/en/resources/products/akash-weapon-system</x:v>
      </x:c>
      <x:c r="B569" s="30" t="str">
        <x:v>Bharat Dynamics Ltd (BDL)</x:v>
      </x:c>
      <x:c r="C569" s="30" t="str">
        <x:v>B5</x:v>
      </x:c>
      <x:c r="D569" s="30" t="str">
        <x:v>Bharat Dynamics Ltd (BDL) — Missiles: Akash Weapon System</x:v>
      </x:c>
    </x:row>
    <x:row r="570">
      <x:c r="A570" s="30" t="str">
        <x:v>https://www.ddpmod.gov.in/en/resources/products/astra-weapon-system</x:v>
      </x:c>
      <x:c r="B570" s="30" t="str">
        <x:v>Bharat Dynamics Ltd (BDL)</x:v>
      </x:c>
      <x:c r="C570" s="30" t="str">
        <x:v>B5</x:v>
      </x:c>
      <x:c r="D570" s="30" t="str">
        <x:v>Bharat Dynamics Ltd (BDL) — Missiles: Astra Mk-I Weapon System</x:v>
      </x:c>
    </x:row>
    <x:row r="571">
      <x:c r="A571" s="30" t="str">
        <x:v>https://www.ddpmod.gov.in/en/resources/products/loitering-munition-system-als-50-and-als-50-mk-ii</x:v>
      </x:c>
      <x:c r="B571" s="30" t="str">
        <x:v>Tata Advanced Systems</x:v>
      </x:c>
      <x:c r="C571" s="30" t="str">
        <x:v>B3</x:v>
      </x:c>
      <x:c r="D571" s="30" t="str">
        <x:v>Tata Advanced Systems — UAVs/Drones: ALS-50 Loitering Munition</x:v>
      </x:c>
    </x:row>
    <x:row r="572">
      <x:c r="A572" s="30" t="str">
        <x:v>https://www.ddpmod.gov.in/en/resources/products/multi-purpose-vessels-mpv</x:v>
      </x:c>
      <x:c r="B572" s="30" t="str">
        <x:v>Larsen &amp; Toubro (L&amp;T)</x:v>
      </x:c>
      <x:c r="C572" s="30" t="str">
        <x:v>B3</x:v>
      </x:c>
      <x:c r="D572" s="30" t="str">
        <x:v>Larsen &amp; Toubro (L&amp;T) — Marine/Naval: Multi-Purpose Vessel (MPV)</x:v>
      </x:c>
    </x:row>
    <x:row r="573">
      <x:c r="A573" s="30" t="str">
        <x:v>https://www.ddpmod.gov.in/en/resources/products/offshore-patrol-vessel-opv</x:v>
      </x:c>
      <x:c r="B573" s="30" t="str">
        <x:v>Larsen &amp; Toubro (L&amp;T)</x:v>
      </x:c>
      <x:c r="C573" s="30" t="str">
        <x:v>B3</x:v>
      </x:c>
      <x:c r="D573" s="30" t="str">
        <x:v>Larsen &amp; Toubro (L&amp;T) — Marine/Naval: Offshore Patrol Vessel (OPV)</x:v>
      </x:c>
    </x:row>
    <x:row r="574">
      <x:c r="A574" s="30" t="str">
        <x:v>https://www.ddpmod.gov.in/en/resources/products/sss-defence-g-72-p</x:v>
      </x:c>
      <x:c r="B574" s="30" t="str">
        <x:v>SSS Defence</x:v>
      </x:c>
      <x:c r="C574" s="30" t="str">
        <x:v>B6</x:v>
      </x:c>
      <x:c r="D574" s="30" t="str">
        <x:v>SSS Defence — Small Arms: TYTO / .300 Blackout Sniper</x:v>
      </x:c>
    </x:row>
    <x:row r="575">
      <x:c r="A575" s="30" t="str">
        <x:v>https://www.ddpmod.gov.in/en/resources/products/sss-defence-g-72-p-0</x:v>
      </x:c>
      <x:c r="B575" s="30" t="str">
        <x:v>SSS Defence</x:v>
      </x:c>
      <x:c r="C575" s="30" t="str">
        <x:v>B6</x:v>
      </x:c>
      <x:c r="D575" s="30" t="str">
        <x:v>SSS Defence — Small Arms: G72 P</x:v>
      </x:c>
    </x:row>
    <x:row r="576">
      <x:c r="A576" s="30" t="str">
        <x:v>https://www.ddpmod.gov.in/en/resources/products/sss-defence-p-72</x:v>
      </x:c>
      <x:c r="B576" s="30" t="str">
        <x:v>SSS Defence</x:v>
      </x:c>
      <x:c r="C576" s="30" t="str">
        <x:v>B6</x:v>
      </x:c>
      <x:c r="D576" s="30" t="str">
        <x:v>SSS Defence — Small Arms: TYTO / .300 Blackout Sniper</x:v>
      </x:c>
    </x:row>
    <x:row r="577">
      <x:c r="A577" s="30" t="str">
        <x:v>https://www.ddpmod.gov.in/en/resources/products/sss-defence-saber</x:v>
      </x:c>
      <x:c r="B577" s="30" t="str">
        <x:v>SSS Defence</x:v>
      </x:c>
      <x:c r="C577" s="30" t="str">
        <x:v>B6</x:v>
      </x:c>
      <x:c r="D577" s="30" t="str">
        <x:v>SSS Defence — Small Arms: TYTO / .300 Blackout Sniper</x:v>
      </x:c>
    </x:row>
    <x:row r="578">
      <x:c r="A578" s="30" t="str">
        <x:v>https://www.ddpmod.gov.in/en/resources/products/sss-defence-viper</x:v>
      </x:c>
      <x:c r="B578" s="30" t="str">
        <x:v>SSS Defence</x:v>
      </x:c>
      <x:c r="C578" s="30" t="str">
        <x:v>B6</x:v>
      </x:c>
      <x:c r="D578" s="30" t="str">
        <x:v>SSS Defence — Small Arms: TYTO / .300 Blackout Sniper</x:v>
      </x:c>
    </x:row>
    <x:row r="579">
      <x:c r="A579" s="30" t="str">
        <x:v>https://www.ddpmod.gov.in/hi/node/7169</x:v>
      </x:c>
      <x:c r="B579" s="30" t="str">
        <x:v>Munitions India Ltd (MIL)</x:v>
      </x:c>
      <x:c r="C579" s="30" t="str">
        <x:v>B5</x:v>
      </x:c>
      <x:c r="D579" s="30" t="str">
        <x:v>Munitions India Ltd (MIL) — Ammunition: 125 mm HE Tank Ammunition</x:v>
      </x:c>
    </x:row>
    <x:row r="580">
      <x:c r="A580" s="30" t="str">
        <x:v>https://www.ddpmod.gov.in/hi/node/7205</x:v>
      </x:c>
      <x:c r="B580" s="30" t="str">
        <x:v>AWEIL</x:v>
      </x:c>
      <x:c r="C580" s="30" t="str">
        <x:v>B1</x:v>
      </x:c>
      <x:c r="D580" s="30" t="str">
        <x:v>AWEIL — Marine/Naval: AK-630 30 mm Six-Barrel Naval Gun</x:v>
      </x:c>
    </x:row>
    <x:row r="581">
      <x:c r="A581" s="30" t="str">
        <x:v>https://www.ddpmod.gov.in/hi/node/7209</x:v>
      </x:c>
      <x:c r="B581" s="30" t="str">
        <x:v>AWEIL</x:v>
      </x:c>
      <x:c r="C581" s="30" t="str">
        <x:v>B1</x:v>
      </x:c>
      <x:c r="D581" s="30" t="str">
        <x:v>AWEIL — Small Arms: 7.62 mm MAG Machine Gun</x:v>
      </x:c>
    </x:row>
    <x:row r="582">
      <x:c r="A582" s="30" t="str">
        <x:v>https://www.ddpmod.gov.in/hi/node/7449</x:v>
      </x:c>
      <x:c r="B582" s="30" t="str">
        <x:v>SSS Defence</x:v>
      </x:c>
      <x:c r="C582" s="30" t="str">
        <x:v>B6</x:v>
      </x:c>
      <x:c r="D582" s="30" t="str">
        <x:v>SSS Defence — Small Arms: M72 LMG</x:v>
      </x:c>
    </x:row>
    <x:row r="583">
      <x:c r="A583" s="30" t="str">
        <x:v>https://www.ddpmod.gov.in/hi/node/7458</x:v>
      </x:c>
      <x:c r="B583" s="30" t="str">
        <x:v>Solar Industries</x:v>
      </x:c>
      <x:c r="C583" s="30" t="str">
        <x:v>B10</x:v>
      </x:c>
      <x:c r="D583" s="30" t="str">
        <x:v>Solar Industries — Ammunition: 30 mm AK-630 HE-T
Solar Industries — Ammunition: 30 mm AK-630 HEI
Solar Industries — Ammunition: 30 mm BMP-II HEI / HE-T Family</x:v>
      </x:c>
    </x:row>
    <x:row r="584">
      <x:c r="A584" s="30" t="str">
        <x:v>https://www.ddpmod.gov.in/sites/default/files/2023-11/second_book.pdf</x:v>
      </x:c>
      <x:c r="B584" s="30" t="str">
        <x:v>Mahindra Defence</x:v>
      </x:c>
      <x:c r="C584" s="30" t="str">
        <x:v>B3</x:v>
      </x:c>
      <x:c r="D584" s="30" t="str">
        <x:v>Mahindra Defence — Protected Vehicles: Mine Protected Vehicle-I (MPV-I)
Mahindra Defence — Marine/Naval: Mahindra Underwater Systems — Torpedo Launchers / Sonar Dome / Naval Loaders</x:v>
      </x:c>
    </x:row>
    <x:row r="585">
      <x:c r="A585" s="30" t="str">
        <x:v>https://www.ddpmod.gov.in/sites/default/files/bf61221eee3553c03edd105e1dd467671bab7375e0629701ab5da8253410cab6/a83ee5c715c65dd2eee569675fa4423f1d74f8be474e06fb950ab406169edee1.pdf</x:v>
      </x:c>
      <x:c r="B585" s="30" t="str">
        <x:v>Mahindra Defence, Munitions India Ltd (MIL)</x:v>
      </x:c>
      <x:c r="C585" s="30" t="str">
        <x:v>B3, B5</x:v>
      </x:c>
      <x:c r="D585" s="30" t="str">
        <x:v>Mahindra Defence — Ammunition: Anti-Submarine Bombs
Mahindra Defence — Ammunition: Sea Mines
Mahindra Defence — Protected Vehicles: Mine Protected Vehicle-I (MPV-I)
Mahindra Defence — Protected Vehicles: Rakshak / Rakshak Plus
Mahindra Defence — Marine/Naval: Decoy Launchers
Mahindra Defence — Marine/Naval: Torpedo Launchers
Munitions India Ltd (MIL) — Ammunition: 155 mm Bi-Modular Charge System M91 / M92
Munitions India Ltd (MIL) — Ammunition: 155 mm HE ERFB-BB
Munitions India Ltd (MIL) — Ammunition: 155 mm HE ERFB-BT
Munitions India Ltd (MIL) — Ammunition: 155 mm HE M107
Munitions India Ltd (MIL) — Ammunition: 155 mm HE M77B
Munitions India Ltd (MIL) — Ammunition: 155 mm Illuminating ERFB</x:v>
      </x:c>
    </x:row>
    <x:row r="586">
      <x:c r="A586" s="30" t="str">
        <x:v>https://www.defenceexim.gov.in/WriteReadData/AbovehorizonsIndustry.pdf</x:v>
      </x:c>
      <x:c r="B586" s="30" t="str">
        <x:v>Adani Defence</x:v>
      </x:c>
      <x:c r="C586" s="30" t="str">
        <x:v>B10</x:v>
      </x:c>
      <x:c r="D586" s="30" t="str">
        <x:v>Adani Defence — UAVs/Drones: DRISHTI 10 Starliner</x:v>
      </x:c>
    </x:row>
    <x:row r="587">
      <x:c r="A587" s="30" t="str">
        <x:v>https://www.defenceexim.gov.in/WriteReadData/modN-pdf</x:v>
      </x:c>
      <x:c r="B587" s="30" t="str">
        <x:v>Tata Advanced Systems</x:v>
      </x:c>
      <x:c r="C587" s="30" t="str">
        <x:v>B3</x:v>
      </x:c>
      <x:c r="D587" s="30" t="str">
        <x:v>Tata Advanced Systems — Protected Vehicles: Tata Mine Protected Vehicle family</x:v>
      </x:c>
    </x:row>
    <x:row r="588">
      <x:c r="A588" s="30" t="str">
        <x:v>https://www.defenceexim.gov.in/WriteReadData/modN.pdf</x:v>
      </x:c>
      <x:c r="B588" s="30" t="str">
        <x:v>Tata Advanced Systems, Mahindra Defence</x:v>
      </x:c>
      <x:c r="C588" s="30" t="str">
        <x:v>B3</x:v>
      </x:c>
      <x:c r="D588" s="30" t="str">
        <x:v>Tata Advanced Systems — Protected Vehicles: Tata Armoured Personnel Carrier 4x4 / Mine Protected Vehicle
Mahindra Defence — Protected Vehicles: Marksman
Mahindra Defence — Protected Vehicles: Rakshak / Rakshak Plus</x:v>
      </x:c>
    </x:row>
    <x:row r="589">
      <x:c r="A589" s="30" t="str">
        <x:v>https://www.defenceexim.gov.in/WriteReadData/modsdd.pdf</x:v>
      </x:c>
      <x:c r="B589" s="30" t="str">
        <x:v>Mahindra Defence</x:v>
      </x:c>
      <x:c r="C589" s="30" t="str">
        <x:v>B3</x:v>
      </x:c>
      <x:c r="D589" s="30" t="str">
        <x:v>Mahindra Defence — Marine/Naval: Decoy Launchers
Mahindra Defence — Marine/Naval: Mahindra Underwater Systems — Torpedo Launchers / Sonar Dome / Naval Loaders
Mahindra Defence — Marine/Naval: Torpedo Launchers</x:v>
      </x:c>
    </x:row>
    <x:row r="590">
      <x:c r="A590" s="30" t="str">
        <x:v>https://www.designation-systems.net/dusrm/m-189.html</x:v>
      </x:c>
      <x:c r="B590" s="30" t="str">
        <x:v>Rheinmetall</x:v>
      </x:c>
      <x:c r="C590" s="30" t="str">
        <x:v>B2</x:v>
      </x:c>
      <x:c r="D590" s="30" t="str">
        <x:v>Rheinmetall — appendix: Barracuda 500M Cruise Missile</x:v>
      </x:c>
    </x:row>
    <x:row r="591">
      <x:c r="A591" s="30" t="str">
        <x:v>https://www.diehl.com/cms/files/Diehl_Broschuere_Defence_EN_q.pdf</x:v>
      </x:c>
      <x:c r="B591" s="30" t="str">
        <x:v>Diehl Defence</x:v>
      </x:c>
      <x:c r="C591" s="30" t="str">
        <x:v>B9</x:v>
      </x:c>
      <x:c r="D591" s="30" t="str">
        <x:v>Diehl Defence — Ammunition: 2DGMArt 155 guidance module
Diehl Defence — Ammunition: SMArt 155
Diehl Defence — Ammunition: VULCANO 155 GLR</x:v>
      </x:c>
    </x:row>
    <x:row r="592">
      <x:c r="A592" s="30" t="str">
        <x:v>https://www.drdo.gov.in/</x:v>
      </x:c>
      <x:c r="B592" s="30" t="str">
        <x:v>Bharat Dynamics Ltd (BDL)</x:v>
      </x:c>
      <x:c r="C592" s="30" t="str">
        <x:v>B5</x:v>
      </x:c>
      <x:c r="D592" s="30" t="str">
        <x:v>Bharat Dynamics Ltd (BDL) — Missiles: Helina / Dhruvastra
Bharat Dynamics Ltd (BDL) — Missiles: Man Portable ATGM (MPATGM)</x:v>
      </x:c>
    </x:row>
    <x:row r="593">
      <x:c r="A593" s="30" t="str">
        <x:v>https://www.drdo.gov.in/drdo/sites/default/files/drdo-news-documents/NPC%2014-16%20Aug%202021.pdf</x:v>
      </x:c>
      <x:c r="B593" s="30" t="str">
        <x:v>Tata Advanced Systems, Mahindra Defence</x:v>
      </x:c>
      <x:c r="C593" s="30" t="str">
        <x:v>B3</x:v>
      </x:c>
      <x:c r="D593" s="30" t="str">
        <x:v>Tata Advanced Systems — Protected Vehicles: Light Armoured Multi-Role Vehicle (LAMV) 4×4
Mahindra Defence — Protected Vehicles: Armado / Armoured Light Specialist Vehicle (ALSV)</x:v>
      </x:c>
    </x:row>
    <x:row r="594">
      <x:c r="A594" s="30" t="str">
        <x:v>https://www.drdo.gov.in/drdo/sites/default/files/drdo-news-documents/NPC05Dec2024.pdf</x:v>
      </x:c>
      <x:c r="B594" s="30" t="str">
        <x:v>Adani Defence</x:v>
      </x:c>
      <x:c r="C594" s="30" t="str">
        <x:v>B10</x:v>
      </x:c>
      <x:c r="D594" s="30" t="str">
        <x:v>Adani Defence — UAVs/Drones: DRISHTI 10 Starliner</x:v>
      </x:c>
    </x:row>
    <x:row r="595">
      <x:c r="A595" s="30" t="str">
        <x:v>https://www.drdo.gov.in/drdo/sites/default/files/drdo-news-documents/NPC07Feb2025.pdf</x:v>
      </x:c>
      <x:c r="B595" s="30" t="str">
        <x:v>Solar Industries</x:v>
      </x:c>
      <x:c r="C595" s="30" t="str">
        <x:v>B10</x:v>
      </x:c>
      <x:c r="D595" s="30" t="str">
        <x:v>Solar Industries — Ammunition: Pinaka Area Denial Munition (ADM) Type-1
Solar Industries — Ammunition: Pinaka HEPF Mk-I (Enhanced) Rocket</x:v>
      </x:c>
    </x:row>
    <x:row r="596">
      <x:c r="A596" s="30" t="str">
        <x:v>https://www.drdo.gov.in/drdo/sites/default/files/drdo-news-documents/NPC15Jul2024.pdf</x:v>
      </x:c>
      <x:c r="B596" s="30" t="str">
        <x:v>Larsen &amp; Toubro (L&amp;T)</x:v>
      </x:c>
      <x:c r="C596" s="30" t="str">
        <x:v>B3</x:v>
      </x:c>
      <x:c r="D596" s="30" t="str">
        <x:v>Larsen &amp; Toubro (L&amp;T) — Protected Vehicles: Zorawar Light Tank</x:v>
      </x:c>
    </x:row>
    <x:row r="597">
      <x:c r="A597" s="30" t="str">
        <x:v>https://www.drdo.gov.in/drdo/sites/default/files/drdo-news-documents/NPC_05-07_June_2021.pdf</x:v>
      </x:c>
      <x:c r="B597" s="30" t="str">
        <x:v>NORINCO</x:v>
      </x:c>
      <x:c r="C597" s="30" t="str">
        <x:v>B2</x:v>
      </x:c>
      <x:c r="D597" s="30" t="str">
        <x:v>NORINCO — Missiles: HJ-10 / Red Arrow 10</x:v>
      </x:c>
    </x:row>
    <x:row r="598">
      <x:c r="A598" s="30" t="str">
        <x:v>https://www.drdo.gov.in/drdo/sites/default/files/schemes_services/CompendiumProductforExport2025.pdf</x:v>
      </x:c>
      <x:c r="B598" s="30" t="str">
        <x:v>AWEIL</x:v>
      </x:c>
      <x:c r="C598" s="30" t="str">
        <x:v>B1</x:v>
      </x:c>
      <x:c r="D598" s="30" t="str">
        <x:v>AWEIL — Small Arms: 5.56 mm JVPC</x:v>
      </x:c>
    </x:row>
    <x:row r="599">
      <x:c r="A599" s="30" t="str">
        <x:v>https://www.edrmagazine.eu/eurosatory-2026-cio-enters-the-self-propelled-howitzers-domain-with-the-vbm-155</x:v>
      </x:c>
      <x:c r="B599" s="30" t="str">
        <x:v>Leonardo</x:v>
      </x:c>
      <x:c r="C599" s="30" t="str">
        <x:v>B1</x:v>
      </x:c>
      <x:c r="D599" s="30" t="str">
        <x:v>Leonardo — Artillery: VBM 155 SPH</x:v>
      </x:c>
    </x:row>
    <x:row r="600">
      <x:c r="A600" s="30" t="str">
        <x:v>https://www.elbitamerica.com/sigma</x:v>
      </x:c>
      <x:c r="B600" s="30" t="str">
        <x:v>Elbit Systems</x:v>
      </x:c>
      <x:c r="C600" s="30" t="str">
        <x:v>B2</x:v>
      </x:c>
      <x:c r="D600" s="30" t="str">
        <x:v>Elbit Systems — Artillery: SIGMA 155</x:v>
      </x:c>
    </x:row>
    <x:row r="601">
      <x:c r="A601" s="30" t="str">
        <x:v>https://www.elbitsystems.com/about-us</x:v>
      </x:c>
      <x:c r="B601" s="30" t="str">
        <x:v>Elbit Systems</x:v>
      </x:c>
      <x:c r="C601" s="30" t="str">
        <x:v>B2</x:v>
      </x:c>
      <x:c r="D601" s="30" t="str">
        <x:v>Elbit Systems — company details</x:v>
      </x:c>
    </x:row>
    <x:row r="602">
      <x:c r="A602" s="30" t="str">
        <x:v>https://www.elbitsystems.com/autonomous/aerial/loitering-munition-systems/skystriker</x:v>
      </x:c>
      <x:c r="B602" s="30" t="str">
        <x:v>Elbit Systems</x:v>
      </x:c>
      <x:c r="C602" s="30" t="str">
        <x:v>B2</x:v>
      </x:c>
      <x:c r="D602" s="30" t="str">
        <x:v>Elbit Systems — UAVs/Drones: SkyStriker</x:v>
      </x:c>
    </x:row>
    <x:row r="603">
      <x:c r="A603" s="30" t="str">
        <x:v>https://www.elbitsystems.com/autonomous/aerial/male-unmanned-aircraft-systems/hermes-900</x:v>
      </x:c>
      <x:c r="B603" s="30" t="str">
        <x:v>Elbit Systems</x:v>
      </x:c>
      <x:c r="C603" s="30" t="str">
        <x:v>B2</x:v>
      </x:c>
      <x:c r="D603" s="30" t="str">
        <x:v>Elbit Systems — UAVs/Drones: Hermes 900</x:v>
      </x:c>
    </x:row>
    <x:row r="604">
      <x:c r="A604" s="30" t="str">
        <x:v>https://www.elbitsystems.com/autonomous/aerial/tactical-uas/hermes-450</x:v>
      </x:c>
      <x:c r="B604" s="30" t="str">
        <x:v>Elbit Systems</x:v>
      </x:c>
      <x:c r="C604" s="30" t="str">
        <x:v>B2</x:v>
      </x:c>
      <x:c r="D604" s="30" t="str">
        <x:v>Elbit Systems — UAVs/Drones: Hermes 450 Tactical UAS</x:v>
      </x:c>
    </x:row>
    <x:row r="605">
      <x:c r="A605" s="30" t="str">
        <x:v>https://www.elbitsystems.com/autonomous/aerial/unmanned-operating-systems/fast-capsule</x:v>
      </x:c>
      <x:c r="B605" s="30" t="str">
        <x:v>Elbit Systems</x:v>
      </x:c>
      <x:c r="C605" s="30" t="str">
        <x:v>B2</x:v>
      </x:c>
      <x:c r="D605" s="30" t="str">
        <x:v>Elbit Systems — UAVs/Drones: FAST Capsule</x:v>
      </x:c>
    </x:row>
    <x:row r="606">
      <x:c r="A606" s="30" t="str">
        <x:v>https://www.elbitsystems.com/business-overview</x:v>
      </x:c>
      <x:c r="B606" s="30" t="str">
        <x:v>Elbit Systems</x:v>
      </x:c>
      <x:c r="C606" s="30" t="str">
        <x:v>B2</x:v>
      </x:c>
      <x:c r="D606" s="30" t="str">
        <x:v>Elbit Systems — company details</x:v>
      </x:c>
    </x:row>
    <x:row r="607">
      <x:c r="A607" s="30" t="str">
        <x:v>https://www.elbitsystems.com/corporate-governance</x:v>
      </x:c>
      <x:c r="B607" s="30" t="str">
        <x:v>Elbit Systems</x:v>
      </x:c>
      <x:c r="C607" s="30" t="str">
        <x:v>B2</x:v>
      </x:c>
      <x:c r="D607" s="30" t="str">
        <x:v>Elbit Systems — company details</x:v>
      </x:c>
    </x:row>
    <x:row r="608">
      <x:c r="A608" s="30" t="str">
        <x:v>https://www.elbitsystems.com/land/ammunition/artillery-ammunition</x:v>
      </x:c>
      <x:c r="B608" s="30" t="str">
        <x:v>Elbit Systems</x:v>
      </x:c>
      <x:c r="C608" s="30" t="str">
        <x:v>B2</x:v>
      </x:c>
      <x:c r="D608" s="30" t="str">
        <x:v>Elbit Systems — Ammunition: 155 mm Artillery Ammunition Family</x:v>
      </x:c>
    </x:row>
    <x:row r="609">
      <x:c r="A609" s="30" t="str">
        <x:v>https://www.elbitsystems.com/land/combat-vehicle-systems/warning-self-protection/iron-fist-aps</x:v>
      </x:c>
      <x:c r="B609" s="30" t="str">
        <x:v>Elbit Systems</x:v>
      </x:c>
      <x:c r="C609" s="30" t="str">
        <x:v>B2</x:v>
      </x:c>
      <x:c r="D609" s="30" t="str">
        <x:v>Elbit Systems — appendix: Iron Fist Active Protection System</x:v>
      </x:c>
    </x:row>
    <x:row r="610">
      <x:c r="A610" s="30" t="str">
        <x:v>https://www.elbitsystems.com/land/weapons-systems-and-munitions/howitzer-systems/atmos</x:v>
      </x:c>
      <x:c r="B610" s="30" t="str">
        <x:v>Elbit Systems</x:v>
      </x:c>
      <x:c r="C610" s="30" t="str">
        <x:v>B2</x:v>
      </x:c>
      <x:c r="D610" s="30" t="str">
        <x:v>Elbit Systems — Artillery: ATMOS 155 mm Self-Propelled Howitzer</x:v>
      </x:c>
    </x:row>
    <x:row r="611">
      <x:c r="A611" s="30" t="str">
        <x:v>https://www.elbitsystems.com/land/weapons-systems-and-munitions/howitzer-systems/sigma</x:v>
      </x:c>
      <x:c r="B611" s="30" t="str">
        <x:v>Elbit Systems</x:v>
      </x:c>
      <x:c r="C611" s="30" t="str">
        <x:v>B2</x:v>
      </x:c>
      <x:c r="D611" s="30" t="str">
        <x:v>Elbit Systems — Artillery: SIGMA 155</x:v>
      </x:c>
    </x:row>
    <x:row r="612">
      <x:c r="A612" s="30" t="str">
        <x:v>https://www.elbitsystems.com/land/weapons-systems-and-munitions/launchers/puls</x:v>
      </x:c>
      <x:c r="B612" s="30" t="str">
        <x:v>Elbit Systems</x:v>
      </x:c>
      <x:c r="C612" s="30" t="str">
        <x:v>B2</x:v>
      </x:c>
      <x:c r="D612" s="30" t="str">
        <x:v>Elbit Systems — Artillery: PULS — Precise &amp; Universal Launching System
Elbit Systems — Missiles: Accular 122 Guided Rocket
Elbit Systems — Missiles: Accular 160 Guided Rocket
Elbit Systems — Missiles: EXTRA Guided Rocket
Elbit Systems — Missiles: Predator Hawk Tactical Missile</x:v>
      </x:c>
    </x:row>
    <x:row r="613">
      <x:c r="A613" s="30" t="str">
        <x:v>https://www.elbitsystems.com/land/weapons-systems-and-munitions/missiles-rockets/extra</x:v>
      </x:c>
      <x:c r="B613" s="30" t="str">
        <x:v>Elbit Systems</x:v>
      </x:c>
      <x:c r="C613" s="30" t="str">
        <x:v>B2</x:v>
      </x:c>
      <x:c r="D613" s="30" t="str">
        <x:v>Elbit Systems — Missiles: EXTRA Guided Rocket</x:v>
      </x:c>
    </x:row>
    <x:row r="614">
      <x:c r="A614" s="30" t="str">
        <x:v>https://www.elbitsystems.com/land/weapons-systems-and-munitions/missiles-rockets/predator-hawk</x:v>
      </x:c>
      <x:c r="B614" s="30" t="str">
        <x:v>Elbit Systems</x:v>
      </x:c>
      <x:c r="C614" s="30" t="str">
        <x:v>B2</x:v>
      </x:c>
      <x:c r="D614" s="30" t="str">
        <x:v>Elbit Systems — Missiles: Predator Hawk Tactical Missile</x:v>
      </x:c>
    </x:row>
    <x:row r="615">
      <x:c r="A615" s="30" t="str">
        <x:v>https://www.elbitsystems.com/land/weapons-systems-and-munitions/mortar-systems/cardom</x:v>
      </x:c>
      <x:c r="B615" s="30" t="str">
        <x:v>Elbit Systems</x:v>
      </x:c>
      <x:c r="C615" s="30" t="str">
        <x:v>B2</x:v>
      </x:c>
      <x:c r="D615" s="30" t="str">
        <x:v>Elbit Systems — Artillery: CARDOM 120/81 mm Mortar System</x:v>
      </x:c>
    </x:row>
    <x:row r="616">
      <x:c r="A616" s="30" t="str">
        <x:v>https://www.elbitsystems.com/land/weapons-systems-and-munitions/mortar-systems/spear-lr-long-range</x:v>
      </x:c>
      <x:c r="B616" s="30" t="str">
        <x:v>Elbit Systems</x:v>
      </x:c>
      <x:c r="C616" s="30" t="str">
        <x:v>B2</x:v>
      </x:c>
      <x:c r="D616" s="30" t="str">
        <x:v>Elbit Systems — Artillery: SPEAR LR 120 mm Mortar</x:v>
      </x:c>
    </x:row>
    <x:row r="617">
      <x:c r="A617" s="30" t="str">
        <x:v>https://www.elbitsystems.com/land/weapons-systems-and-munitions/mortars-systems/spear</x:v>
      </x:c>
      <x:c r="B617" s="30" t="str">
        <x:v>Elbit Systems</x:v>
      </x:c>
      <x:c r="C617" s="30" t="str">
        <x:v>B2</x:v>
      </x:c>
      <x:c r="D617" s="30" t="str">
        <x:v>Elbit Systems — Artillery: SPEAR 120 mm Mortar System</x:v>
      </x:c>
    </x:row>
    <x:row r="618">
      <x:c r="A618" s="30" t="str">
        <x:v>https://www.elbitsystems.com/media/Catalog_Artillery_Ammunition_13_Web.pdf</x:v>
      </x:c>
      <x:c r="B618" s="30" t="str">
        <x:v>Hanwha (Aerospace/Group), Elbit Systems</x:v>
      </x:c>
      <x:c r="C618" s="30" t="str">
        <x:v>B2</x:v>
      </x:c>
      <x:c r="D618" s="30" t="str">
        <x:v>Hanwha (Aerospace/Group) — Ammunition: 155 mm Artillery Ammunition Family
Elbit Systems — Ammunition: 155 mm Artillery Ammunition Family</x:v>
      </x:c>
    </x:row>
    <x:row r="619">
      <x:c r="A619" s="30" t="str">
        <x:v>https://www.elbitsystems.com/news/elbit-systems-and-diehl-defence-form-strategic-partnership-offer-skystriker-loitering-munition</x:v>
      </x:c>
      <x:c r="B619" s="30" t="str">
        <x:v>Elbit Systems</x:v>
      </x:c>
      <x:c r="C619" s="30" t="str">
        <x:v>B2</x:v>
      </x:c>
      <x:c r="D619" s="30" t="str">
        <x:v>Elbit Systems — UAVs/Drones: SkyStriker</x:v>
      </x:c>
    </x:row>
    <x:row r="620">
      <x:c r="A620" s="30" t="str">
        <x:v>https://www.elbitsystems.com/news/elbit-systems-announces-results-its-annual-general-meeting-shareholders-held-august-5-2026</x:v>
      </x:c>
      <x:c r="B620" s="30" t="str">
        <x:v>Elbit Systems</x:v>
      </x:c>
      <x:c r="C620" s="30" t="str">
        <x:v>B2</x:v>
      </x:c>
      <x:c r="D620" s="30" t="str">
        <x:v>Elbit Systems — company details</x:v>
      </x:c>
    </x:row>
    <x:row r="621">
      <x:c r="A621" s="30" t="str">
        <x:v>https://www.elbitsystems.com/news/elbit-systems-awarded-95-million-contract-supply-canister-configuration-skystriker-loitering</x:v>
      </x:c>
      <x:c r="B621" s="30" t="str">
        <x:v>Elbit Systems</x:v>
      </x:c>
      <x:c r="C621" s="30" t="str">
        <x:v>B2</x:v>
      </x:c>
      <x:c r="D621" s="30" t="str">
        <x:v>Elbit Systems — UAVs/Drones: SkyStriker</x:v>
      </x:c>
    </x:row>
    <x:row r="622">
      <x:c r="A622" s="30" t="str">
        <x:v>https://www.elbitsystems.com/news/elbit-systems-reports-fourth-quarter-and-full-year-2025-results</x:v>
      </x:c>
      <x:c r="B622" s="30" t="str">
        <x:v>Elbit Systems</x:v>
      </x:c>
      <x:c r="C622" s="30" t="str">
        <x:v>B2</x:v>
      </x:c>
      <x:c r="D622" s="30" t="str">
        <x:v>Elbit Systems — company details</x:v>
      </x:c>
    </x:row>
    <x:row r="623">
      <x:c r="A623" s="30" t="str">
        <x:v>https://www.elbitsystems.com/news/elbit-systems-showcase-hybrid-propulsion-small-tactical-uas-singapore-airshow-2022</x:v>
      </x:c>
      <x:c r="B623" s="30" t="str">
        <x:v>Elbit Systems</x:v>
      </x:c>
      <x:c r="C623" s="30" t="str">
        <x:v>B2</x:v>
      </x:c>
      <x:c r="D623" s="30" t="str">
        <x:v>Elbit Systems — UAVs/Drones: Skylark 3 Hybrid</x:v>
      </x:c>
    </x:row>
    <x:row r="624">
      <x:c r="A624" s="30" t="str">
        <x:v>https://www.elbitsystems.com/product/spear-lr-long-range/</x:v>
      </x:c>
      <x:c r="B624" s="30" t="str">
        <x:v>Elbit Systems</x:v>
      </x:c>
      <x:c r="C624" s="30" t="str">
        <x:v>B2</x:v>
      </x:c>
      <x:c r="D624" s="30" t="str">
        <x:v>Elbit Systems — Artillery: SPEAR LR 120 mm Mortar</x:v>
      </x:c>
    </x:row>
    <x:row r="625">
      <x:c r="A625" s="30" t="str">
        <x:v>https://www.elbitsystems.com/sites/default/files/2025-05/hermes_450.pdf</x:v>
      </x:c>
      <x:c r="B625" s="30" t="str">
        <x:v>Elbit Systems</x:v>
      </x:c>
      <x:c r="C625" s="30" t="str">
        <x:v>B2</x:v>
      </x:c>
      <x:c r="D625" s="30" t="str">
        <x:v>Elbit Systems — UAVs/Drones: Hermes 450 Tactical UAS</x:v>
      </x:c>
    </x:row>
    <x:row r="626">
      <x:c r="A626" s="30" t="str">
        <x:v>https://www.elbitsystems.com/sites/default/files/2026-06/elbitsystems_company_presentation_2026_q1_ak.pdf</x:v>
      </x:c>
      <x:c r="B626" s="30" t="str">
        <x:v>Elbit Systems</x:v>
      </x:c>
      <x:c r="C626" s="30" t="str">
        <x:v>B2</x:v>
      </x:c>
      <x:c r="D626" s="30" t="str">
        <x:v>Elbit Systems — company details</x:v>
      </x:c>
    </x:row>
    <x:row r="627">
      <x:c r="A627" s="30" t="str">
        <x:v>https://www.elbitsystems.com/sites/default/files/2026-06/m482_web.pdf</x:v>
      </x:c>
      <x:c r="B627" s="30" t="str">
        <x:v>Hanwha (Aerospace/Group), Elbit Systems</x:v>
      </x:c>
      <x:c r="C627" s="30" t="str">
        <x:v>B2</x:v>
      </x:c>
      <x:c r="D627" s="30" t="str">
        <x:v>Hanwha (Aerospace/Group) — Ammunition: 155 mm Artillery Ammunition Family
Elbit Systems — Ammunition: 155 mm Artillery Ammunition Family</x:v>
      </x:c>
    </x:row>
    <x:row r="628">
      <x:c r="A628" s="30" t="str">
        <x:v>https://www.elbitsystems.com/unmanned/aerial/tactical-uas/skylark-3-hybrid</x:v>
      </x:c>
      <x:c r="B628" s="30" t="str">
        <x:v>Elbit Systems</x:v>
      </x:c>
      <x:c r="C628" s="30" t="str">
        <x:v>B2</x:v>
      </x:c>
      <x:c r="D628" s="30" t="str">
        <x:v>Elbit Systems — UAVs/Drones: Skylark 3 Hybrid</x:v>
      </x:c>
    </x:row>
    <x:row r="629">
      <x:c r="A629" s="30" t="str">
        <x:v>https://www.elbitsystems.com/unmanned/maritime/unmanned-surface-vessel/seagull-usv</x:v>
      </x:c>
      <x:c r="B629" s="30" t="str">
        <x:v>Elbit Systems</x:v>
      </x:c>
      <x:c r="C629" s="30" t="str">
        <x:v>B2</x:v>
      </x:c>
      <x:c r="D629" s="30" t="str">
        <x:v>Elbit Systems — Marine/Naval: Seagull USV</x:v>
      </x:c>
    </x:row>
    <x:row r="630">
      <x:c r="A630" s="30" t="str">
        <x:v>https://www.enricodonner.com/672de50b-f2f8-40d3-9d2b-3571e5b94e61_SSS-DEFENCE-CATALOG-v11.pdf</x:v>
      </x:c>
      <x:c r="B630" s="30" t="str">
        <x:v>SSS Defence</x:v>
      </x:c>
      <x:c r="C630" s="30" t="str">
        <x:v>B6</x:v>
      </x:c>
      <x:c r="D630" s="30" t="str">
        <x:v>SSS Defence — Small Arms: 338 Saber</x:v>
      </x:c>
    </x:row>
    <x:row r="631">
      <x:c r="A631" s="30" t="str">
        <x:v>https://www.expodefensa.com.co/wp-content/uploads/2017/07/EXPODEFENSA15_CATALOGUE-BD.pdf</x:v>
      </x:c>
      <x:c r="B631" s="30" t="str">
        <x:v>Poongsan</x:v>
      </x:c>
      <x:c r="C631" s="30" t="str">
        <x:v>B6</x:v>
      </x:c>
      <x:c r="D631" s="30" t="str">
        <x:v>Poongsan — Ammunition: 105 mm APFSDS-T K274
Poongsan — Ammunition: 105 mm Blank M395
Poongsan — Ammunition: 105 mm HE M1
Poongsan — Ammunition: 105 mm HEAT-T M456A1 / TP-T M490
Poongsan — Ammunition: 12.7×99 mm
Poongsan — Ammunition: 120 mm APFSDS-T K276
Poongsan — Ammunition: 120 mm APFSDS-T K279
Poongsan — Ammunition: 120 mm HEAT-MP-T K277 / TP-T K282
Poongsan — Ammunition: 120 mm HEAT-MP-T K280
Poongsan — Ammunition: 127 mm/54 cal K300/K301
Poongsan — Ammunition: 155 mm Base-Bleed HE K307
Poongsan — Ammunition: 155 mm HE M107</x:v>
      </x:c>
    </x:row>
    <x:row r="632">
      <x:c r="A632" s="30" t="str">
        <x:v>https://www.financialexpress.com/business/defence-indian-army-troops-to-get-israeli-lmgs-more-carbines-light-machine-guns-and-rifles-to-be-imported-2206432/lite/</x:v>
      </x:c>
      <x:c r="B632" s="30" t="str">
        <x:v>PLR Systems (IWI+Adani)</x:v>
      </x:c>
      <x:c r="C632" s="30" t="str">
        <x:v>B4</x:v>
      </x:c>
      <x:c r="D632" s="30" t="str">
        <x:v>PLR Systems (IWI+Adani) — Small Arms: MASADA 9 mm Pistol
PLR Systems (IWI+Adani) — Small Arms: NEGEV NG-7 / Prahar LMG
PLR Systems (IWI+Adani) — Small Arms: TAVOR TAR-21 / TAVOR TAR Flattop
PLR Systems (IWI+Adani) — Small Arms: UZI PRO SMG
PLR Systems (IWI+Adani) — Small Arms: X95 Flattop 419</x:v>
      </x:c>
    </x:row>
    <x:row r="633">
      <x:c r="A633" s="30" t="str">
        <x:v>https://www.fortunechina.com/global500/513/2025</x:v>
      </x:c>
      <x:c r="B633" s="30" t="str">
        <x:v>NORINCO</x:v>
      </x:c>
      <x:c r="C633" s="30" t="str">
        <x:v>B2</x:v>
      </x:c>
      <x:c r="D633" s="30" t="str">
        <x:v>NORINCO — company details</x:v>
      </x:c>
    </x:row>
    <x:row r="634">
      <x:c r="A634" s="30" t="str">
        <x:v>https://www.gd-ots.com/wp-content/uploads/2025/08/25mm_BushmasterAmmunition_202508.pdf</x:v>
      </x:c>
      <x:c r="B634" s="30" t="str">
        <x:v>General Dynamics</x:v>
      </x:c>
      <x:c r="C634" s="30" t="str">
        <x:v>B2</x:v>
      </x:c>
      <x:c r="D634" s="30" t="str">
        <x:v>General Dynamics — Ammunition: 25 mm Bushmaster Ammunition Family</x:v>
      </x:c>
    </x:row>
    <x:row r="635">
      <x:c r="A635" s="30" t="str">
        <x:v>https://www.gd.com/Articles/2026/01/28/general-dynamics-reports-fourth-quarter-and-full-year-2025-financial-results</x:v>
      </x:c>
      <x:c r="B635" s="30" t="str">
        <x:v>General Dynamics</x:v>
      </x:c>
      <x:c r="C635" s="30" t="str">
        <x:v>B2</x:v>
      </x:c>
      <x:c r="D635" s="30" t="str">
        <x:v>General Dynamics — company details</x:v>
      </x:c>
    </x:row>
    <x:row r="636">
      <x:c r="A636" s="30" t="str">
        <x:v>https://www.gd.com/Articles/2026/07/29/general-dynamics-reports-second-quarter-2026-financial-results</x:v>
      </x:c>
      <x:c r="B636" s="30" t="str">
        <x:v>General Dynamics</x:v>
      </x:c>
      <x:c r="C636" s="30" t="str">
        <x:v>B2</x:v>
      </x:c>
      <x:c r="D636" s="30" t="str">
        <x:v>General Dynamics — company details</x:v>
      </x:c>
    </x:row>
    <x:row r="637">
      <x:c r="A637" s="30" t="str">
        <x:v>https://www.gd.com/about-gd</x:v>
      </x:c>
      <x:c r="B637" s="30" t="str">
        <x:v>General Dynamics</x:v>
      </x:c>
      <x:c r="C637" s="30" t="str">
        <x:v>B2</x:v>
      </x:c>
      <x:c r="D637" s="30" t="str">
        <x:v>General Dynamics — company details</x:v>
      </x:c>
    </x:row>
    <x:row r="638">
      <x:c r="A638" s="30" t="str">
        <x:v>https://www.gd.com/about-gd/leadership</x:v>
      </x:c>
      <x:c r="B638" s="30" t="str">
        <x:v>General Dynamics</x:v>
      </x:c>
      <x:c r="C638" s="30" t="str">
        <x:v>B2</x:v>
      </x:c>
      <x:c r="D638" s="30" t="str">
        <x:v>General Dynamics — company details</x:v>
      </x:c>
    </x:row>
    <x:row r="639">
      <x:c r="A639" s="30" t="str">
        <x:v>https://www.gd.com/about-gd/our-history</x:v>
      </x:c>
      <x:c r="B639" s="30" t="str">
        <x:v>General Dynamics</x:v>
      </x:c>
      <x:c r="C639" s="30" t="str">
        <x:v>B2</x:v>
      </x:c>
      <x:c r="D639" s="30" t="str">
        <x:v>General Dynamics — company details</x:v>
      </x:c>
    </x:row>
    <x:row r="640">
      <x:c r="A640" s="30" t="str">
        <x:v>https://www.gd.com/contact/business</x:v>
      </x:c>
      <x:c r="B640" s="30" t="str">
        <x:v>General Dynamics</x:v>
      </x:c>
      <x:c r="C640" s="30" t="str">
        <x:v>B2</x:v>
      </x:c>
      <x:c r="D640" s="30" t="str">
        <x:v>General Dynamics — company details</x:v>
      </x:c>
    </x:row>
    <x:row r="641">
      <x:c r="A641" s="30" t="str">
        <x:v>https://www.gd.com/our-businesses</x:v>
      </x:c>
      <x:c r="B641" s="30" t="str">
        <x:v>General Dynamics</x:v>
      </x:c>
      <x:c r="C641" s="30" t="str">
        <x:v>B2</x:v>
      </x:c>
      <x:c r="D641" s="30" t="str">
        <x:v>General Dynamics — company details</x:v>
      </x:c>
    </x:row>
    <x:row r="642">
      <x:c r="A642" s="30" t="str">
        <x:v>https://www.gdeb.com/about/oursubmarines/columbia/</x:v>
      </x:c>
      <x:c r="B642" s="30" t="str">
        <x:v>General Dynamics</x:v>
      </x:c>
      <x:c r="C642" s="30" t="str">
        <x:v>B2</x:v>
      </x:c>
      <x:c r="D642" s="30" t="str">
        <x:v>General Dynamics — Marine/Naval: Columbia-class Ballistic-Missile Submarine</x:v>
      </x:c>
    </x:row>
    <x:row r="643">
      <x:c r="A643" s="30" t="str">
        <x:v>https://www.gdls.com/abrams/</x:v>
      </x:c>
      <x:c r="B643" s="30" t="str">
        <x:v>General Dynamics</x:v>
      </x:c>
      <x:c r="C643" s="30" t="str">
        <x:v>B2</x:v>
      </x:c>
      <x:c r="D643" s="30" t="str">
        <x:v>General Dynamics — Protected Vehicles: M1A2 Abrams SEPv3</x:v>
      </x:c>
    </x:row>
    <x:row r="644">
      <x:c r="A644" s="30" t="str">
        <x:v>https://www.gdls.com/stryker/</x:v>
      </x:c>
      <x:c r="B644" s="30" t="str">
        <x:v>General Dynamics</x:v>
      </x:c>
      <x:c r="C644" s="30" t="str">
        <x:v>B2</x:v>
      </x:c>
      <x:c r="D644" s="30" t="str">
        <x:v>General Dynamics — Protected Vehicles: Stryker A1</x:v>
      </x:c>
    </x:row>
    <x:row r="645">
      <x:c r="A645" s="30" t="str">
        <x:v>https://www.gdots.com/missiles-and-rockets/hydra-70-rocket-systems/hydra-70/</x:v>
      </x:c>
      <x:c r="B645" s="30" t="str">
        <x:v>General Dynamics</x:v>
      </x:c>
      <x:c r="C645" s="30" t="str">
        <x:v>B2</x:v>
      </x:c>
      <x:c r="D645" s="30" t="str">
        <x:v>General Dynamics — Missiles: Hydra-70 Rocket System</x:v>
      </x:c>
    </x:row>
    <x:row r="646">
      <x:c r="A646" s="30" t="str">
        <x:v>https://www.gdots.com/munitions/</x:v>
      </x:c>
      <x:c r="B646" s="30" t="str">
        <x:v>General Dynamics</x:v>
      </x:c>
      <x:c r="C646" s="30" t="str">
        <x:v>B2</x:v>
      </x:c>
      <x:c r="D646" s="30" t="str">
        <x:v>General Dynamics — Ammunition: 25 mm Bushmaster Ammunition Family
General Dynamics — Ammunition: Large-Caliber Tank Ammunition
General Dynamics — Ammunition: Medium-Caliber Ammunition Family
General Dynamics — Ammunition: Small-Caliber Ammunition Family</x:v>
      </x:c>
    </x:row>
    <x:row r="647">
      <x:c r="A647" s="30" t="str">
        <x:v>https://www.gdots.com/munitions/medium-caliber-ammunition/25mm-bushmaster/</x:v>
      </x:c>
      <x:c r="B647" s="30" t="str">
        <x:v>General Dynamics</x:v>
      </x:c>
      <x:c r="C647" s="30" t="str">
        <x:v>B2</x:v>
      </x:c>
      <x:c r="D647" s="30" t="str">
        <x:v>General Dynamics — Ammunition: 25 mm Bushmaster Ammunition Family</x:v>
      </x:c>
    </x:row>
    <x:row r="648">
      <x:c r="A648" s="30" t="str">
        <x:v>https://www.gdots.com/munitions/medium-caliber-ammunition/25mm-pgu-20-api/</x:v>
      </x:c>
      <x:c r="B648" s="30" t="str">
        <x:v>General Dynamics</x:v>
      </x:c>
      <x:c r="C648" s="30" t="str">
        <x:v>B2</x:v>
      </x:c>
      <x:c r="D648" s="30" t="str">
        <x:v>General Dynamics — Ammunition: 25 mm PGU-20 API</x:v>
      </x:c>
    </x:row>
    <x:row r="649">
      <x:c r="A649" s="30" t="str">
        <x:v>https://www.gdots.com/products-services/</x:v>
      </x:c>
      <x:c r="B649" s="30" t="str">
        <x:v>General Dynamics</x:v>
      </x:c>
      <x:c r="C649" s="30" t="str">
        <x:v>B2</x:v>
      </x:c>
      <x:c r="D649" s="30" t="str">
        <x:v>General Dynamics — Ammunition: Medium-Caliber Ammunition Family</x:v>
      </x:c>
    </x:row>
    <x:row r="650">
      <x:c r="A650" s="30" t="str">
        <x:v>https://www.gdots.com/wp-content/uploads/2017/11/M2HB-50-Caliber-Heavy-Machine-Gun.pdf</x:v>
      </x:c>
      <x:c r="B650" s="30" t="str">
        <x:v>General Dynamics</x:v>
      </x:c>
      <x:c r="C650" s="30" t="str">
        <x:v>B2</x:v>
      </x:c>
      <x:c r="D650" s="30" t="str">
        <x:v>General Dynamics — Small Arms: M2HB .50 Caliber Heavy Machine Gun</x:v>
      </x:c>
    </x:row>
    <x:row r="651">
      <x:c r="A651" s="30" t="str">
        <x:v>https://www.gdots.com/wp-content/uploads/2021/02/HYDRA-70_202010.pdf</x:v>
      </x:c>
      <x:c r="B651" s="30" t="str">
        <x:v>General Dynamics</x:v>
      </x:c>
      <x:c r="C651" s="30" t="str">
        <x:v>B2</x:v>
      </x:c>
      <x:c r="D651" s="30" t="str">
        <x:v>General Dynamics — Missiles: Hydra-70 Rocket System</x:v>
      </x:c>
    </x:row>
    <x:row r="652">
      <x:c r="A652" s="30" t="str">
        <x:v>https://www.gov.pl/web/aktywa-panstwowe/huta-stalowa-wola-z-kontraktem-na-96-armatohaubic-krab</x:v>
      </x:c>
      <x:c r="B652" s="30" t="str">
        <x:v>Huta Stalowa Wola (HSW)</x:v>
      </x:c>
      <x:c r="C652" s="30" t="str">
        <x:v>B5</x:v>
      </x:c>
      <x:c r="D652" s="30" t="str">
        <x:v>Huta Stalowa Wola (HSW) — Artillery: KRAB 155 mm Self-Propelled Howitzer</x:v>
      </x:c>
    </x:row>
    <x:row r="653">
      <x:c r="A653" s="30" t="str">
        <x:v>https://www.gsaadvantage.gov/ref_text/47QSWA22D001R/47QSWA22D001R_RoshelFCPTandC20260115.pdf</x:v>
      </x:c>
      <x:c r="B653" s="30" t="str">
        <x:v>Roshel</x:v>
      </x:c>
      <x:c r="C653" s="30" t="str">
        <x:v>B4</x:v>
      </x:c>
      <x:c r="D653" s="30" t="str">
        <x:v>Roshel — Protected Vehicles: Senator APC</x:v>
      </x:c>
    </x:row>
    <x:row r="654">
      <x:c r="A654" s="30" t="str">
        <x:v>https://www.hanwhaaerospace.com/assets/content/esg/sustainBusiness/download/en/HanwhaAerospace_SustainabilityReport_2025_ENG.pdf</x:v>
      </x:c>
      <x:c r="B654" s="30" t="str">
        <x:v>Hanwha (Aerospace/Group)</x:v>
      </x:c>
      <x:c r="C654" s="30" t="str">
        <x:v>B2</x:v>
      </x:c>
      <x:c r="D654" s="30" t="str">
        <x:v>Hanwha (Aerospace/Group) — Ammunition: 155 mm Artillery Ammunition Family
Hanwha (Aerospace/Group) — company details</x:v>
      </x:c>
    </x:row>
    <x:row r="655">
      <x:c r="A655" s="30" t="str">
        <x:v>https://www.hanwhaaerospace.com/assets/content/library/download/Hanwha%20Defense%20Brochure_EN.pdf</x:v>
      </x:c>
      <x:c r="B655" s="30" t="str">
        <x:v>Hanwha (Aerospace/Group)</x:v>
      </x:c>
      <x:c r="C655" s="30" t="str">
        <x:v>B2</x:v>
      </x:c>
      <x:c r="D655" s="30" t="str">
        <x:v>Hanwha (Aerospace/Group) — Artillery: K10 Ammunition Resupply Vehicle
Hanwha (Aerospace/Group) — Artillery: K9 Thunder
Hanwha (Aerospace/Group) — Protected Vehicles: K21 IFV
Hanwha (Aerospace/Group) — Protected Vehicles: Redback IFV</x:v>
      </x:c>
    </x:row>
    <x:row r="656">
      <x:c r="A656" s="30" t="str">
        <x:v>https://www.hanwhaaerospace.com/eng/esg/association/directors.do</x:v>
      </x:c>
      <x:c r="B656" s="30" t="str">
        <x:v>Hanwha (Aerospace/Group)</x:v>
      </x:c>
      <x:c r="C656" s="30" t="str">
        <x:v>B2</x:v>
      </x:c>
      <x:c r="D656" s="30" t="str">
        <x:v>Hanwha (Aerospace/Group) — company details</x:v>
      </x:c>
    </x:row>
    <x:row r="657">
      <x:c r="A657" s="30" t="str">
        <x:v>https://www.hanwhaaerospace.com/eng/ir/financial-info/finance01.do</x:v>
      </x:c>
      <x:c r="B657" s="30" t="str">
        <x:v>Hanwha (Aerospace/Group)</x:v>
      </x:c>
      <x:c r="C657" s="30" t="str">
        <x:v>B2</x:v>
      </x:c>
      <x:c r="D657" s="30" t="str">
        <x:v>Hanwha (Aerospace/Group) — company details</x:v>
      </x:c>
    </x:row>
    <x:row r="658">
      <x:c r="A658" s="30" t="str">
        <x:v>https://www.hanwhaaerospace.com/eng/media/newsroom/view.do?seq=271</x:v>
      </x:c>
      <x:c r="B658" s="30" t="str">
        <x:v>Hanwha (Aerospace/Group)</x:v>
      </x:c>
      <x:c r="C658" s="30" t="str">
        <x:v>B2</x:v>
      </x:c>
      <x:c r="D658" s="30" t="str">
        <x:v>Hanwha (Aerospace/Group) — Artillery: K9 Thunder</x:v>
      </x:c>
    </x:row>
    <x:row r="659">
      <x:c r="A659" s="30" t="str">
        <x:v>https://www.hanwhaaerospace.com/eng/media/newsroom/view.do?seq=445</x:v>
      </x:c>
      <x:c r="B659" s="30" t="str">
        <x:v>Hanwha (Aerospace/Group)</x:v>
      </x:c>
      <x:c r="C659" s="30" t="str">
        <x:v>B2</x:v>
      </x:c>
      <x:c r="D659" s="30" t="str">
        <x:v>Hanwha (Aerospace/Group) — Artillery: K9A2</x:v>
      </x:c>
    </x:row>
    <x:row r="660">
      <x:c r="A660" s="30" t="str">
        <x:v>https://www.hanwhaaerospace.com/eng/media/newsroom/view.do?seq=587</x:v>
      </x:c>
      <x:c r="B660" s="30" t="str">
        <x:v>Hanwha (Aerospace/Group)</x:v>
      </x:c>
      <x:c r="C660" s="30" t="str">
        <x:v>B2</x:v>
      </x:c>
      <x:c r="D660" s="30" t="str">
        <x:v>Hanwha (Aerospace/Group) — Missiles: L-SAM Anti-Ballistic Missile</x:v>
      </x:c>
    </x:row>
    <x:row r="661">
      <x:c r="A661" s="30" t="str">
        <x:v>https://www.hanwhaaerospace.com/eng/media/newsroom/view.do?seq=591</x:v>
      </x:c>
      <x:c r="B661" s="30" t="str">
        <x:v>Hanwha (Aerospace/Group)</x:v>
      </x:c>
      <x:c r="C661" s="30" t="str">
        <x:v>B2</x:v>
      </x:c>
      <x:c r="D661" s="30" t="str">
        <x:v>Hanwha (Aerospace/Group) — Missiles: CGR-080 Guided Rocket</x:v>
      </x:c>
    </x:row>
    <x:row r="662">
      <x:c r="A662" s="30" t="str">
        <x:v>https://www.hanwhaaerospace.com/eng/media/newsroom/view.do?seq=631</x:v>
      </x:c>
      <x:c r="B662" s="30" t="str">
        <x:v>Hanwha (Aerospace/Group)</x:v>
      </x:c>
      <x:c r="C662" s="30" t="str">
        <x:v>B2</x:v>
      </x:c>
      <x:c r="D662" s="30" t="str">
        <x:v>Hanwha (Aerospace/Group) — Artillery: Chunmoo Multiple Rocket Launcher
Hanwha (Aerospace/Group) — Missiles: CTM-290 Tactical Missile</x:v>
      </x:c>
    </x:row>
    <x:row r="663">
      <x:c r="A663" s="30" t="str">
        <x:v>https://www.hanwhaaerospace.com/eng/whatwedo/product/land.do</x:v>
      </x:c>
      <x:c r="B663" s="30" t="str">
        <x:v>Hanwha (Aerospace/Group)</x:v>
      </x:c>
      <x:c r="C663" s="30" t="str">
        <x:v>B2</x:v>
      </x:c>
      <x:c r="D663" s="30" t="str">
        <x:v>Hanwha (Aerospace/Group) — Artillery: 120 mm Self-Propelled Mortar Carrier
Hanwha (Aerospace/Group) — Artillery: K10 Ammunition Resupply Vehicle
Hanwha (Aerospace/Group) — Artillery: K105A1 / K105 HTS
Hanwha (Aerospace/Group) — Artillery: K9 Thunder
Hanwha (Aerospace/Group) — Artillery: K9A2
Hanwha (Aerospace/Group) — Ammunition: 120 mm Mortar Ammunition
Hanwha (Aerospace/Group) — Ammunition: 155 mm Artillery Ammunition Family
Hanwha (Aerospace/Group) — Ammunition: 40 mm Grenade Ammunition
Hanwha (Aerospace/Group) — Protected Vehicles: K21 IFV
Hanwha (Aerospace/Group) — Protected Vehicles: Redback IFV
Hanwha (Aerospace/Group) — Protected Vehicles: Tigon 8×8
Hanwha (Aerospace/Group) — appendix: ARION-SMET / ARION-L</x:v>
      </x:c>
    </x:row>
    <x:row r="664">
      <x:c r="A664" s="30" t="str">
        <x:v>https://www.hanwhaaerospace.com/eng/whoweare/location/domestic.do</x:v>
      </x:c>
      <x:c r="B664" s="30" t="str">
        <x:v>Hanwha (Aerospace/Group)</x:v>
      </x:c>
      <x:c r="C664" s="30" t="str">
        <x:v>B2</x:v>
      </x:c>
      <x:c r="D664" s="30" t="str">
        <x:v>Hanwha (Aerospace/Group) — company details</x:v>
      </x:c>
    </x:row>
    <x:row r="665">
      <x:c r="A665" s="30" t="str">
        <x:v>https://www.hanwhacorp.co.kr/common/fileDownload.do?name=low_Velocity_01.pdf&amp;path=%2Fupload%2Fdefense%2F40mm%2Flow_Velocity_01.pdf</x:v>
      </x:c>
      <x:c r="B665" s="30" t="str">
        <x:v>Hanwha (Aerospace/Group)</x:v>
      </x:c>
      <x:c r="C665" s="30" t="str">
        <x:v>B2</x:v>
      </x:c>
      <x:c r="D665" s="30" t="str">
        <x:v>Hanwha (Aerospace/Group) — Ammunition: 40 mm Grenade Ammunition</x:v>
      </x:c>
    </x:row>
    <x:row r="666">
      <x:c r="A666" s="30" t="str">
        <x:v>https://www.hanwhaocean.com/pdf/Hanwha_Ocean_Brochure_EN_2025.pdf</x:v>
      </x:c>
      <x:c r="B666" s="30" t="str">
        <x:v>Hanwha (Aerospace/Group)</x:v>
      </x:c>
      <x:c r="C666" s="30" t="str">
        <x:v>B2</x:v>
      </x:c>
      <x:c r="D666" s="30" t="str">
        <x:v>Hanwha (Aerospace/Group) — Marine/Naval: KSS-I 1,200 t-Class Submarine (Hanwha Ocean)
Hanwha (Aerospace/Group) — Marine/Naval: KSS-II 1,800 t-Class Submarine (Hanwha Ocean)
Hanwha (Aerospace/Group) — Marine/Naval: KSS-III 3,000 t-Class Submarine (Hanwha Ocean)</x:v>
      </x:c>
    </x:row>
    <x:row r="667">
      <x:c r="A667" s="30" t="str">
        <x:v>https://www.hii.com/capabilities/arleigh-burke-flight-iii</x:v>
      </x:c>
      <x:c r="B667" s="30" t="str">
        <x:v>Huntington Ingalls Industries</x:v>
      </x:c>
      <x:c r="C667" s="30" t="str">
        <x:v>B9</x:v>
      </x:c>
      <x:c r="D667" s="30" t="str">
        <x:v>Huntington Ingalls Industries — Marine/Naval: Arleigh Burke-class Flight III Destroyer</x:v>
      </x:c>
    </x:row>
    <x:row r="668">
      <x:c r="A668" s="30" t="str">
        <x:v>https://www.hii.com/leadership</x:v>
      </x:c>
      <x:c r="B668" s="30" t="str">
        <x:v>Huntington Ingalls Industries</x:v>
      </x:c>
      <x:c r="C668" s="30" t="str">
        <x:v>B9</x:v>
      </x:c>
      <x:c r="D668" s="30" t="str">
        <x:v>Huntington Ingalls Industries — company details</x:v>
      </x:c>
    </x:row>
    <x:row r="669">
      <x:c r="A669" s="30" t="str">
        <x:v>https://www.hii.com/news/flight-iii-destroyer-ted-stevens-ddg-128-sails-aways-from-hiis-ingalls-shipbuilding</x:v>
      </x:c>
      <x:c r="B669" s="30" t="str">
        <x:v>Huntington Ingalls Industries</x:v>
      </x:c>
      <x:c r="C669" s="30" t="str">
        <x:v>B9</x:v>
      </x:c>
      <x:c r="D669" s="30" t="str">
        <x:v>Huntington Ingalls Industries — Marine/Naval: Arleigh Burke-class Flight III Destroyer</x:v>
      </x:c>
    </x:row>
    <x:row r="670">
      <x:c r="A670" s="30" t="str">
        <x:v>https://www.hii.com/news/hii-is-awarded-contracts-for-construction-of-block-vi-virginia-class-and-build-ii-columbia-class-submarines</x:v>
      </x:c>
      <x:c r="B670" s="30" t="str">
        <x:v>Huntington Ingalls Industries</x:v>
      </x:c>
      <x:c r="C670" s="30" t="str">
        <x:v>B9</x:v>
      </x:c>
      <x:c r="D670" s="30" t="str">
        <x:v>Huntington Ingalls Industries — Marine/Naval: Columbia-class Ballistic Missile Submarine
Huntington Ingalls Industries — Marine/Naval: Virginia-class Attack Submarine</x:v>
      </x:c>
    </x:row>
    <x:row r="671">
      <x:c r="A671" s="30" t="str">
        <x:v>https://www.hii.com/news/hiis-ingalls-shipbuilding-authenticates-keel-of-philadelphia-lpd-32</x:v>
      </x:c>
      <x:c r="B671" s="30" t="str">
        <x:v>Huntington Ingalls Industries</x:v>
      </x:c>
      <x:c r="C671" s="30" t="str">
        <x:v>B9</x:v>
      </x:c>
      <x:c r="D671" s="30" t="str">
        <x:v>Huntington Ingalls Industries — Marine/Naval: San Antonio-class LPD Flight II</x:v>
      </x:c>
    </x:row>
    <x:row r="672">
      <x:c r="A672" s="30" t="str">
        <x:v>https://www.hii.com/news/hiis-newport-news-shipbuilding-completes-successful-builders-sea-trials-of-john-f-kennedy-cvn-79</x:v>
      </x:c>
      <x:c r="B672" s="30" t="str">
        <x:v>Huntington Ingalls Industries</x:v>
      </x:c>
      <x:c r="C672" s="30" t="str">
        <x:v>B9</x:v>
      </x:c>
      <x:c r="D672" s="30" t="str">
        <x:v>Huntington Ingalls Industries — Marine/Naval: Gerald R. Ford-class Aircraft Carrier</x:v>
      </x:c>
    </x:row>
    <x:row r="673">
      <x:c r="A673" s="30" t="str">
        <x:v>https://www.hii.com/news/ingalls-shipbuilding-launches-national-security-cutter-munro</x:v>
      </x:c>
      <x:c r="B673" s="30" t="str">
        <x:v>Huntington Ingalls Industries</x:v>
      </x:c>
      <x:c r="C673" s="30" t="str">
        <x:v>B9</x:v>
      </x:c>
      <x:c r="D673" s="30" t="str">
        <x:v>Huntington Ingalls Industries — Marine/Naval: Legend-class National Security Cutter</x:v>
      </x:c>
    </x:row>
    <x:row r="674">
      <x:c r="A674" s="30" t="str">
        <x:v>https://www.hii.com/products</x:v>
      </x:c>
      <x:c r="B674" s="30" t="str">
        <x:v>Huntington Ingalls Industries</x:v>
      </x:c>
      <x:c r="C674" s="30" t="str">
        <x:v>B9</x:v>
      </x:c>
      <x:c r="D674" s="30" t="str">
        <x:v>Huntington Ingalls Industries — Marine/Naval: ROMULUS family USV</x:v>
      </x:c>
    </x:row>
    <x:row r="675">
      <x:c r="A675" s="30" t="str">
        <x:v>https://www.hii.com/products/america-class</x:v>
      </x:c>
      <x:c r="B675" s="30" t="str">
        <x:v>Huntington Ingalls Industries</x:v>
      </x:c>
      <x:c r="C675" s="30" t="str">
        <x:v>B9</x:v>
      </x:c>
      <x:c r="D675" s="30" t="str">
        <x:v>Huntington Ingalls Industries — Marine/Naval: America-class LHA</x:v>
      </x:c>
    </x:row>
    <x:row r="676">
      <x:c r="A676" s="30" t="str">
        <x:v>https://www.hii.com/products/columbia-class</x:v>
      </x:c>
      <x:c r="B676" s="30" t="str">
        <x:v>Huntington Ingalls Industries</x:v>
      </x:c>
      <x:c r="C676" s="30" t="str">
        <x:v>B9</x:v>
      </x:c>
      <x:c r="D676" s="30" t="str">
        <x:v>Huntington Ingalls Industries — Marine/Naval: Columbia-class Ballistic Missile Submarine</x:v>
      </x:c>
    </x:row>
    <x:row r="677">
      <x:c r="A677" s="30" t="str">
        <x:v>https://www.hii.com/products/gerald-r-ford-class</x:v>
      </x:c>
      <x:c r="B677" s="30" t="str">
        <x:v>Huntington Ingalls Industries</x:v>
      </x:c>
      <x:c r="C677" s="30" t="str">
        <x:v>B9</x:v>
      </x:c>
      <x:c r="D677" s="30" t="str">
        <x:v>Huntington Ingalls Industries — Marine/Naval: Gerald R. Ford-class Aircraft Carrier</x:v>
      </x:c>
    </x:row>
    <x:row r="678">
      <x:c r="A678" s="30" t="str">
        <x:v>https://www.hii.com/products/remus-130-uuvs</x:v>
      </x:c>
      <x:c r="B678" s="30" t="str">
        <x:v>Huntington Ingalls Industries</x:v>
      </x:c>
      <x:c r="C678" s="30" t="str">
        <x:v>B9</x:v>
      </x:c>
      <x:c r="D678" s="30" t="str">
        <x:v>Huntington Ingalls Industries — Marine/Naval: REMUS 130 UUV</x:v>
      </x:c>
    </x:row>
    <x:row r="679">
      <x:c r="A679" s="30" t="str">
        <x:v>https://www.hii.com/products/remus-300-uuvs</x:v>
      </x:c>
      <x:c r="B679" s="30" t="str">
        <x:v>Huntington Ingalls Industries</x:v>
      </x:c>
      <x:c r="C679" s="30" t="str">
        <x:v>B9</x:v>
      </x:c>
      <x:c r="D679" s="30" t="str">
        <x:v>Huntington Ingalls Industries — Marine/Naval: REMUS 300 UUV</x:v>
      </x:c>
    </x:row>
    <x:row r="680">
      <x:c r="A680" s="30" t="str">
        <x:v>https://www.hii.com/products/remus-6000-uuvs</x:v>
      </x:c>
      <x:c r="B680" s="30" t="str">
        <x:v>Huntington Ingalls Industries</x:v>
      </x:c>
      <x:c r="C680" s="30" t="str">
        <x:v>B9</x:v>
      </x:c>
      <x:c r="D680" s="30" t="str">
        <x:v>Huntington Ingalls Industries — Marine/Naval: REMUS 6000 UUV</x:v>
      </x:c>
    </x:row>
    <x:row r="681">
      <x:c r="A681" s="30" t="str">
        <x:v>https://www.hii.com/products/remus-620-uuvs</x:v>
      </x:c>
      <x:c r="B681" s="30" t="str">
        <x:v>Huntington Ingalls Industries</x:v>
      </x:c>
      <x:c r="C681" s="30" t="str">
        <x:v>B9</x:v>
      </x:c>
      <x:c r="D681" s="30" t="str">
        <x:v>Huntington Ingalls Industries — Marine/Naval: REMUS 620 UUV</x:v>
      </x:c>
    </x:row>
    <x:row r="682">
      <x:c r="A682" s="30" t="str">
        <x:v>https://www.hii.com/products/remus-uuvs</x:v>
      </x:c>
      <x:c r="B682" s="30" t="str">
        <x:v>Huntington Ingalls Industries</x:v>
      </x:c>
      <x:c r="C682" s="30" t="str">
        <x:v>B9</x:v>
      </x:c>
      <x:c r="D682" s="30" t="str">
        <x:v>Huntington Ingalls Industries — Marine/Naval: REMUS 130 UUV
Huntington Ingalls Industries — Marine/Naval: REMUS 300 UUV
Huntington Ingalls Industries — Marine/Naval: REMUS 6000 UUV
Huntington Ingalls Industries — Marine/Naval: REMUS 620 UUV</x:v>
      </x:c>
    </x:row>
    <x:row r="683">
      <x:c r="A683" s="30" t="str">
        <x:v>https://www.hii.com/products/san-antonio-class</x:v>
      </x:c>
      <x:c r="B683" s="30" t="str">
        <x:v>Huntington Ingalls Industries</x:v>
      </x:c>
      <x:c r="C683" s="30" t="str">
        <x:v>B9</x:v>
      </x:c>
      <x:c r="D683" s="30" t="str">
        <x:v>Huntington Ingalls Industries — Marine/Naval: San Antonio-class LPD Flight II</x:v>
      </x:c>
    </x:row>
    <x:row r="684">
      <x:c r="A684" s="30" t="str">
        <x:v>https://www.hii.com/products/virginia-class</x:v>
      </x:c>
      <x:c r="B684" s="30" t="str">
        <x:v>Huntington Ingalls Industries</x:v>
      </x:c>
      <x:c r="C684" s="30" t="str">
        <x:v>B9</x:v>
      </x:c>
      <x:c r="D684" s="30" t="str">
        <x:v>Huntington Ingalls Industries — Marine/Naval: Virginia-class Attack Submarine</x:v>
      </x:c>
    </x:row>
    <x:row r="685">
      <x:c r="A685" s="30" t="str">
        <x:v>https://www.hii.com/products/zumwalt-class</x:v>
      </x:c>
      <x:c r="B685" s="30" t="str">
        <x:v>Huntington Ingalls Industries</x:v>
      </x:c>
      <x:c r="C685" s="30" t="str">
        <x:v>B9</x:v>
      </x:c>
      <x:c r="D685" s="30" t="str">
        <x:v>Huntington Ingalls Industries — Marine/Naval: Zumwalt-class DDG-1000</x:v>
      </x:c>
    </x:row>
    <x:row r="686">
      <x:c r="A686" s="30" t="str">
        <x:v>https://www.hsw.pl/en/company/our-mission/</x:v>
      </x:c>
      <x:c r="B686" s="30" t="str">
        <x:v>Huta Stalowa Wola (HSW)</x:v>
      </x:c>
      <x:c r="C686" s="30" t="str">
        <x:v>B5</x:v>
      </x:c>
      <x:c r="D686" s="30" t="str">
        <x:v>Huta Stalowa Wola (HSW) — company details</x:v>
      </x:c>
    </x:row>
    <x:row r="687">
      <x:c r="A687" s="30" t="str">
        <x:v>https://www.hsw.pl/en/news/155-mm-self-propelled-howitzer-krab-2/</x:v>
      </x:c>
      <x:c r="B687" s="30" t="str">
        <x:v>Huta Stalowa Wola (HSW)</x:v>
      </x:c>
      <x:c r="C687" s="30" t="str">
        <x:v>B5</x:v>
      </x:c>
      <x:c r="D687" s="30" t="str">
        <x:v>Huta Stalowa Wola (HSW) — Artillery: KRAB 155 mm Self-Propelled Howitzer</x:v>
      </x:c>
    </x:row>
    <x:row r="688">
      <x:c r="A688" s="30" t="str">
        <x:v>https://www.hsw.pl/en/news/announcement-regarding-the-completed-qualification-procedure-for-the-position-of-president-of-the-management-board-general-director-of-hsw-s-a-3/</x:v>
      </x:c>
      <x:c r="B688" s="30" t="str">
        <x:v>Huta Stalowa Wola (HSW)</x:v>
      </x:c>
      <x:c r="C688" s="30" t="str">
        <x:v>B5</x:v>
      </x:c>
      <x:c r="D688" s="30" t="str">
        <x:v>Huta Stalowa Wola (HSW) — company details</x:v>
      </x:c>
    </x:row>
    <x:row r="689">
      <x:c r="A689" s="30" t="str">
        <x:v>https://www.hsw.pl/en/news/hsw-presents-new-research-materials-from-the-zssw-30-research-firing-of-the-spike-atgm/</x:v>
      </x:c>
      <x:c r="B689" s="30" t="str">
        <x:v>Huta Stalowa Wola (HSW)</x:v>
      </x:c>
      <x:c r="C689" s="30" t="str">
        <x:v>B5</x:v>
      </x:c>
      <x:c r="D689" s="30" t="str">
        <x:v>Huta Stalowa Wola (HSW) — appendix: ZSSW-30 Remote Turret System</x:v>
      </x:c>
    </x:row>
    <x:row r="690">
      <x:c r="A690" s="30" t="str">
        <x:v>https://www.hsw.pl/en/news/president-of-the-republic-of-poland-andrzej-duda-visits-huta-stalowa-wola-s-a/</x:v>
      </x:c>
      <x:c r="B690" s="30" t="str">
        <x:v>Huta Stalowa Wola (HSW)</x:v>
      </x:c>
      <x:c r="C690" s="30" t="str">
        <x:v>B5</x:v>
      </x:c>
      <x:c r="D690" s="30" t="str">
        <x:v>Huta Stalowa Wola (HSW) — Protected Vehicles: Borsuk Amphibious IFV</x:v>
      </x:c>
    </x:row>
    <x:row r="691">
      <x:c r="A691" s="30" t="str">
        <x:v>https://www.hsw.pl/en/news/the-minister-of-national-defense-handed-over-the-6th-company-fire-module-rak/</x:v>
      </x:c>
      <x:c r="B691" s="30" t="str">
        <x:v>Huta Stalowa Wola (HSW)</x:v>
      </x:c>
      <x:c r="C691" s="30" t="str">
        <x:v>B5</x:v>
      </x:c>
      <x:c r="D691" s="30" t="str">
        <x:v>Huta Stalowa Wola (HSW) — Artillery: RAK M120K 120 mm Self-Propelled Mortar</x:v>
      </x:c>
    </x:row>
    <x:row r="692">
      <x:c r="A692" s="30" t="str">
        <x:v>https://www.hsw.pl/en/products/borsuk</x:v>
      </x:c>
      <x:c r="B692" s="30" t="str">
        <x:v>Huta Stalowa Wola (HSW)</x:v>
      </x:c>
      <x:c r="C692" s="30" t="str">
        <x:v>B5</x:v>
      </x:c>
      <x:c r="D692" s="30" t="str">
        <x:v>Huta Stalowa Wola (HSW) — Protected Vehicles: Borsuk Amphibious IFV</x:v>
      </x:c>
    </x:row>
    <x:row r="693">
      <x:c r="A693" s="30" t="str">
        <x:v>https://www.hsw.pl/en/products/krab</x:v>
      </x:c>
      <x:c r="B693" s="30" t="str">
        <x:v>Huta Stalowa Wola (HSW)</x:v>
      </x:c>
      <x:c r="C693" s="30" t="str">
        <x:v>B5</x:v>
      </x:c>
      <x:c r="D693" s="30" t="str">
        <x:v>Huta Stalowa Wola (HSW) — Artillery: KRAB 155 mm Self-Propelled Howitzer</x:v>
      </x:c>
    </x:row>
    <x:row r="694">
      <x:c r="A694" s="30" t="str">
        <x:v>https://www.hsw.pl/en/products/rak</x:v>
      </x:c>
      <x:c r="B694" s="30" t="str">
        <x:v>Huta Stalowa Wola (HSW)</x:v>
      </x:c>
      <x:c r="C694" s="30" t="str">
        <x:v>B5</x:v>
      </x:c>
      <x:c r="D694" s="30" t="str">
        <x:v>Huta Stalowa Wola (HSW) — Artillery: RAK M120K 120 mm Self-Propelled Mortar</x:v>
      </x:c>
    </x:row>
    <x:row r="695">
      <x:c r="A695" s="30" t="str">
        <x:v>https://www.iai.co.il/news/iai-board-appoints-guy-barlev-as-company-ceo/</x:v>
      </x:c>
      <x:c r="B695" s="30" t="str">
        <x:v>Israel Aerospace Industries (IAI)</x:v>
      </x:c>
      <x:c r="C695" s="30" t="str">
        <x:v>B7</x:v>
      </x:c>
      <x:c r="D695" s="30" t="str">
        <x:v>Israel Aerospace Industries (IAI) — company details</x:v>
      </x:c>
    </x:row>
    <x:row r="696">
      <x:c r="A696" s="30" t="str">
        <x:v>https://www.iai.co.il/press/ceo-of-an-israeli-government-owned-company-has-been-appointed-chairman/</x:v>
      </x:c>
      <x:c r="B696" s="30" t="str">
        <x:v>Israel Aerospace Industries (IAI)</x:v>
      </x:c>
      <x:c r="C696" s="30" t="str">
        <x:v>B7</x:v>
      </x:c>
      <x:c r="D696" s="30" t="str">
        <x:v>Israel Aerospace Industries (IAI) — company details</x:v>
      </x:c>
    </x:row>
    <x:row r="697">
      <x:c r="A697" s="30" t="str">
        <x:v>https://www.iai.co.il/press/financial-statements-q1-2026/</x:v>
      </x:c>
      <x:c r="B697" s="30" t="str">
        <x:v>Israel Aerospace Industries (IAI)</x:v>
      </x:c>
      <x:c r="C697" s="30" t="str">
        <x:v>B7</x:v>
      </x:c>
      <x:c r="D697" s="30" t="str">
        <x:v>Israel Aerospace Industries (IAI) — company details</x:v>
      </x:c>
    </x:row>
    <x:row r="698">
      <x:c r="A698" s="30" t="str">
        <x:v>https://www.iai.co.il/press/iai-annual-financial-results-for-2025/</x:v>
      </x:c>
      <x:c r="B698" s="30" t="str">
        <x:v>Israel Aerospace Industries (IAI)</x:v>
      </x:c>
      <x:c r="C698" s="30" t="str">
        <x:v>B7</x:v>
      </x:c>
      <x:c r="D698" s="30" t="str">
        <x:v>Israel Aerospace Industries (IAI) — company details</x:v>
      </x:c>
    </x:row>
    <x:row r="699">
      <x:c r="A699" s="30" t="str">
        <x:v>https://www.iai.co.il/press/iai-introduces-new-naval-application-for-its-green-dragon-loitering-munition/</x:v>
      </x:c>
      <x:c r="B699" s="30" t="str">
        <x:v>Israel Aerospace Industries (IAI)</x:v>
      </x:c>
      <x:c r="C699" s="30" t="str">
        <x:v>B7</x:v>
      </x:c>
      <x:c r="D699" s="30" t="str">
        <x:v>Israel Aerospace Industries (IAI) — UAVs/Drones: Green Dragon Loitering Munition</x:v>
      </x:c>
    </x:row>
    <x:row r="700">
      <x:c r="A700" s="30" t="str">
        <x:v>https://www.iai.co.il/press/iai-to-unveil-the-heron-mk-ii-at-singapore-airshow/</x:v>
      </x:c>
      <x:c r="B700" s="30" t="str">
        <x:v>Israel Aerospace Industries (IAI)</x:v>
      </x:c>
      <x:c r="C700" s="30" t="str">
        <x:v>B7</x:v>
      </x:c>
      <x:c r="D700" s="30" t="str">
        <x:v>Israel Aerospace Industries (IAI) — UAVs/Drones: Heron MK II</x:v>
      </x:c>
    </x:row>
    <x:row r="701">
      <x:c r="A701" s="30" t="str">
        <x:v>https://www.iai.co.il/press/iai-unveils-the-newest-members-in-its-loitering-munitions-family-at-singapore-air-show/</x:v>
      </x:c>
      <x:c r="B701" s="30" t="str">
        <x:v>Israel Aerospace Industries (IAI)</x:v>
      </x:c>
      <x:c r="C701" s="30" t="str">
        <x:v>B7</x:v>
      </x:c>
      <x:c r="D701" s="30" t="str">
        <x:v>Israel Aerospace Industries (IAI) — UAVs/Drones: Green Dragon Loitering Munition</x:v>
      </x:c>
    </x:row>
    <x:row r="702">
      <x:c r="A702" s="30" t="str">
        <x:v>https://www.iai.co.il/product/arrow-2/</x:v>
      </x:c>
      <x:c r="B702" s="30" t="str">
        <x:v>Israel Aerospace Industries (IAI)</x:v>
      </x:c>
      <x:c r="C702" s="30" t="str">
        <x:v>B7</x:v>
      </x:c>
      <x:c r="D702" s="30" t="str">
        <x:v>Israel Aerospace Industries (IAI) — Missiles: Arrow 2 Interceptor</x:v>
      </x:c>
    </x:row>
    <x:row r="703">
      <x:c r="A703" s="30" t="str">
        <x:v>https://www.iai.co.il/product/arrow-3/</x:v>
      </x:c>
      <x:c r="B703" s="30" t="str">
        <x:v>Israel Aerospace Industries (IAI)</x:v>
      </x:c>
      <x:c r="C703" s="30" t="str">
        <x:v>B7</x:v>
      </x:c>
      <x:c r="D703" s="30" t="str">
        <x:v>Israel Aerospace Industries (IAI) — Missiles: Arrow 3 Interceptor</x:v>
      </x:c>
    </x:row>
    <x:row r="704">
      <x:c r="A704" s="30" t="str">
        <x:v>https://www.iai.co.il/product/barak-er/</x:v>
      </x:c>
      <x:c r="B704" s="30" t="str">
        <x:v>Israel Aerospace Industries (IAI)</x:v>
      </x:c>
      <x:c r="C704" s="30" t="str">
        <x:v>B7</x:v>
      </x:c>
      <x:c r="D704" s="30" t="str">
        <x:v>Israel Aerospace Industries (IAI) — Missiles: BARAK ER</x:v>
      </x:c>
    </x:row>
    <x:row r="705">
      <x:c r="A705" s="30" t="str">
        <x:v>https://www.iai.co.il/product/barak-lr/</x:v>
      </x:c>
      <x:c r="B705" s="30" t="str">
        <x:v>Israel Aerospace Industries (IAI)</x:v>
      </x:c>
      <x:c r="C705" s="30" t="str">
        <x:v>B7</x:v>
      </x:c>
      <x:c r="D705" s="30" t="str">
        <x:v>Israel Aerospace Industries (IAI) — Missiles: BARAK LR</x:v>
      </x:c>
    </x:row>
    <x:row r="706">
      <x:c r="A706" s="30" t="str">
        <x:v>https://www.iai.co.il/product/barak-mr/</x:v>
      </x:c>
      <x:c r="B706" s="30" t="str">
        <x:v>Israel Aerospace Industries (IAI)</x:v>
      </x:c>
      <x:c r="C706" s="30" t="str">
        <x:v>B7</x:v>
      </x:c>
      <x:c r="D706" s="30" t="str">
        <x:v>Israel Aerospace Industries (IAI) — Missiles: BARAK MR</x:v>
      </x:c>
    </x:row>
    <x:row r="707">
      <x:c r="A707" s="30" t="str">
        <x:v>https://www.iai.co.il/product/barak-mx/</x:v>
      </x:c>
      <x:c r="B707" s="30" t="str">
        <x:v>Israel Aerospace Industries (IAI)</x:v>
      </x:c>
      <x:c r="C707" s="30" t="str">
        <x:v>B7</x:v>
      </x:c>
      <x:c r="D707" s="30" t="str">
        <x:v>Israel Aerospace Industries (IAI) — Marine/Naval: BARAK MX Naval
Israel Aerospace Industries (IAI) — UAVs/Drones: Green Dragon Loitering Munition
Israel Aerospace Industries (IAI) — UAVs/Drones: HAROP Loitering Munition
Israel Aerospace Industries (IAI) — UAVs/Drones: HARPY Anti-Radiation Loitering Munition
Israel Aerospace Industries (IAI) — UAVs/Drones: HERON 1
Israel Aerospace Industries (IAI) — UAVs/Drones: Heron TP
Israel Aerospace Industries (IAI) — UAVs/Drones: TAKHIR / Miniature UAS family
Israel Aerospace Industries (IAI) — Missiles: Arrow 2 Interceptor
Israel Aerospace Industries (IAI) — Missiles: Arrow 3 Interceptor
Israel Aerospace Industries (IAI) — Missiles: BARAK ER
Israel Aerospace Industries (IAI) — Missiles: BARAK LR
Israel Aerospace Industries (IAI) — Missiles: BARAK MR</x:v>
      </x:c>
    </x:row>
    <x:row r="708">
      <x:c r="A708" s="30" t="str">
        <x:v>https://www.iai.co.il/product/elm-2084-mmr/</x:v>
      </x:c>
      <x:c r="B708" s="30" t="str">
        <x:v>Israel Aerospace Industries (IAI)</x:v>
      </x:c>
      <x:c r="C708" s="30" t="str">
        <x:v>B7</x:v>
      </x:c>
      <x:c r="D708" s="30" t="str">
        <x:v>Israel Aerospace Industries (IAI) — Marine/Naval: BARAK MX Naval
Israel Aerospace Industries (IAI) — UAVs/Drones: Green Dragon Loitering Munition
Israel Aerospace Industries (IAI) — UAVs/Drones: HAROP Loitering Munition
Israel Aerospace Industries (IAI) — UAVs/Drones: HARPY Anti-Radiation Loitering Munition
Israel Aerospace Industries (IAI) — UAVs/Drones: HERON 1
Israel Aerospace Industries (IAI) — UAVs/Drones: Heron TP
Israel Aerospace Industries (IAI) — UAVs/Drones: TAKHIR / Miniature UAS family
Israel Aerospace Industries (IAI) — Missiles: Arrow 2 Interceptor
Israel Aerospace Industries (IAI) — Missiles: Arrow 3 Interceptor
Israel Aerospace Industries (IAI) — Missiles: BARAK ER
Israel Aerospace Industries (IAI) — Missiles: BARAK LR
Israel Aerospace Industries (IAI) — Missiles: BARAK MR</x:v>
      </x:c>
    </x:row>
    <x:row r="709">
      <x:c r="A709" s="30" t="str">
        <x:v>https://www.iai.co.il/product/harop/</x:v>
      </x:c>
      <x:c r="B709" s="30" t="str">
        <x:v>Israel Aerospace Industries (IAI)</x:v>
      </x:c>
      <x:c r="C709" s="30" t="str">
        <x:v>B7</x:v>
      </x:c>
      <x:c r="D709" s="30" t="str">
        <x:v>Israel Aerospace Industries (IAI) — Marine/Naval: BARAK MX Naval
Israel Aerospace Industries (IAI) — UAVs/Drones: Green Dragon Loitering Munition
Israel Aerospace Industries (IAI) — UAVs/Drones: HAROP Loitering Munition
Israel Aerospace Industries (IAI) — UAVs/Drones: HARPY Anti-Radiation Loitering Munition
Israel Aerospace Industries (IAI) — UAVs/Drones: HERON 1
Israel Aerospace Industries (IAI) — UAVs/Drones: Heron TP
Israel Aerospace Industries (IAI) — UAVs/Drones: TAKHIR / Miniature UAS family
Israel Aerospace Industries (IAI) — Missiles: Arrow 2 Interceptor
Israel Aerospace Industries (IAI) — Missiles: Arrow 3 Interceptor
Israel Aerospace Industries (IAI) — Missiles: BARAK ER
Israel Aerospace Industries (IAI) — Missiles: BARAK LR
Israel Aerospace Industries (IAI) — Missiles: BARAK MR</x:v>
      </x:c>
    </x:row>
    <x:row r="710">
      <x:c r="A710" s="30" t="str">
        <x:v>https://www.iai.co.il/product/harpy/</x:v>
      </x:c>
      <x:c r="B710" s="30" t="str">
        <x:v>Israel Aerospace Industries (IAI)</x:v>
      </x:c>
      <x:c r="C710" s="30" t="str">
        <x:v>B7</x:v>
      </x:c>
      <x:c r="D710" s="30" t="str">
        <x:v>Israel Aerospace Industries (IAI) — UAVs/Drones: HARPY Anti-Radiation Loitering Munition</x:v>
      </x:c>
    </x:row>
    <x:row r="711">
      <x:c r="A711" s="30" t="str">
        <x:v>https://www.iai.co.il/product/heron-mk-ii/</x:v>
      </x:c>
      <x:c r="B711" s="30" t="str">
        <x:v>Israel Aerospace Industries (IAI)</x:v>
      </x:c>
      <x:c r="C711" s="30" t="str">
        <x:v>B7</x:v>
      </x:c>
      <x:c r="D711" s="30" t="str">
        <x:v>Israel Aerospace Industries (IAI) — UAVs/Drones: Heron MK II</x:v>
      </x:c>
    </x:row>
    <x:row r="712">
      <x:c r="A712" s="30" t="str">
        <x:v>https://www.iai.co.il/product/heron-tp/</x:v>
      </x:c>
      <x:c r="B712" s="30" t="str">
        <x:v>Israel Aerospace Industries (IAI)</x:v>
      </x:c>
      <x:c r="C712" s="30" t="str">
        <x:v>B7</x:v>
      </x:c>
      <x:c r="D712" s="30" t="str">
        <x:v>Israel Aerospace Industries (IAI) — Marine/Naval: BARAK MX Naval
Israel Aerospace Industries (IAI) — UAVs/Drones: Green Dragon Loitering Munition
Israel Aerospace Industries (IAI) — UAVs/Drones: HAROP Loitering Munition
Israel Aerospace Industries (IAI) — UAVs/Drones: HARPY Anti-Radiation Loitering Munition
Israel Aerospace Industries (IAI) — UAVs/Drones: HERON 1
Israel Aerospace Industries (IAI) — UAVs/Drones: Heron TP
Israel Aerospace Industries (IAI) — UAVs/Drones: TAKHIR / Miniature UAS family
Israel Aerospace Industries (IAI) — Missiles: Arrow 2 Interceptor
Israel Aerospace Industries (IAI) — Missiles: Arrow 3 Interceptor
Israel Aerospace Industries (IAI) — Missiles: BARAK ER
Israel Aerospace Industries (IAI) — Missiles: BARAK LR
Israel Aerospace Industries (IAI) — Missiles: BARAK MR</x:v>
      </x:c>
    </x:row>
    <x:row r="713">
      <x:c r="A713" s="30" t="str">
        <x:v>https://www.iai.co.il/product/lora/</x:v>
      </x:c>
      <x:c r="B713" s="30" t="str">
        <x:v>Israel Aerospace Industries (IAI)</x:v>
      </x:c>
      <x:c r="C713" s="30" t="str">
        <x:v>B7</x:v>
      </x:c>
      <x:c r="D713" s="30" t="str">
        <x:v>Israel Aerospace Industries (IAI) — Missiles: LORA Precision Strike Missile</x:v>
      </x:c>
    </x:row>
    <x:row r="714">
      <x:c r="A714" s="30" t="str">
        <x:v>https://www.iai.co.il/product/mini-harpy/</x:v>
      </x:c>
      <x:c r="B714" s="30" t="str">
        <x:v>Israel Aerospace Industries (IAI)</x:v>
      </x:c>
      <x:c r="C714" s="30" t="str">
        <x:v>B7</x:v>
      </x:c>
      <x:c r="D714" s="30" t="str">
        <x:v>Israel Aerospace Industries (IAI) — UAVs/Drones: Mini HARPY</x:v>
      </x:c>
    </x:row>
    <x:row r="715">
      <x:c r="A715" s="30" t="str">
        <x:v>https://www.iai.co.il/product/tactical-heron/</x:v>
      </x:c>
      <x:c r="B715" s="30" t="str">
        <x:v>Israel Aerospace Industries (IAI)</x:v>
      </x:c>
      <x:c r="C715" s="30" t="str">
        <x:v>B7</x:v>
      </x:c>
      <x:c r="D715" s="30" t="str">
        <x:v>Israel Aerospace Industries (IAI) — UAVs/Drones: Tactical Heron</x:v>
      </x:c>
    </x:row>
    <x:row r="716">
      <x:c r="A716" s="30" t="str">
        <x:v>https://www.iai.co.il/products</x:v>
      </x:c>
      <x:c r="B716" s="30" t="str">
        <x:v>Israel Aerospace Industries (IAI)</x:v>
      </x:c>
      <x:c r="C716" s="30" t="str">
        <x:v>B7</x:v>
      </x:c>
      <x:c r="D716" s="30" t="str">
        <x:v>Israel Aerospace Industries (IAI) — Marine/Naval: BARAK MX Naval
Israel Aerospace Industries (IAI) — UAVs/Drones: Green Dragon Loitering Munition
Israel Aerospace Industries (IAI) — UAVs/Drones: HAROP Loitering Munition
Israel Aerospace Industries (IAI) — UAVs/Drones: HARPY Anti-Radiation Loitering Munition
Israel Aerospace Industries (IAI) — UAVs/Drones: HERON 1
Israel Aerospace Industries (IAI) — UAVs/Drones: Heron TP
Israel Aerospace Industries (IAI) — UAVs/Drones: TAKHIR / Miniature UAS family
Israel Aerospace Industries (IAI) — Missiles: Arrow 2 Interceptor
Israel Aerospace Industries (IAI) — Missiles: Arrow 3 Interceptor
Israel Aerospace Industries (IAI) — Missiles: BARAK ER
Israel Aerospace Industries (IAI) — Missiles: BARAK LR
Israel Aerospace Industries (IAI) — Missiles: BARAK MR</x:v>
      </x:c>
    </x:row>
    <x:row r="717">
      <x:c r="A717" s="30" t="str">
        <x:v>https://www.iai.co.il/wp-content/uploads/2025/10/MSL-HAROP-Brochure.pdf</x:v>
      </x:c>
      <x:c r="B717" s="30" t="str">
        <x:v>Israel Aerospace Industries (IAI)</x:v>
      </x:c>
      <x:c r="C717" s="30" t="str">
        <x:v>B7</x:v>
      </x:c>
      <x:c r="D717" s="30" t="str">
        <x:v>Israel Aerospace Industries (IAI) — UAVs/Drones: HAROP Loitering Munition</x:v>
      </x:c>
    </x:row>
    <x:row r="718">
      <x:c r="A718" s="30" t="str">
        <x:v>https://www.iai.co.il/wp-content/uploads/2025/11/AMD-BARAK-LR-Brochure.pdf</x:v>
      </x:c>
      <x:c r="B718" s="30" t="str">
        <x:v>Israel Aerospace Industries (IAI)</x:v>
      </x:c>
      <x:c r="C718" s="30" t="str">
        <x:v>B7</x:v>
      </x:c>
      <x:c r="D718" s="30" t="str">
        <x:v>Israel Aerospace Industries (IAI) — Missiles: BARAK LR</x:v>
      </x:c>
    </x:row>
    <x:row r="719">
      <x:c r="A719" s="30" t="str">
        <x:v>https://www.iai.co.il/wp-content/uploads/2026/04/IAI_Sustainability_Report_2025_English_31_3_26.pdf</x:v>
      </x:c>
      <x:c r="B719" s="30" t="str">
        <x:v>Israel Aerospace Industries (IAI)</x:v>
      </x:c>
      <x:c r="C719" s="30" t="str">
        <x:v>B7</x:v>
      </x:c>
      <x:c r="D719" s="30" t="str">
        <x:v>Israel Aerospace Industries (IAI) — company details</x:v>
      </x:c>
    </x:row>
    <x:row r="720">
      <x:c r="A720" s="30" t="str">
        <x:v>https://www.idsa.in/publisher/system/files/monograph/monograph75.pdf</x:v>
      </x:c>
      <x:c r="B720" s="30" t="str">
        <x:v>PLR Systems (IWI+Adani)</x:v>
      </x:c>
      <x:c r="C720" s="30" t="str">
        <x:v>B4</x:v>
      </x:c>
      <x:c r="D720" s="30" t="str">
        <x:v>PLR Systems (IWI+Adani) — Small Arms: GALIL Sniper S.A.
PLR Systems (IWI+Adani) — Small Arms: MASADA 9 mm Pistol
PLR Systems (IWI+Adani) — Small Arms: TAVOR TAR-21 / TAVOR TAR Flattop
PLR Systems (IWI+Adani) — Small Arms: UZI PRO SMG</x:v>
      </x:c>
    </x:row>
    <x:row r="721">
      <x:c r="A721" s="30" t="str">
        <x:v>https://www.idvgroup.com/</x:v>
      </x:c>
      <x:c r="B721" s="30" t="str">
        <x:v>IDV (Iveco Defence)</x:v>
      </x:c>
      <x:c r="C721" s="30" t="str">
        <x:v>B4</x:v>
      </x:c>
      <x:c r="D721" s="30" t="str">
        <x:v>IDV (Iveco Defence) — Protected Vehicles: Guarani 6×6</x:v>
      </x:c>
    </x:row>
    <x:row r="722">
      <x:c r="A722" s="30" t="str">
        <x:v>https://www.idvgroup.com/2019/09/12/iveco-defence-vehicles-awarded-contract-to-deliver-a-new-generation-of-medium-multirole-protected/</x:v>
      </x:c>
      <x:c r="B722" s="30" t="str">
        <x:v>IDV (Iveco Defence)</x:v>
      </x:c>
      <x:c r="C722" s="30" t="str">
        <x:v>B4</x:v>
      </x:c>
      <x:c r="D722" s="30" t="str">
        <x:v>IDV (Iveco Defence) — Protected Vehicles: MTV Medium Tactical Vehicle</x:v>
      </x:c>
    </x:row>
    <x:row r="723">
      <x:c r="A723" s="30" t="str">
        <x:v>https://www.idvgroup.com/2023/01/10/the-italian-navy-orders-36-idv-amphibious-armoured-vehicles-vba/</x:v>
      </x:c>
      <x:c r="B723" s="30" t="str">
        <x:v>IDV (Iveco Defence)</x:v>
      </x:c>
      <x:c r="C723" s="30" t="str">
        <x:v>B4</x:v>
      </x:c>
      <x:c r="D723" s="30" t="str">
        <x:v>IDV (Iveco Defence) — Protected Vehicles: SuperAV Amphibious / VBA</x:v>
      </x:c>
    </x:row>
    <x:row r="724">
      <x:c r="A724" s="30" t="str">
        <x:v>https://www.idvgroup.com/2025/09/09/idv-showcases-latest-innovations-in-land-vehicles-and-autonomous-systems-at-dsei-uk/</x:v>
      </x:c>
      <x:c r="B724" s="30" t="str">
        <x:v>IDV (Iveco Defence)</x:v>
      </x:c>
      <x:c r="C724" s="30" t="str">
        <x:v>B4</x:v>
      </x:c>
      <x:c r="D724" s="30" t="str">
        <x:v>IDV (Iveco Defence) — Protected Vehicles: MUV 4×4
IDV (Iveco Defence) — appendix: Viking UGV</x:v>
      </x:c>
    </x:row>
    <x:row r="725">
      <x:c r="A725" s="30" t="str">
        <x:v>https://www.idvgroup.com/2026/06/16/idv-showcases-its-latest-innovations-in-uncrewed-land-vehicles-and-autonomous-systems-at-eurosatory-2026/</x:v>
      </x:c>
      <x:c r="B725" s="30" t="str">
        <x:v>IDV (Iveco Defence)</x:v>
      </x:c>
      <x:c r="C725" s="30" t="str">
        <x:v>B4</x:v>
      </x:c>
      <x:c r="D725" s="30" t="str">
        <x:v>IDV (Iveco Defence) — company details</x:v>
      </x:c>
    </x:row>
    <x:row r="726">
      <x:c r="A726" s="30" t="str">
        <x:v>https://www.idvgroup.com/products/</x:v>
      </x:c>
      <x:c r="B726" s="30" t="str">
        <x:v>IDV (Iveco Defence)</x:v>
      </x:c>
      <x:c r="C726" s="30" t="str">
        <x:v>B4</x:v>
      </x:c>
      <x:c r="D726" s="30" t="str">
        <x:v>IDV (Iveco Defence) — Protected Vehicles: Ariete C2
IDV (Iveco Defence) — Protected Vehicles: Guarani 6×6
IDV (Iveco Defence) — company details
IDV (Iveco Defence) — appendix: Viking UGV</x:v>
      </x:c>
    </x:row>
    <x:row r="727">
      <x:c r="A727" s="30" t="str">
        <x:v>https://www.idvgroup.com/products/amphibious-armoured-vehicles/guarani/</x:v>
      </x:c>
      <x:c r="B727" s="30" t="str">
        <x:v>IDV (Iveco Defence)</x:v>
      </x:c>
      <x:c r="C727" s="30" t="str">
        <x:v>B4</x:v>
      </x:c>
      <x:c r="D727" s="30" t="str">
        <x:v>IDV (Iveco Defence) — Protected Vehicles: Guarani 6×6</x:v>
      </x:c>
    </x:row>
    <x:row r="728">
      <x:c r="A728" s="30" t="str">
        <x:v>https://www.idvgroup.com/products/amphibious-armoured-vehicles/superav-amphibious-armoured-vehicle-8x8/</x:v>
      </x:c>
      <x:c r="B728" s="30" t="str">
        <x:v>Leonardo, IDV (Iveco Defence)</x:v>
      </x:c>
      <x:c r="C728" s="30" t="str">
        <x:v>B1, B4</x:v>
      </x:c>
      <x:c r="D728" s="30" t="str">
        <x:v>Leonardo — Protected Vehicles: SUPERAV Amphibious / VBA
Leonardo — Protected Vehicles: VBA
IDV (Iveco Defence) — Protected Vehicles: SuperAV Amphibious / VBA</x:v>
      </x:c>
    </x:row>
    <x:row r="729">
      <x:c r="A729" s="30" t="str">
        <x:v>https://www.idvgroup.com/products/land-armoured-vehicles/</x:v>
      </x:c>
      <x:c r="B729" s="30" t="str">
        <x:v>IDV (Iveco Defence)</x:v>
      </x:c>
      <x:c r="C729" s="30" t="str">
        <x:v>B4</x:v>
      </x:c>
      <x:c r="D729" s="30" t="str">
        <x:v>IDV (Iveco Defence) — Protected Vehicles: Ariete C2</x:v>
      </x:c>
    </x:row>
    <x:row r="730">
      <x:c r="A730" s="30" t="str">
        <x:v>https://www.idvgroup.com/products/land-armoured-vehicles/centauro-ii/</x:v>
      </x:c>
      <x:c r="B730" s="30" t="str">
        <x:v>Leonardo, IDV (Iveco Defence)</x:v>
      </x:c>
      <x:c r="C730" s="30" t="str">
        <x:v>B1, B4</x:v>
      </x:c>
      <x:c r="D730" s="30" t="str">
        <x:v>Leonardo — Protected Vehicles: Centauro II
IDV (Iveco Defence) — Protected Vehicles: Centauro II</x:v>
      </x:c>
    </x:row>
    <x:row r="731">
      <x:c r="A731" s="30" t="str">
        <x:v>https://www.idvgroup.com/products/land-armoured-vehicles/superav-land/</x:v>
      </x:c>
      <x:c r="B731" s="30" t="str">
        <x:v>Leonardo, IDV (Iveco Defence)</x:v>
      </x:c>
      <x:c r="C731" s="30" t="str">
        <x:v>B1, B4</x:v>
      </x:c>
      <x:c r="D731" s="30" t="str">
        <x:v>Leonardo — Protected Vehicles: SUPERAV Land
IDV (Iveco Defence) — Protected Vehicles: SuperAV Land</x:v>
      </x:c>
    </x:row>
    <x:row r="732">
      <x:c r="A732" s="30" t="str">
        <x:v>https://www.idvgroup.com/products/land-armoured-vehicles/vbm-freccia-aifv-atgm/</x:v>
      </x:c>
      <x:c r="B732" s="30" t="str">
        <x:v>Leonardo, IDV (Iveco Defence)</x:v>
      </x:c>
      <x:c r="C732" s="30" t="str">
        <x:v>B1, B4</x:v>
      </x:c>
      <x:c r="D732" s="30" t="str">
        <x:v>Leonardo — Protected Vehicles: VBM Freccia AIFV/ATGM
IDV (Iveco Defence) — Protected Vehicles: VBM Freccia AIFV / ATGM</x:v>
      </x:c>
    </x:row>
    <x:row r="733">
      <x:c r="A733" s="30" t="str">
        <x:v>https://www.idvgroup.com/products/multirole-vehicles/</x:v>
      </x:c>
      <x:c r="B733" s="30" t="str">
        <x:v>IDV (Iveco Defence)</x:v>
      </x:c>
      <x:c r="C733" s="30" t="str">
        <x:v>B4</x:v>
      </x:c>
      <x:c r="D733" s="30" t="str">
        <x:v>IDV (Iveco Defence) — Protected Vehicles: MUV 4×4</x:v>
      </x:c>
    </x:row>
    <x:row r="734">
      <x:c r="A734" s="30" t="str">
        <x:v>https://www.idvgroup.com/products/multirole-vehicles/lmv2-light-multirole-vehicle/</x:v>
      </x:c>
      <x:c r="B734" s="30" t="str">
        <x:v>IDV (Iveco Defence)</x:v>
      </x:c>
      <x:c r="C734" s="30" t="str">
        <x:v>B4</x:v>
      </x:c>
      <x:c r="D734" s="30" t="str">
        <x:v>IDV (Iveco Defence) — Protected Vehicles: LMV2</x:v>
      </x:c>
    </x:row>
    <x:row r="735">
      <x:c r="A735" s="30" t="str">
        <x:v>https://www.idvgroup.com/products/multirole-vehicles/mtv-medium-tactical-vehicle/</x:v>
      </x:c>
      <x:c r="B735" s="30" t="str">
        <x:v>IDV (Iveco Defence)</x:v>
      </x:c>
      <x:c r="C735" s="30" t="str">
        <x:v>B4</x:v>
      </x:c>
      <x:c r="D735" s="30" t="str">
        <x:v>IDV (Iveco Defence) — Protected Vehicles: MTV Medium Tactical Vehicle</x:v>
      </x:c>
    </x:row>
    <x:row r="736">
      <x:c r="A736" s="30" t="str">
        <x:v>https://www.idvgroup.com/products/multirole-vehicles/muv/</x:v>
      </x:c>
      <x:c r="B736" s="30" t="str">
        <x:v>Leonardo, IDV (Iveco Defence)</x:v>
      </x:c>
      <x:c r="C736" s="30" t="str">
        <x:v>B1, B4</x:v>
      </x:c>
      <x:c r="D736" s="30" t="str">
        <x:v>Leonardo — Protected Vehicles: MUV
IDV (Iveco Defence) — Protected Vehicles: MUV 4×4</x:v>
      </x:c>
    </x:row>
    <x:row r="737">
      <x:c r="A737" s="30" t="str">
        <x:v>https://www.indianexpress.com/article/india/us-javelin-missiles-to-be-made-in-india-in-partnership-with-tata-firm-10857303/</x:v>
      </x:c>
      <x:c r="B737" s="30" t="str">
        <x:v>Tata Advanced Systems</x:v>
      </x:c>
      <x:c r="C737" s="30" t="str">
        <x:v>B3</x:v>
      </x:c>
      <x:c r="D737" s="30" t="str">
        <x:v>Tata Advanced Systems — appendix: Javelin Anti-Tank Guided Missile — India Co-production Portfolio</x:v>
      </x:c>
    </x:row>
    <x:row r="738">
      <x:c r="A738" s="30" t="str">
        <x:v>https://www.ivecogroup.com/media/corporate_press_releases/2026/march/iveco_group_transfers_its_defence_business_to_leonardo_to_create_a_european_champion_in_the_defence_segment</x:v>
      </x:c>
      <x:c r="B738" s="30" t="str">
        <x:v>IDV (Iveco Defence)</x:v>
      </x:c>
      <x:c r="C738" s="30" t="str">
        <x:v>B4</x:v>
      </x:c>
      <x:c r="D738" s="30" t="str">
        <x:v>IDV (Iveco Defence) — company details</x:v>
      </x:c>
    </x:row>
    <x:row r="739">
      <x:c r="A739" s="30" t="str">
        <x:v>https://www.janes.com/</x:v>
      </x:c>
      <x:c r="B739" s="30" t="str">
        <x:v>Kalashnikov Concern, Bharat Dynamics Ltd (BDL), Huta Stalowa Wola (HSW), Oshkosh Defense</x:v>
      </x:c>
      <x:c r="C739" s="30" t="str">
        <x:v>B5</x:v>
      </x:c>
      <x:c r="D739" s="30" t="str">
        <x:v>Kalashnikov Concern — UAVs/Drones: KUB-E Loitering Munition
Kalashnikov Concern — UAVs/Drones: Lancet-E Loitering-Munition System
Kalashnikov Concern — Missiles: 9K121 Vikhr-1 Air-Launched ATGM
Bharat Dynamics Ltd (BDL) — Missiles: NAG ATGM
Huta Stalowa Wola (HSW) — Artillery: KRAB 155 mm Self-Propelled Howitzer
Huta Stalowa Wola (HSW) — Protected Vehicles: Borsuk Amphibious IFV
Oshkosh Defense — Protected Vehicles: FMTV A2 Family
Oshkosh Defense — Protected Vehicles: JLTV
Oshkosh Defense — Protected Vehicles: M-ATV Standard</x:v>
      </x:c>
    </x:row>
    <x:row r="740">
      <x:c r="A740" s="30" t="str">
        <x:v>https://www.janes.com/defence-intelligence-insights/defence-news/air/aero-india-2023-iaf-to-receive-100-loitering-munitions-from-tasl</x:v>
      </x:c>
      <x:c r="B740" s="30" t="str">
        <x:v>Tata Advanced Systems</x:v>
      </x:c>
      <x:c r="C740" s="30" t="str">
        <x:v>B3</x:v>
      </x:c>
      <x:c r="D740" s="30" t="str">
        <x:v>Tata Advanced Systems — UAVs/Drones: ALS-50 Loitering Munition</x:v>
      </x:c>
    </x:row>
    <x:row r="741">
      <x:c r="A741" s="30" t="str">
        <x:v>https://www.janes.com/defence-intelligence-insights/defence-news/air/ila-2024-rheinmetall-showcases-luna-ng-uav-developed-for-germany</x:v>
      </x:c>
      <x:c r="B741" s="30" t="str">
        <x:v>Rheinmetall</x:v>
      </x:c>
      <x:c r="C741" s="30" t="str">
        <x:v>B2</x:v>
      </x:c>
      <x:c r="D741" s="30" t="str">
        <x:v>Rheinmetall — UAVs/Drones: LUNA NG</x:v>
      </x:c>
    </x:row>
    <x:row r="742">
      <x:c r="A742" s="30" t="str">
        <x:v>https://www.janes.com/defence-intelligence-insights/defence-news/dsei-2019-general-dynamics-launches-new-bluefin-12-uuv</x:v>
      </x:c>
      <x:c r="B742" s="30" t="str">
        <x:v>General Dynamics</x:v>
      </x:c>
      <x:c r="C742" s="30" t="str">
        <x:v>B2</x:v>
      </x:c>
      <x:c r="D742" s="30" t="str">
        <x:v>General Dynamics — Marine/Naval: Bluefin-12 UUV</x:v>
      </x:c>
    </x:row>
    <x:row r="743">
      <x:c r="A743" s="30" t="str">
        <x:v>https://www.janes.com/defence-intelligence-insights/defence-news/idex-2019-paramount-launches-mbombe-4-wins-contract</x:v>
      </x:c>
      <x:c r="B743" s="30" t="str">
        <x:v>Paramount Group</x:v>
      </x:c>
      <x:c r="C743" s="30" t="str">
        <x:v>B4</x:v>
      </x:c>
      <x:c r="D743" s="30" t="str">
        <x:v>Paramount Group — Protected Vehicles: Mbombe 4</x:v>
      </x:c>
    </x:row>
    <x:row r="744">
      <x:c r="A744" s="30" t="str">
        <x:v>https://www.janes.com/defence-intelligence-insights/defence-news/indian-army-receives-first-six-of-114-dhanush-howitzers</x:v>
      </x:c>
      <x:c r="B744" s="30" t="str">
        <x:v>AWEIL</x:v>
      </x:c>
      <x:c r="C744" s="30" t="str">
        <x:v>B1</x:v>
      </x:c>
      <x:c r="D744" s="30" t="str">
        <x:v>AWEIL — Artillery: Dhanush 155 mm × 45 Cal Artillery Gun System</x:v>
      </x:c>
    </x:row>
    <x:row r="745">
      <x:c r="A745" s="30" t="str">
        <x:v>https://www.janes.com/defence-intelligence-insights/defence-news/industry/ausa-2023-roshel-details-senator-mrap-vehicle</x:v>
      </x:c>
      <x:c r="B745" s="30" t="str">
        <x:v>Roshel</x:v>
      </x:c>
      <x:c r="C745" s="30" t="str">
        <x:v>B4</x:v>
      </x:c>
      <x:c r="D745" s="30" t="str">
        <x:v>Roshel — Protected Vehicles: Senator MRAP</x:v>
      </x:c>
    </x:row>
    <x:row r="746">
      <x:c r="A746" s="30" t="str">
        <x:v>https://www.janes.com/defence-intelligence-insights/defence-news/land/idef-2023-otokar-unveils-arma-ii-ifv-with-turkish-powerpack</x:v>
      </x:c>
      <x:c r="B746" s="30" t="str">
        <x:v>Otokar</x:v>
      </x:c>
      <x:c r="C746" s="30" t="str">
        <x:v>B4</x:v>
      </x:c>
      <x:c r="D746" s="30" t="str">
        <x:v>Otokar — Protected Vehicles: ARMA II 8×8</x:v>
      </x:c>
    </x:row>
    <x:row r="747">
      <x:c r="A747" s="30" t="str">
        <x:v>https://www.janes.com/defence-intelligence-insights/defence-news/land/idef-2025-otokar-reveals-romanian-cobra-ii-configuration-25-mm-turret-variant</x:v>
      </x:c>
      <x:c r="B747" s="30" t="str">
        <x:v>Otokar</x:v>
      </x:c>
      <x:c r="C747" s="30" t="str">
        <x:v>B4</x:v>
      </x:c>
      <x:c r="D747" s="30" t="str">
        <x:v>Otokar — Protected Vehicles: COBRA II 4×4</x:v>
      </x:c>
    </x:row>
    <x:row r="748">
      <x:c r="A748" s="30" t="str">
        <x:v>https://www.janes.com/defence-intelligence-insights/defence-news/land/indian-army-deploys-vehicle-mounted-infantry-mortar-system-near-lac</x:v>
      </x:c>
      <x:c r="B748" s="30" t="str">
        <x:v>Mahindra Defence</x:v>
      </x:c>
      <x:c r="C748" s="30" t="str">
        <x:v>B3</x:v>
      </x:c>
      <x:c r="D748" s="30" t="str">
        <x:v>Mahindra Defence — Protected Vehicles: VMIMS on ALSV + Alakran-L</x:v>
      </x:c>
    </x:row>
    <x:row r="749">
      <x:c r="A749" s="30" t="str">
        <x:v>https://www.janes.com/defence-intelligence-insights/defence-news/land/land-forces-2024-supacat-unveils-medium-utility-vehicle</x:v>
      </x:c>
      <x:c r="B749" s="30" t="str">
        <x:v>Supacat</x:v>
      </x:c>
      <x:c r="C749" s="30" t="str">
        <x:v>B3</x:v>
      </x:c>
      <x:c r="D749" s="30" t="str">
        <x:v>Supacat — Protected Vehicles: Supacat Medium Utility Vehicle (MUV)</x:v>
      </x:c>
    </x:row>
    <x:row r="750">
      <x:c r="A750" s="30" t="str">
        <x:v>https://www.janes.com/defence-intelligence-insights/defence-news/land/wds-2024-otokars-tulpar-modular-afv-fitted-with-hitfact-ii-120-mm-turret</x:v>
      </x:c>
      <x:c r="B750" s="30" t="str">
        <x:v>Otokar</x:v>
      </x:c>
      <x:c r="C750" s="30" t="str">
        <x:v>B4</x:v>
      </x:c>
      <x:c r="D750" s="30" t="str">
        <x:v>Otokar — Protected Vehicles: TULPAR</x:v>
      </x:c>
    </x:row>
    <x:row r="751">
      <x:c r="A751" s="30" t="str">
        <x:v>https://www.janes.com/defence-intelligence-insights/defence-news/sea-ceptor-ordered-for-uk-type-31-frigates</x:v>
      </x:c>
      <x:c r="B751" s="30" t="str">
        <x:v>MBDA</x:v>
      </x:c>
      <x:c r="C751" s="30" t="str">
        <x:v>B7</x:v>
      </x:c>
      <x:c r="D751" s="30" t="str">
        <x:v>MBDA — Marine/Naval: SEA CEPTOR</x:v>
      </x:c>
    </x:row>
    <x:row r="752">
      <x:c r="A752" s="30" t="str">
        <x:v>https://www.janes.com/defence-intelligence-insights/defence-news/uvision-unveils-new-hero-developments</x:v>
      </x:c>
      <x:c r="B752" s="30" t="str">
        <x:v>UVision Air</x:v>
      </x:c>
      <x:c r="C752" s="30" t="str">
        <x:v>B10</x:v>
      </x:c>
      <x:c r="D752" s="30" t="str">
        <x:v>UVision Air — UAVs/Drones: HERO 120</x:v>
      </x:c>
    </x:row>
    <x:row r="753">
      <x:c r="A753" s="30" t="str">
        <x:v>https://www.janes.com/defence-intelligence-insights/defence-news/weapons/iav-2026-ajax-nemo-mortar-carrier-unveiled</x:v>
      </x:c>
      <x:c r="B753" s="30" t="str">
        <x:v>Patria</x:v>
      </x:c>
      <x:c r="C753" s="30" t="str">
        <x:v>B3</x:v>
      </x:c>
      <x:c r="D753" s="30" t="str">
        <x:v>Patria — Artillery: Patria NEMO 120 mm Mortar System</x:v>
      </x:c>
    </x:row>
    <x:row r="754">
      <x:c r="A754" s="30" t="str">
        <x:v>https://www.janes.com/defence-intelligence-insights/defence-news/weapons/rheinmetall-identifies-markets-for-kf51-panther-tank</x:v>
      </x:c>
      <x:c r="B754" s="30" t="str">
        <x:v>Rheinmetall</x:v>
      </x:c>
      <x:c r="C754" s="30" t="str">
        <x:v>B2</x:v>
      </x:c>
      <x:c r="D754" s="30" t="str">
        <x:v>Rheinmetall — Protected Vehicles: Panther KF51</x:v>
      </x:c>
    </x:row>
    <x:row r="755">
      <x:c r="A755" s="30" t="str">
        <x:v>https://www.jpost.com/defense-and-tech/article-891732</x:v>
      </x:c>
      <x:c r="B755" s="30" t="str">
        <x:v>PLR Systems (IWI+Adani)</x:v>
      </x:c>
      <x:c r="C755" s="30" t="str">
        <x:v>B4</x:v>
      </x:c>
      <x:c r="D755" s="30" t="str">
        <x:v>PLR Systems (IWI+Adani) — Small Arms: IWI CQB Carbine / PLR Jeet programme
PLR Systems (IWI+Adani) — Small Arms: NEGEV NG-7 / Prahar LMG</x:v>
      </x:c>
    </x:row>
    <x:row r="756">
      <x:c r="A756" s="30" t="str">
        <x:v>https://www.kap.org.tr/en/sirket-bilgileri/genel/1046-otokar-otomotiv-ve-savunma-sanayi-a-s</x:v>
      </x:c>
      <x:c r="B756" s="30" t="str">
        <x:v>Otokar</x:v>
      </x:c>
      <x:c r="C756" s="30" t="str">
        <x:v>B4</x:v>
      </x:c>
      <x:c r="D756" s="30" t="str">
        <x:v>Otokar — company details</x:v>
      </x:c>
    </x:row>
    <x:row r="757">
      <x:c r="A757" s="30" t="str">
        <x:v>https://www.knds.com/fileadmin/user_upload/content/Newsroom/PressAreas/2022_Eurosatory/KATANA/KATANA_Data_sheet.pdf</x:v>
      </x:c>
      <x:c r="B757" s="30" t="str">
        <x:v>Nexter (KNDS France)</x:v>
      </x:c>
      <x:c r="C757" s="30" t="str">
        <x:v>B1</x:v>
      </x:c>
      <x:c r="D757" s="30" t="str">
        <x:v>Nexter (KNDS France) — Ammunition: 155 KATANA</x:v>
      </x:c>
    </x:row>
    <x:row r="758">
      <x:c r="A758" s="30" t="str">
        <x:v>https://www.kongsberg.com/about-us/management-and-organisation/board-of-directors/</x:v>
      </x:c>
      <x:c r="B758" s="30" t="str">
        <x:v>KONGSBERG</x:v>
      </x:c>
      <x:c r="C758" s="30" t="str">
        <x:v>B7</x:v>
      </x:c>
      <x:c r="D758" s="30" t="str">
        <x:v>KONGSBERG — company details</x:v>
      </x:c>
    </x:row>
    <x:row r="759">
      <x:c r="A759" s="30" t="str">
        <x:v>https://www.kongsberg.com/about-us/usa/usa-news-archive/2026/groundbreaking-for-kongsbergs-missile-manufacturing-and-maintenance-facility-in-james-city-county-virginia/</x:v>
      </x:c>
      <x:c r="B759" s="30" t="str">
        <x:v>KONGSBERG</x:v>
      </x:c>
      <x:c r="C759" s="30" t="str">
        <x:v>B7</x:v>
      </x:c>
      <x:c r="D759" s="30" t="str">
        <x:v>KONGSBERG — company details</x:v>
      </x:c>
    </x:row>
    <x:row r="760">
      <x:c r="A760" s="30" t="str">
        <x:v>https://www.kongsberg.com/globalassets/kongsberg-defence--aerospace/2.1.-products/defence-and-security/remote-weapon-systems/protector-mct/protector-rs4.pdf</x:v>
      </x:c>
      <x:c r="B760" s="30" t="str">
        <x:v>KONGSBERG</x:v>
      </x:c>
      <x:c r="C760" s="30" t="str">
        <x:v>B7</x:v>
      </x:c>
      <x:c r="D760" s="30" t="str">
        <x:v>KONGSBERG — appendix: PROTECTOR RS4 Remote Weapon System</x:v>
      </x:c>
    </x:row>
    <x:row r="761">
      <x:c r="A761" s="30" t="str">
        <x:v>https://www.kongsberg.com/globalassets/kongsberg-defence--aerospace/2.1.-products/defence-and-security/remote-weapon-systems/protector-mct/protector-rt60.pdf</x:v>
      </x:c>
      <x:c r="B761" s="30" t="str">
        <x:v>KONGSBERG</x:v>
      </x:c>
      <x:c r="C761" s="30" t="str">
        <x:v>B7</x:v>
      </x:c>
      <x:c r="D761" s="30" t="str">
        <x:v>KONGSBERG — Protected Vehicles: CROWS
KONGSBERG — appendix: PROTECTOR CUAS
KONGSBERG — appendix: PROTECTOR MCT Medium Caliber Turret
KONGSBERG — appendix: PROTECTOR RS2
KONGSBERG — appendix: PROTECTOR RS4 Remote Weapon System
KONGSBERG — appendix: PROTECTOR RS6 Remote Weapon System
KONGSBERG — appendix: PROTECTOR RT60</x:v>
      </x:c>
    </x:row>
    <x:row r="762">
      <x:c r="A762" s="30" t="str">
        <x:v>https://www.kongsberg.com/globalassets/kongsberg/1.-what-we-do/1.-defence-and-security/intergrated-air-and-missile-defence/nasams-air-defence-system/nasams_brochure_2026.pdf</x:v>
      </x:c>
      <x:c r="B762" s="30" t="str">
        <x:v>KONGSBERG, RTX (Raytheon)</x:v>
      </x:c>
      <x:c r="C762" s="30" t="str">
        <x:v>B7, B8</x:v>
      </x:c>
      <x:c r="D762" s="30" t="str">
        <x:v>KONGSBERG — Missiles: NASAMS Air Defence System
RTX (Raytheon) — Missiles: AMRAAM-ER</x:v>
      </x:c>
    </x:row>
    <x:row r="763">
      <x:c r="A763" s="30" t="str">
        <x:v>https://www.kongsberg.com/globalassets/kongsberg/1.-what-we-do/1.-defence-and-security/intergrated-air-and-missile-defence/nomads/nomads_brochure_2026.pdf</x:v>
      </x:c>
      <x:c r="B763" s="30" t="str">
        <x:v>KONGSBERG</x:v>
      </x:c>
      <x:c r="C763" s="30" t="str">
        <x:v>B7</x:v>
      </x:c>
      <x:c r="D763" s="30" t="str">
        <x:v>KONGSBERG — Missiles: NOMADS</x:v>
      </x:c>
    </x:row>
    <x:row r="764">
      <x:c r="A764" s="30" t="str">
        <x:v>https://www.kongsberg.com/globalassets/kongsberg/4.-investor-relations/4.-reports-and-presentations/annual-report/annual-report-2025/annual-report-english-2025-v2.pdf</x:v>
      </x:c>
      <x:c r="B764" s="30" t="str">
        <x:v>KONGSBERG</x:v>
      </x:c>
      <x:c r="C764" s="30" t="str">
        <x:v>B7</x:v>
      </x:c>
      <x:c r="D764" s="30" t="str">
        <x:v>KONGSBERG — company details</x:v>
      </x:c>
    </x:row>
    <x:row r="765">
      <x:c r="A765" s="30" t="str">
        <x:v>https://www.kongsberg.com/news-and-media/news-archive/2024/3/kongsberg-and-german-industry-to-develop-supersonic-strike-missile/</x:v>
      </x:c>
      <x:c r="B765" s="30" t="str">
        <x:v>KONGSBERG</x:v>
      </x:c>
      <x:c r="C765" s="30" t="str">
        <x:v>B7</x:v>
      </x:c>
      <x:c r="D765" s="30" t="str">
        <x:v>KONGSBERG — Missiles: 3SM Tyrfing / Super Sonic Strike Missile</x:v>
      </x:c>
    </x:row>
    <x:row r="766">
      <x:c r="A766" s="30" t="str">
        <x:v>https://www.kongsberg.com/news/news-archive/2026/kongsberg-protecting-people-and-planet--from-deep-sea-to-space/</x:v>
      </x:c>
      <x:c r="B766" s="30" t="str">
        <x:v>KONGSBERG</x:v>
      </x:c>
      <x:c r="C766" s="30" t="str">
        <x:v>B7</x:v>
      </x:c>
      <x:c r="D766" s="30" t="str">
        <x:v>KONGSBERG — company details</x:v>
      </x:c>
    </x:row>
    <x:row r="767">
      <x:c r="A767" s="30" t="str">
        <x:v>https://www.kongsberg.com/news/news-archive/2026/kongsberg-to-deliver-more-jsm-missiles-to-us-air-force/</x:v>
      </x:c>
      <x:c r="B767" s="30" t="str">
        <x:v>KONGSBERG</x:v>
      </x:c>
      <x:c r="C767" s="30" t="str">
        <x:v>B7</x:v>
      </x:c>
      <x:c r="D767" s="30" t="str">
        <x:v>KONGSBERG — Missiles: Joint Strike Missile (JSM)</x:v>
      </x:c>
    </x:row>
    <x:row r="768">
      <x:c r="A768" s="30" t="str">
        <x:v>https://www.kongsberg.com/no/about-us/australia/australia-news-archive/2026/kongsberg-missile-factory-construction-milestone-reached/</x:v>
      </x:c>
      <x:c r="B768" s="30" t="str">
        <x:v>KONGSBERG</x:v>
      </x:c>
      <x:c r="C768" s="30" t="str">
        <x:v>B7</x:v>
      </x:c>
      <x:c r="D768" s="30" t="str">
        <x:v>KONGSBERG — company details</x:v>
      </x:c>
    </x:row>
    <x:row r="769">
      <x:c r="A769" s="30" t="str">
        <x:v>https://www.kongsberg.com/what-we-do/defence-and-security/</x:v>
      </x:c>
      <x:c r="B769" s="30" t="str">
        <x:v>KONGSBERG</x:v>
      </x:c>
      <x:c r="C769" s="30" t="str">
        <x:v>B7</x:v>
      </x:c>
      <x:c r="D769" s="30" t="str">
        <x:v>KONGSBERG — Protected Vehicles: CROWS
KONGSBERG — Marine/Naval: MSI-90U / Submarine Combat System
KONGSBERG — Marine/Naval: Naval Sonars
KONGSBERG — Marine/Naval: PHAROX Modular Multisensor System
KONGSBERG — Marine/Naval: VANGUARD Unmanned Surface Vehicle
KONGSBERG — Missiles: Joint Strike Missile (JSM)
KONGSBERG — Missiles: NSM Coastal Defence System
KONGSBERG — Missiles: NSM Naval Strike Missile
KONGSBERG — appendix: PROTECTOR CUAS
KONGSBERG — appendix: PROTECTOR MCT Medium Caliber Turret
KONGSBERG — appendix: PROTECTOR RS2
KONGSBERG — appendix: PROTECTOR RS4 Remote Weapon System</x:v>
      </x:c>
    </x:row>
    <x:row r="770">
      <x:c r="A770" s="30" t="str">
        <x:v>https://www.kongsberg.com/what-we-do/defence-and-security/integrated-air-and-missile-defence/</x:v>
      </x:c>
      <x:c r="B770" s="30" t="str">
        <x:v>KONGSBERG</x:v>
      </x:c>
      <x:c r="C770" s="30" t="str">
        <x:v>B7</x:v>
      </x:c>
      <x:c r="D770" s="30" t="str">
        <x:v>KONGSBERG — Protected Vehicles: CROWS
KONGSBERG — Marine/Naval: MSI-90U / Submarine Combat System
KONGSBERG — Marine/Naval: Naval Sonars
KONGSBERG — Marine/Naval: PHAROX Modular Multisensor System
KONGSBERG — Marine/Naval: VANGUARD Unmanned Surface Vehicle
KONGSBERG — Missiles: Joint Strike Missile (JSM)
KONGSBERG — Missiles: NSM Coastal Defence System
KONGSBERG — Missiles: NSM Naval Strike Missile
KONGSBERG — appendix: PROTECTOR CUAS
KONGSBERG — appendix: PROTECTOR MCT Medium Caliber Turret
KONGSBERG — appendix: PROTECTOR RS2
KONGSBERG — appendix: PROTECTOR RS4 Remote Weapon System</x:v>
      </x:c>
    </x:row>
    <x:row r="771">
      <x:c r="A771" s="30" t="str">
        <x:v>https://www.kongsberg.com/what-we-do/defence-and-security/integrated-air-and-missile-defence/nasams-air-defence-system/</x:v>
      </x:c>
      <x:c r="B771" s="30" t="str">
        <x:v>KONGSBERG</x:v>
      </x:c>
      <x:c r="C771" s="30" t="str">
        <x:v>B7</x:v>
      </x:c>
      <x:c r="D771" s="30" t="str">
        <x:v>KONGSBERG — Missiles: NASAMS Air Defence System</x:v>
      </x:c>
    </x:row>
    <x:row r="772">
      <x:c r="A772" s="30" t="str">
        <x:v>https://www.kongsberg.com/what-we-do/defence-and-security/integrated-air-and-missile-defence/nasams-multi-missile-launcher/</x:v>
      </x:c>
      <x:c r="B772" s="30" t="str">
        <x:v>KONGSBERG</x:v>
      </x:c>
      <x:c r="C772" s="30" t="str">
        <x:v>B7</x:v>
      </x:c>
      <x:c r="D772" s="30" t="str">
        <x:v>KONGSBERG — Missiles: NASAMS Multi-Missile Launcher</x:v>
      </x:c>
    </x:row>
    <x:row r="773">
      <x:c r="A773" s="30" t="str">
        <x:v>https://www.kongsberg.com/what-we-do/defence-and-security/integrated-air-and-missile-defence/nomads/</x:v>
      </x:c>
      <x:c r="B773" s="30" t="str">
        <x:v>KONGSBERG</x:v>
      </x:c>
      <x:c r="C773" s="30" t="str">
        <x:v>B7</x:v>
      </x:c>
      <x:c r="D773" s="30" t="str">
        <x:v>KONGSBERG — Missiles: NOMADS</x:v>
      </x:c>
    </x:row>
    <x:row r="774">
      <x:c r="A774" s="30" t="str">
        <x:v>https://www.kongsberg.com/what-we-do/defence-and-security/missile-systems/</x:v>
      </x:c>
      <x:c r="B774" s="30" t="str">
        <x:v>KONGSBERG</x:v>
      </x:c>
      <x:c r="C774" s="30" t="str">
        <x:v>B7</x:v>
      </x:c>
      <x:c r="D774" s="30" t="str">
        <x:v>KONGSBERG — Protected Vehicles: CROWS
KONGSBERG — Marine/Naval: MSI-90U / Submarine Combat System
KONGSBERG — Marine/Naval: Naval Sonars
KONGSBERG — Marine/Naval: PHAROX Modular Multisensor System
KONGSBERG — Marine/Naval: VANGUARD Unmanned Surface Vehicle
KONGSBERG — Missiles: Joint Strike Missile (JSM)
KONGSBERG — Missiles: NSM Coastal Defence System
KONGSBERG — Missiles: NSM Naval Strike Missile
KONGSBERG — appendix: PROTECTOR CUAS
KONGSBERG — appendix: PROTECTOR MCT Medium Caliber Turret
KONGSBERG — appendix: PROTECTOR RS2
KONGSBERG — appendix: PROTECTOR RS4 Remote Weapon System</x:v>
      </x:c>
    </x:row>
    <x:row r="775">
      <x:c r="A775" s="30" t="str">
        <x:v>https://www.kongsberg.com/what-we-do/defence-and-security/missile-systems/joint-strike-missile-jsm/</x:v>
      </x:c>
      <x:c r="B775" s="30" t="str">
        <x:v>KONGSBERG</x:v>
      </x:c>
      <x:c r="C775" s="30" t="str">
        <x:v>B7</x:v>
      </x:c>
      <x:c r="D775" s="30" t="str">
        <x:v>KONGSBERG — Missiles: Joint Strike Missile (JSM)</x:v>
      </x:c>
    </x:row>
    <x:row r="776">
      <x:c r="A776" s="30" t="str">
        <x:v>https://www.kongsberg.com/what-we-do/defence-and-security/missile-systems/nsm-naval-strike-missile/</x:v>
      </x:c>
      <x:c r="B776" s="30" t="str">
        <x:v>KONGSBERG</x:v>
      </x:c>
      <x:c r="C776" s="30" t="str">
        <x:v>B7</x:v>
      </x:c>
      <x:c r="D776" s="30" t="str">
        <x:v>KONGSBERG — Missiles: NSM Naval Strike Missile</x:v>
      </x:c>
    </x:row>
    <x:row r="777">
      <x:c r="A777" s="30" t="str">
        <x:v>https://www.kongsberg.com/what-we-do/defence-and-security/remote-weapon-systems/</x:v>
      </x:c>
      <x:c r="B777" s="30" t="str">
        <x:v>KONGSBERG</x:v>
      </x:c>
      <x:c r="C777" s="30" t="str">
        <x:v>B7</x:v>
      </x:c>
      <x:c r="D777" s="30" t="str">
        <x:v>KONGSBERG — Protected Vehicles: CROWS
KONGSBERG — Marine/Naval: MSI-90U / Submarine Combat System
KONGSBERG — Marine/Naval: Naval Sonars
KONGSBERG — Marine/Naval: PHAROX Modular Multisensor System
KONGSBERG — Marine/Naval: VANGUARD Unmanned Surface Vehicle
KONGSBERG — Missiles: Joint Strike Missile (JSM)
KONGSBERG — Missiles: NSM Coastal Defence System
KONGSBERG — Missiles: NSM Naval Strike Missile
KONGSBERG — appendix: PROTECTOR CUAS
KONGSBERG — appendix: PROTECTOR MCT Medium Caliber Turret
KONGSBERG — appendix: PROTECTOR RS2
KONGSBERG — appendix: PROTECTOR RS4 Remote Weapon System</x:v>
      </x:c>
    </x:row>
    <x:row r="778">
      <x:c r="A778" s="30" t="str">
        <x:v>https://www.kongsberg.com/what-we-do/defence-and-security/remote-weapon-systems/protector-mct/</x:v>
      </x:c>
      <x:c r="B778" s="30" t="str">
        <x:v>KONGSBERG</x:v>
      </x:c>
      <x:c r="C778" s="30" t="str">
        <x:v>B7</x:v>
      </x:c>
      <x:c r="D778" s="30" t="str">
        <x:v>KONGSBERG — Protected Vehicles: CROWS
KONGSBERG — appendix: PROTECTOR CUAS
KONGSBERG — appendix: PROTECTOR MCT Medium Caliber Turret
KONGSBERG — appendix: PROTECTOR RS2
KONGSBERG — appendix: PROTECTOR RS4 Remote Weapon System
KONGSBERG — appendix: PROTECTOR RS6 Remote Weapon System
KONGSBERG — appendix: PROTECTOR RT60</x:v>
      </x:c>
    </x:row>
    <x:row r="779">
      <x:c r="A779" s="30" t="str">
        <x:v>https://www.kongsberg.com/what-we-do/defence-and-security/remote-weapon-systems/protector-rs4/</x:v>
      </x:c>
      <x:c r="B779" s="30" t="str">
        <x:v>KONGSBERG</x:v>
      </x:c>
      <x:c r="C779" s="30" t="str">
        <x:v>B7</x:v>
      </x:c>
      <x:c r="D779" s="30" t="str">
        <x:v>KONGSBERG — Protected Vehicles: CROWS
KONGSBERG — Marine/Naval: Sea PROTECTOR RS4
KONGSBERG — appendix: PROTECTOR CUAS
KONGSBERG — appendix: PROTECTOR MCT Medium Caliber Turret
KONGSBERG — appendix: PROTECTOR RS2
KONGSBERG — appendix: PROTECTOR RS4 Remote Weapon System
KONGSBERG — appendix: PROTECTOR RS6 Remote Weapon System
KONGSBERG — appendix: PROTECTOR RT60</x:v>
      </x:c>
    </x:row>
    <x:row r="780">
      <x:c r="A780" s="30" t="str">
        <x:v>https://www.l3harris.com/about-us</x:v>
      </x:c>
      <x:c r="B780" s="30" t="str">
        <x:v>L3Harris</x:v>
      </x:c>
      <x:c r="C780" s="30" t="str">
        <x:v>B7</x:v>
      </x:c>
      <x:c r="D780" s="30" t="str">
        <x:v>L3Harris — company details</x:v>
      </x:c>
    </x:row>
    <x:row r="781">
      <x:c r="A781" s="30" t="str">
        <x:v>https://www.l3harris.com/all-capabilities/airborne-isr-solutions</x:v>
      </x:c>
      <x:c r="B781" s="30" t="str">
        <x:v>L3Harris</x:v>
      </x:c>
      <x:c r="C781" s="30" t="str">
        <x:v>B7</x:v>
      </x:c>
      <x:c r="D781" s="30" t="str">
        <x:v>L3Harris — Marine/Naval: Maritime Mobile Surveillance Towed Arrays
L3Harris — Marine/Naval: Submarine Towed Arrays
L3Harris — Marine/Naval: TB-37 Multi-Function Towed Array
L3Harris — Missiles: VAMPIRE Counter-UAS / Precision Rocket System</x:v>
      </x:c>
    </x:row>
    <x:row r="782">
      <x:c r="A782" s="30" t="str">
        <x:v>https://www.l3harris.com/all-capabilities/electronic-warfare</x:v>
      </x:c>
      <x:c r="B782" s="30" t="str">
        <x:v>L3Harris</x:v>
      </x:c>
      <x:c r="C782" s="30" t="str">
        <x:v>B7</x:v>
      </x:c>
      <x:c r="D782" s="30" t="str">
        <x:v>L3Harris — Marine/Naval: Maritime Mobile Surveillance Towed Arrays
L3Harris — Marine/Naval: Submarine Towed Arrays
L3Harris — Marine/Naval: TB-37 Multi-Function Towed Array
L3Harris — Missiles: VAMPIRE Counter-UAS / Precision Rocket System</x:v>
      </x:c>
    </x:row>
    <x:row r="783">
      <x:c r="A783" s="30" t="str">
        <x:v>https://www.l3harris.com/all-capabilities/isr-and-sigint</x:v>
      </x:c>
      <x:c r="B783" s="30" t="str">
        <x:v>L3Harris</x:v>
      </x:c>
      <x:c r="C783" s="30" t="str">
        <x:v>B7</x:v>
      </x:c>
      <x:c r="D783" s="30" t="str">
        <x:v>L3Harris — Marine/Naval: Maritime Mobile Surveillance Towed Arrays
L3Harris — Marine/Naval: Submarine Towed Arrays
L3Harris — Marine/Naval: TB-37 Multi-Function Towed Array
L3Harris — Missiles: VAMPIRE Counter-UAS / Precision Rocket System</x:v>
      </x:c>
    </x:row>
    <x:row r="784">
      <x:c r="A784" s="30" t="str">
        <x:v>https://www.l3harris.com/all-capabilities/l3harris-pack-launched-effects</x:v>
      </x:c>
      <x:c r="B784" s="30" t="str">
        <x:v>L3Harris</x:v>
      </x:c>
      <x:c r="C784" s="30" t="str">
        <x:v>B7</x:v>
      </x:c>
      <x:c r="D784" s="30" t="str">
        <x:v>L3Harris — UAVs/Drones: Green Wolf Launched Effect
L3Harris — Missiles: Red Wolf Launched Effect</x:v>
      </x:c>
    </x:row>
    <x:row r="785">
      <x:c r="A785" s="30" t="str">
        <x:v>https://www.l3harris.com/newsroom/press-release/2026/01/us-navy-selects-l3harris-red-wolf-precision-attack-strike-munition</x:v>
      </x:c>
      <x:c r="B785" s="30" t="str">
        <x:v>L3Harris</x:v>
      </x:c>
      <x:c r="C785" s="30" t="str">
        <x:v>B7</x:v>
      </x:c>
      <x:c r="D785" s="30" t="str">
        <x:v>L3Harris — Missiles: Red Wolf Launched Effect</x:v>
      </x:c>
    </x:row>
    <x:row r="786">
      <x:c r="A786" s="30" t="str">
        <x:v>https://www.l3harris.com/newsroom/press-release/2026/07/l3harris-and-shield-ai-complete-autonomous-electronic-warfare-flight</x:v>
      </x:c>
      <x:c r="B786" s="30" t="str">
        <x:v>L3Harris</x:v>
      </x:c>
      <x:c r="C786" s="30" t="str">
        <x:v>B7</x:v>
      </x:c>
      <x:c r="D786" s="30" t="str">
        <x:v>L3Harris — UAVs/Drones: Green Wolf Launched Effect</x:v>
      </x:c>
    </x:row>
    <x:row r="787">
      <x:c r="A787" s="30" t="str">
        <x:v>https://www.l3harris.com/sites/default/files/2020-08/L3Harris_Collateral_FVR-90_SpecSheet_Web_0520.pdf</x:v>
      </x:c>
      <x:c r="B787" s="30" t="str">
        <x:v>L3Harris</x:v>
      </x:c>
      <x:c r="C787" s="30" t="str">
        <x:v>B7</x:v>
      </x:c>
      <x:c r="D787" s="30" t="str">
        <x:v>L3Harris — UAVs/Drones: FVR-90 Hybrid Quadrotor UAS</x:v>
      </x:c>
    </x:row>
    <x:row r="788">
      <x:c r="A788" s="30" t="str">
        <x:v>https://www.l3harris.com/sites/default/files/2020-09/AS-AS%26T-Product-Latitude-FVR-55-Specsheet-0320.pdf</x:v>
      </x:c>
      <x:c r="B788" s="30" t="str">
        <x:v>L3Harris</x:v>
      </x:c>
      <x:c r="C788" s="30" t="str">
        <x:v>B7</x:v>
      </x:c>
      <x:c r="D788" s="30" t="str">
        <x:v>L3Harris — UAVs/Drones: FVR-55 Hybrid Quadrotor UAS</x:v>
      </x:c>
    </x:row>
    <x:row r="789">
      <x:c r="A789" s="30" t="str">
        <x:v>https://www.l3harris.com/sites/default/files/2021-11/as-pes-latitude-resources-fvr-55.pdf</x:v>
      </x:c>
      <x:c r="B789" s="30" t="str">
        <x:v>L3Harris</x:v>
      </x:c>
      <x:c r="C789" s="30" t="str">
        <x:v>B7</x:v>
      </x:c>
      <x:c r="D789" s="30" t="str">
        <x:v>L3Harris — UAVs/Drones: FVR-55 Hybrid Quadrotor UAS</x:v>
      </x:c>
    </x:row>
    <x:row r="790">
      <x:c r="A790" s="30" t="str">
        <x:v>https://www.l3harris.com/sites/default/files/2025-07/launched-effects-red-wolf-sell-sheet-l3harris-sas-acs.pdf</x:v>
      </x:c>
      <x:c r="B790" s="30" t="str">
        <x:v>L3Harris</x:v>
      </x:c>
      <x:c r="C790" s="30" t="str">
        <x:v>B7</x:v>
      </x:c>
      <x:c r="D790" s="30" t="str">
        <x:v>L3Harris — company details</x:v>
      </x:c>
    </x:row>
    <x:row r="791">
      <x:c r="A791" s="30" t="str">
        <x:v>https://www.l3harris.com/sites/default/files/2025-10/l3harris-vampire-sell-sheet.pdf</x:v>
      </x:c>
      <x:c r="B791" s="30" t="str">
        <x:v>L3Harris</x:v>
      </x:c>
      <x:c r="C791" s="30" t="str">
        <x:v>B7</x:v>
      </x:c>
      <x:c r="D791" s="30" t="str">
        <x:v>L3Harris — Missiles: VAMPIRE Counter-UAS / Precision Rocket System</x:v>
      </x:c>
    </x:row>
    <x:row r="792">
      <x:c r="A792" s="30" t="str">
        <x:v>https://www.l3harris.com/sites/default/files/2026-04/L3Harris-2025-Annual-Report.pdf</x:v>
      </x:c>
      <x:c r="B792" s="30" t="str">
        <x:v>L3Harris</x:v>
      </x:c>
      <x:c r="C792" s="30" t="str">
        <x:v>B7</x:v>
      </x:c>
      <x:c r="D792" s="30" t="str">
        <x:v>L3Harris — company details</x:v>
      </x:c>
    </x:row>
    <x:row r="793">
      <x:c r="A793" s="30" t="str">
        <x:v>https://www.larsentoubro.com/corporate/media/media-kit/spokespersons</x:v>
      </x:c>
      <x:c r="B793" s="30" t="str">
        <x:v>Larsen &amp; Toubro (L&amp;T)</x:v>
      </x:c>
      <x:c r="C793" s="30" t="str">
        <x:v>B3</x:v>
      </x:c>
      <x:c r="D793" s="30" t="str">
        <x:v>Larsen &amp; Toubro (L&amp;T) — company details</x:v>
      </x:c>
    </x:row>
    <x:row r="794">
      <x:c r="A794" s="30" t="str">
        <x:v>https://www.larsentoubro.com/facilities</x:v>
      </x:c>
      <x:c r="B794" s="30" t="str">
        <x:v>Larsen &amp; Toubro (L&amp;T)</x:v>
      </x:c>
      <x:c r="C794" s="30" t="str">
        <x:v>B3</x:v>
      </x:c>
      <x:c r="D794" s="30" t="str">
        <x:v>Larsen &amp; Toubro (L&amp;T) — company details</x:v>
      </x:c>
    </x:row>
    <x:row r="795">
      <x:c r="A795" s="30" t="str">
        <x:v>https://www.larsentoubro.com/lt-pes/capabilities/manufacturing/india/strategic-systems-complex-talegaon/</x:v>
      </x:c>
      <x:c r="B795" s="30" t="str">
        <x:v>Larsen &amp; Toubro (L&amp;T)</x:v>
      </x:c>
      <x:c r="C795" s="30" t="str">
        <x:v>B3</x:v>
      </x:c>
      <x:c r="D795" s="30" t="str">
        <x:v>Larsen &amp; Toubro (L&amp;T) — company details</x:v>
      </x:c>
    </x:row>
    <x:row r="796">
      <x:c r="A796" s="30" t="str">
        <x:v>https://www.larsentoubro.com/pressreleases/2020/2020-09-04-lt-defence-awarded-starsignificant-contract-by-ministry-of-defence</x:v>
      </x:c>
      <x:c r="B796" s="30" t="str">
        <x:v>Larsen &amp; Toubro (L&amp;T)</x:v>
      </x:c>
      <x:c r="C796" s="30" t="str">
        <x:v>B3</x:v>
      </x:c>
      <x:c r="D796" s="30" t="str">
        <x:v>Larsen &amp; Toubro (L&amp;T) — Artillery: Pinaka Launcher / Launcher System</x:v>
      </x:c>
    </x:row>
    <x:row r="797">
      <x:c r="A797" s="30" t="str">
        <x:v>https://www.larsentoubro.com/pressreleases/2024-12-23-lt-precision-engineering-systems-wins-major-order-for-k9-vajra-t-artillery-platforms</x:v>
      </x:c>
      <x:c r="B797" s="30" t="str">
        <x:v>Larsen &amp; Toubro (L&amp;T)</x:v>
      </x:c>
      <x:c r="C797" s="30" t="str">
        <x:v>B3</x:v>
      </x:c>
      <x:c r="D797" s="30" t="str">
        <x:v>Larsen &amp; Toubro (L&amp;T) — Artillery: K9 Vajra-T</x:v>
      </x:c>
    </x:row>
    <x:row r="798">
      <x:c r="A798" s="30" t="str">
        <x:v>https://www.leonardo.com/documents/15646808/0/ComLDO_CdA_07_05_2026_ENG1%2B%281%29.pdf?t=1778178508710</x:v>
      </x:c>
      <x:c r="B798" s="30" t="str">
        <x:v>Leonardo</x:v>
      </x:c>
      <x:c r="C798" s="30" t="str">
        <x:v>B1</x:v>
      </x:c>
      <x:c r="D798" s="30" t="str">
        <x:v>Leonardo — company details</x:v>
      </x:c>
    </x:row>
    <x:row r="799">
      <x:c r="A799" s="30" t="str">
        <x:v>https://www.leonardo.com/documents/15646808/0/LDO_Iveco_CS_ENG_18_03_2026.pdf?t=1773854391790</x:v>
      </x:c>
      <x:c r="B799" s="30" t="str">
        <x:v>Leonardo, IDV (Iveco Defence)</x:v>
      </x:c>
      <x:c r="C799" s="30" t="str">
        <x:v>B1, B4</x:v>
      </x:c>
      <x:c r="D799" s="30" t="str">
        <x:v>Leonardo — Protected Vehicles: Ariete C2
Leonardo — Protected Vehicles: Centauro II
Leonardo — Protected Vehicles: LMV2
Leonardo — Protected Vehicles: MTV
Leonardo — Protected Vehicles: MUV
Leonardo — Protected Vehicles: SUPERAV Amphibious / VBA
Leonardo — Protected Vehicles: SUPERAV Land
Leonardo — Protected Vehicles: VBA
Leonardo — Protected Vehicles: VBM Freccia AIFV/ATGM
IDV (Iveco Defence) — company details</x:v>
      </x:c>
    </x:row>
    <x:row r="800">
      <x:c r="A800" s="30" t="str">
        <x:v>https://www.leonardo.com/documents/15646808/16737698/Leonardo_2018%2BSustainability%2BReport_Non-financial%2BStatement-final.pdf?t=1556644909652</x:v>
      </x:c>
      <x:c r="B800" s="30" t="str">
        <x:v>Leonardo</x:v>
      </x:c>
      <x:c r="C800" s="30" t="str">
        <x:v>B1</x:v>
      </x:c>
      <x:c r="D800" s="30" t="str">
        <x:v>Leonardo — company details</x:v>
      </x:c>
    </x:row>
    <x:row r="801">
      <x:c r="A801" s="30" t="str">
        <x:v>https://www.leonardo.com/documents/15646808/25231171/LDO_PRESS%2BNOTE%2BNavy%2BLeague%2BSAS_ENG.pdf?t=1680530536328</x:v>
      </x:c>
      <x:c r="B801" s="30" t="str">
        <x:v>Leonardo</x:v>
      </x:c>
      <x:c r="C801" s="30" t="str">
        <x:v>B1</x:v>
      </x:c>
      <x:c r="D801" s="30" t="str">
        <x:v>Leonardo — Marine/Naval: LIONFISH 12.7
Leonardo — Marine/Naval: LIONFISH 20
Leonardo — Marine/Naval: LIONFISH 20/30 Family
Leonardo — Marine/Naval: MARLIN 40</x:v>
      </x:c>
    </x:row>
    <x:row r="802">
      <x:c r="A802" s="30" t="str">
        <x:v>https://www.leonardo.com/documents/15646808/30043445/Integrated%2BReport%2B2025.pdf</x:v>
      </x:c>
      <x:c r="B802" s="30" t="str">
        <x:v>Leonardo</x:v>
      </x:c>
      <x:c r="C802" s="30" t="str">
        <x:v>B1</x:v>
      </x:c>
      <x:c r="D802" s="30" t="str">
        <x:v>Leonardo — company details</x:v>
      </x:c>
    </x:row>
    <x:row r="803">
      <x:c r="A803" s="30" t="str">
        <x:v>https://www.leonardo.com/documents/15646808/31894715/Ordinary%2BSummary%2Bof%2BResolutions_7May%2B2026%2Bv2.pdf?t=1779804437867</x:v>
      </x:c>
      <x:c r="B803" s="30" t="str">
        <x:v>Leonardo</x:v>
      </x:c>
      <x:c r="C803" s="30" t="str">
        <x:v>B1</x:v>
      </x:c>
      <x:c r="D803" s="30" t="str">
        <x:v>Leonardo — company details</x:v>
      </x:c>
    </x:row>
    <x:row r="804">
      <x:c r="A804" s="30" t="str">
        <x:v>https://www.leonardo.com/en/press-release-detail/-/detail/14-01-2025-leonardo-completed-the-sale-of-its-underwater-business-to-fincantieri</x:v>
      </x:c>
      <x:c r="B804" s="30" t="str">
        <x:v>Leonardo</x:v>
      </x:c>
      <x:c r="C804" s="30" t="str">
        <x:v>B1</x:v>
      </x:c>
      <x:c r="D804" s="30" t="str">
        <x:v>Leonardo — company details</x:v>
      </x:c>
    </x:row>
    <x:row r="805">
      <x:c r="A805" s="30" t="str">
        <x:v>https://www.leonardo.us/defense-systems</x:v>
      </x:c>
      <x:c r="B805" s="30" t="str">
        <x:v>Leonardo</x:v>
      </x:c>
      <x:c r="C805" s="30" t="str">
        <x:v>B1</x:v>
      </x:c>
      <x:c r="D805" s="30" t="str">
        <x:v>Leonardo — Artillery: HITFACT MkII 105/120
Leonardo — Artillery: HITFIRE 155/52
Leonardo — Artillery: VBM 155 SPH
Leonardo — Ammunition: 4AP Fuze
Leonardo — Ammunition: Conventional Naval Ammunition
Leonardo — Ammunition: DART 76
Leonardo — Ammunition: VULCANO 127
Leonardo — Ammunition: VULCANO 155
Leonardo — Ammunition: VULCANO 76
Leonardo — Marine/Naval: HITROLE
Leonardo — appendix: ASTER
Leonardo — appendix: Brimstone</x:v>
      </x:c>
    </x:row>
    <x:row r="806">
      <x:c r="A806" s="30" t="str">
        <x:v>https://www.leonardo.us/defense-systems-oto-76/62-sr</x:v>
      </x:c>
      <x:c r="B806" s="30" t="str">
        <x:v>Leonardo</x:v>
      </x:c>
      <x:c r="C806" s="30" t="str">
        <x:v>B1</x:v>
      </x:c>
      <x:c r="D806" s="30" t="str">
        <x:v>Leonardo — Marine/Naval: OTO 76/62 Compact / family
Leonardo — Marine/Naval: OTO 76/62 Super Rapid</x:v>
      </x:c>
    </x:row>
    <x:row r="807">
      <x:c r="A807" s="30" t="str">
        <x:v>https://www.lineofdeparture.army.mil/Journals/Aviation-Digest/Aviation-Digest-Archive/Winter-2026/Innovate-or-Die/</x:v>
      </x:c>
      <x:c r="B807" s="30" t="str">
        <x:v>Lockheed Martin</x:v>
      </x:c>
      <x:c r="C807" s="30" t="str">
        <x:v>B8</x:v>
      </x:c>
      <x:c r="D807" s="30" t="str">
        <x:v>Lockheed Martin — Missiles: AGM-114 HELLFIRE Family</x:v>
      </x:c>
    </x:row>
    <x:row r="808">
      <x:c r="A808" s="30" t="str">
        <x:v>https://www.linkedin.com/company/plr-systems-pvt-ltd/</x:v>
      </x:c>
      <x:c r="B808" s="30" t="str">
        <x:v>PLR Systems (IWI+Adani)</x:v>
      </x:c>
      <x:c r="C808" s="30" t="str">
        <x:v>B4</x:v>
      </x:c>
      <x:c r="D808" s="30" t="str">
        <x:v>PLR Systems (IWI+Adani) — Small Arms: GALIL Sniper S.A.
PLR Systems (IWI+Adani) — Small Arms: NEGEV NG-7 / Prahar LMG
PLR Systems (IWI+Adani) — Small Arms: TAVOR TAR-21 / TAVOR TAR Flattop
PLR Systems (IWI+Adani) — Small Arms: UZI PRO SMG
PLR Systems (IWI+Adani) — Small Arms: X95 Flattop 419</x:v>
      </x:c>
    </x:row>
    <x:row r="809">
      <x:c r="A809" s="30" t="str">
        <x:v>https://www.linkedin.com/company/plr-systems-pvt-ltd/?originalSubdomain=in</x:v>
      </x:c>
      <x:c r="B809" s="30" t="str">
        <x:v>PLR Systems (IWI+Adani)</x:v>
      </x:c>
      <x:c r="C809" s="30" t="str">
        <x:v>B4</x:v>
      </x:c>
      <x:c r="D809" s="30" t="str">
        <x:v>PLR Systems (IWI+Adani) — Small Arms: GALIL Sniper S.A.
PLR Systems (IWI+Adani) — Small Arms: NEGEV 5.56 LMG
PLR Systems (IWI+Adani) — Small Arms: TAVOR TAR-21 / TAVOR TAR Flattop
PLR Systems (IWI+Adani) — Small Arms: UZI PRO SMG
PLR Systems (IWI+Adani) — Small Arms: X95 Flattop 419
PLR Systems (IWI+Adani) — company details</x:v>
      </x:c>
    </x:row>
    <x:row r="810">
      <x:c r="A810" s="30" t="str">
        <x:v>https://www.linkedin.com/posts/adani-defence-and-aerospace_155mmammunition-activity-7356665494868799488-HNaA</x:v>
      </x:c>
      <x:c r="B810" s="30" t="str">
        <x:v>Adani Defence</x:v>
      </x:c>
      <x:c r="C810" s="30" t="str">
        <x:v>B10</x:v>
      </x:c>
      <x:c r="D810" s="30" t="str">
        <x:v>Adani Defence — Ammunition: 12.7×99 mm / .50 Cal Ammunition
Adani Defence — Ammunition: 155 mm Artillery Ammunition Family
Adani Defence — Ammunition: 30 mm Medium-Calibre Ammunition
Adani Defence — Ammunition: 5.56×45 mm Small-Arms Ammunition
Adani Defence — Ammunition: 7.62×39 mm Small-Arms Ammunition
Adani Defence — Ammunition: 7.62×51 mm Small-Arms Ammunition
Adani Defence — Ammunition: 9×19 mm Small-Arms Ammunition</x:v>
      </x:c>
    </x:row>
    <x:row r="811">
      <x:c r="A811" s="30" t="str">
        <x:v>https://www.linkedin.com/posts/tataadvanced_tataadvancedsystems-drdo-vrde-activity-7482396008606343169-6iMd</x:v>
      </x:c>
      <x:c r="B811" s="30" t="str">
        <x:v>Tata Advanced Systems</x:v>
      </x:c>
      <x:c r="C811" s="30" t="str">
        <x:v>B3</x:v>
      </x:c>
      <x:c r="D811" s="30" t="str">
        <x:v>Tata Advanced Systems — Protected Vehicles: Advanced Armoured Tracked Platform (AATP)</x:v>
      </x:c>
    </x:row>
    <x:row r="812">
      <x:c r="A812" s="30" t="str">
        <x:v>https://www.lntmbda.com/products-services/sea-ceptor</x:v>
      </x:c>
      <x:c r="B812" s="30" t="str">
        <x:v>MBDA</x:v>
      </x:c>
      <x:c r="C812" s="30" t="str">
        <x:v>B7</x:v>
      </x:c>
      <x:c r="D812" s="30" t="str">
        <x:v>MBDA — Marine/Naval: SEA CEPTOR</x:v>
      </x:c>
    </x:row>
    <x:row r="813">
      <x:c r="A813" s="30" t="str">
        <x:v>https://www.lntpes.com/capabilities/rd</x:v>
      </x:c>
      <x:c r="B813" s="30" t="str">
        <x:v>Larsen &amp; Toubro (L&amp;T)</x:v>
      </x:c>
      <x:c r="C813" s="30" t="str">
        <x:v>B3</x:v>
      </x:c>
      <x:c r="D813" s="30" t="str">
        <x:v>Larsen &amp; Toubro (L&amp;T) — company details</x:v>
      </x:c>
    </x:row>
    <x:row r="814">
      <x:c r="A814" s="30" t="str">
        <x:v>https://www.lntpes.com/our-offerings/aerospace-systems/unmanned-aerial-vehicles-uavs</x:v>
      </x:c>
      <x:c r="B814" s="30" t="str">
        <x:v>Larsen &amp; Toubro (L&amp;T)</x:v>
      </x:c>
      <x:c r="C814" s="30" t="str">
        <x:v>B3</x:v>
      </x:c>
      <x:c r="D814" s="30" t="str">
        <x:v>Larsen &amp; Toubro (L&amp;T) — UAVs/Drones: L&amp;T Tactical UAV</x:v>
      </x:c>
    </x:row>
    <x:row r="815">
      <x:c r="A815" s="30" t="str">
        <x:v>https://www.lntpes.com/our-offerings/aerospace-systems/unmanned-aerial-vehicles-uavs/lt-teer-aerial-target</x:v>
      </x:c>
      <x:c r="B815" s="30" t="str">
        <x:v>Larsen &amp; Toubro (L&amp;T)</x:v>
      </x:c>
      <x:c r="C815" s="30" t="str">
        <x:v>B3</x:v>
      </x:c>
      <x:c r="D815" s="30" t="str">
        <x:v>Larsen &amp; Toubro (L&amp;T) — UAVs/Drones: L&amp;T Abhyas Aerial Target
Larsen &amp; Toubro (L&amp;T) — UAVs/Drones: L&amp;T TEER Aerial Target</x:v>
      </x:c>
    </x:row>
    <x:row r="816">
      <x:c r="A816" s="30" t="str">
        <x:v>https://www.lntpes.com/our-offerings/land-platforms-equipment-and-systems/weapon-launch-systems</x:v>
      </x:c>
      <x:c r="B816" s="30" t="str">
        <x:v>Larsen &amp; Toubro (L&amp;T)</x:v>
      </x:c>
      <x:c r="C816" s="30" t="str">
        <x:v>B3</x:v>
      </x:c>
      <x:c r="D816" s="30" t="str">
        <x:v>Larsen &amp; Toubro (L&amp;T) — Artillery: Pinaka Launcher / Launcher System
Larsen &amp; Toubro (L&amp;T) — Missiles: Akash / Surface-to-Air Missile Launcher Systems</x:v>
      </x:c>
    </x:row>
    <x:row r="817">
      <x:c r="A817" s="30" t="str">
        <x:v>https://www.lntpes.com/our-offerings/marine-platforms-equipment-and-systems</x:v>
      </x:c>
      <x:c r="B817" s="30" t="str">
        <x:v>Larsen &amp; Toubro (L&amp;T)</x:v>
      </x:c>
      <x:c r="C817" s="30" t="str">
        <x:v>B3</x:v>
      </x:c>
      <x:c r="D817" s="30" t="str">
        <x:v>Larsen &amp; Toubro (L&amp;T) — Marine/Naval: Autonomous Underwater Vehicle / UUV Systems</x:v>
      </x:c>
    </x:row>
    <x:row r="818">
      <x:c r="A818" s="30" t="str">
        <x:v>https://www.lntshipbuilding.com/products-services/new-construction-defence-shipbuilding</x:v>
      </x:c>
      <x:c r="B818" s="30" t="str">
        <x:v>Larsen &amp; Toubro (L&amp;T)</x:v>
      </x:c>
      <x:c r="C818" s="30" t="str">
        <x:v>B3</x:v>
      </x:c>
      <x:c r="D818" s="30" t="str">
        <x:v>Larsen &amp; Toubro (L&amp;T) — Marine/Naval: Cadet Training Ship
Larsen &amp; Toubro (L&amp;T) — Marine/Naval: High-Speed Interceptor Boat
Larsen &amp; Toubro (L&amp;T) — Marine/Naval: Naval Floating Dock</x:v>
      </x:c>
    </x:row>
    <x:row r="819">
      <x:c r="A819" s="30" t="str">
        <x:v>https://www.lockheedmartin.com/en-us/capabilities/weapon-systems.html</x:v>
      </x:c>
      <x:c r="B819" s="30" t="str">
        <x:v>Lockheed Martin</x:v>
      </x:c>
      <x:c r="C819" s="30" t="str">
        <x:v>B8</x:v>
      </x:c>
      <x:c r="D819" s="30" t="str">
        <x:v>Lockheed Martin — Missiles: ATACMS
Lockheed Martin — Missiles: GMLRS Unitary / Alternative Warhead</x:v>
      </x:c>
    </x:row>
    <x:row r="820">
      <x:c r="A820" s="30" t="str">
        <x:v>https://www.lockheedmartin.com/en-us/news/annual-reports.html</x:v>
      </x:c>
      <x:c r="B820" s="30" t="str">
        <x:v>Lockheed Martin</x:v>
      </x:c>
      <x:c r="C820" s="30" t="str">
        <x:v>B8</x:v>
      </x:c>
      <x:c r="D820" s="30" t="str">
        <x:v>Lockheed Martin — company details</x:v>
      </x:c>
    </x:row>
    <x:row r="821">
      <x:c r="A821" s="30" t="str">
        <x:v>https://www.lockheedmartin.com/en-us/news/features/2024/ramping-up--lockheed-martin-steadily-increasing-production-o.html</x:v>
      </x:c>
      <x:c r="B821" s="30" t="str">
        <x:v>Lockheed Martin</x:v>
      </x:c>
      <x:c r="C821" s="30" t="str">
        <x:v>B8</x:v>
      </x:c>
      <x:c r="D821" s="30" t="str">
        <x:v>Lockheed Martin — Missiles: JASSM-ER / AGM-158B
Lockheed Martin — Missiles: LRASM / AGM-158C
Lockheed Martin — Missiles: PAC-3 Missile Segment Enhancement (PAC-3 MSE)</x:v>
      </x:c>
    </x:row>
    <x:row r="822">
      <x:c r="A822" s="30" t="str">
        <x:v>https://www.lockheedmartin.com/en-us/products/aegis-combat-system.html</x:v>
      </x:c>
      <x:c r="B822" s="30" t="str">
        <x:v>Lockheed Martin</x:v>
      </x:c>
      <x:c r="C822" s="30" t="str">
        <x:v>B8</x:v>
      </x:c>
      <x:c r="D822" s="30" t="str">
        <x:v>Lockheed Martin — Marine/Naval: Aegis Combat System</x:v>
      </x:c>
    </x:row>
    <x:row r="823">
      <x:c r="A823" s="30" t="str">
        <x:v>https://www.lockheedmartin.com/en-us/products/hellfire.html</x:v>
      </x:c>
      <x:c r="B823" s="30" t="str">
        <x:v>Lockheed Martin</x:v>
      </x:c>
      <x:c r="C823" s="30" t="str">
        <x:v>B8</x:v>
      </x:c>
      <x:c r="D823" s="30" t="str">
        <x:v>Lockheed Martin — Missiles: AGM-114 HELLFIRE Family</x:v>
      </x:c>
    </x:row>
    <x:row r="824">
      <x:c r="A824" s="30" t="str">
        <x:v>https://www.lockheedmartin.com/en-us/products/himars.html</x:v>
      </x:c>
      <x:c r="B824" s="30" t="str">
        <x:v>Lockheed Martin</x:v>
      </x:c>
      <x:c r="C824" s="30" t="str">
        <x:v>B8</x:v>
      </x:c>
      <x:c r="D824" s="30" t="str">
        <x:v>Lockheed Martin — Artillery: M142 HIMARS (High Mobility Artillery Rocket System)</x:v>
      </x:c>
    </x:row>
    <x:row r="825">
      <x:c r="A825" s="30" t="str">
        <x:v>https://www.lockheedmartin.com/en-us/products/indago-vtol.html</x:v>
      </x:c>
      <x:c r="B825" s="30" t="str">
        <x:v>Lockheed Martin</x:v>
      </x:c>
      <x:c r="C825" s="30" t="str">
        <x:v>B8</x:v>
      </x:c>
      <x:c r="D825" s="30" t="str">
        <x:v>Lockheed Martin — UAVs/Drones: Indago 4 UAS</x:v>
      </x:c>
    </x:row>
    <x:row r="826">
      <x:c r="A826" s="30" t="str">
        <x:v>https://www.lockheedmartin.com/en-us/products/jagm.html</x:v>
      </x:c>
      <x:c r="B826" s="30" t="str">
        <x:v>Lockheed Martin</x:v>
      </x:c>
      <x:c r="C826" s="30" t="str">
        <x:v>B8</x:v>
      </x:c>
      <x:c r="D826" s="30" t="str">
        <x:v>Lockheed Martin — Missiles: JAGM AGM-179</x:v>
      </x:c>
    </x:row>
    <x:row r="827">
      <x:c r="A827" s="30" t="str">
        <x:v>https://www.lockheedmartin.com/en-us/products/jassm.html</x:v>
      </x:c>
      <x:c r="B827" s="30" t="str">
        <x:v>Lockheed Martin</x:v>
      </x:c>
      <x:c r="C827" s="30" t="str">
        <x:v>B8</x:v>
      </x:c>
      <x:c r="D827" s="30" t="str">
        <x:v>Lockheed Martin — Missiles: JASSM / AGM-158A
Lockheed Martin — Missiles: JASSM-ER / AGM-158B</x:v>
      </x:c>
    </x:row>
    <x:row r="828">
      <x:c r="A828" s="30" t="str">
        <x:v>https://www.lockheedmartin.com/en-us/products/javelin.html</x:v>
      </x:c>
      <x:c r="B828" s="30" t="str">
        <x:v>Tata Advanced Systems, Lockheed Martin, RTX (Raytheon)</x:v>
      </x:c>
      <x:c r="C828" s="30" t="str">
        <x:v>B3, B8</x:v>
      </x:c>
      <x:c r="D828" s="30" t="str">
        <x:v>Lockheed Martin — Missiles: Javelin FGM-148
RTX (Raytheon) — Missiles: Javelin FGM-148 — Raytheon/Lockheed JV
Tata Advanced Systems — appendix: Javelin Anti-Tank Guided Missile — India Co-production Portfolio</x:v>
      </x:c>
    </x:row>
    <x:row r="829">
      <x:c r="A829" s="30" t="str">
        <x:v>https://www.lockheedmartin.com/en-us/products/long-range-anti-ship-missile.html</x:v>
      </x:c>
      <x:c r="B829" s="30" t="str">
        <x:v>Lockheed Martin</x:v>
      </x:c>
      <x:c r="C829" s="30" t="str">
        <x:v>B8</x:v>
      </x:c>
      <x:c r="D829" s="30" t="str">
        <x:v>Lockheed Martin — Missiles: LRASM / AGM-158C</x:v>
      </x:c>
    </x:row>
    <x:row r="830">
      <x:c r="A830" s="30" t="str">
        <x:v>https://www.lockheedmartin.com/en-us/products/pac-3.html</x:v>
      </x:c>
      <x:c r="B830" s="30" t="str">
        <x:v>Lockheed Martin</x:v>
      </x:c>
      <x:c r="C830" s="30" t="str">
        <x:v>B8</x:v>
      </x:c>
      <x:c r="D830" s="30" t="str">
        <x:v>Lockheed Martin — Missiles: PAC-3 Missile Segment Enhancement (PAC-3 MSE)</x:v>
      </x:c>
    </x:row>
    <x:row r="831">
      <x:c r="A831" s="30" t="str">
        <x:v>https://www.lockheedmartin.com/en-us/products/precision-strike-missile.html/</x:v>
      </x:c>
      <x:c r="B831" s="30" t="str">
        <x:v>Lockheed Martin</x:v>
      </x:c>
      <x:c r="C831" s="30" t="str">
        <x:v>B8</x:v>
      </x:c>
      <x:c r="D831" s="30" t="str">
        <x:v>Lockheed Martin — Missiles: Precision Strike Missile (PrSM)</x:v>
      </x:c>
    </x:row>
    <x:row r="832">
      <x:c r="A832" s="30" t="str">
        <x:v>https://www.lockheedmartin.com/en-us/products/precision-strike-missile/prsm-media-kit.html</x:v>
      </x:c>
      <x:c r="B832" s="30" t="str">
        <x:v>Lockheed Martin</x:v>
      </x:c>
      <x:c r="C832" s="30" t="str">
        <x:v>B8</x:v>
      </x:c>
      <x:c r="D832" s="30" t="str">
        <x:v>Lockheed Martin — Missiles: Precision Strike Missile (PrSM)</x:v>
      </x:c>
    </x:row>
    <x:row r="833">
      <x:c r="A833" s="30" t="str">
        <x:v>https://www.lockheedmartin.com/en-us/products/stalker.html</x:v>
      </x:c>
      <x:c r="B833" s="30" t="str">
        <x:v>Lockheed Martin</x:v>
      </x:c>
      <x:c r="C833" s="30" t="str">
        <x:v>B8</x:v>
      </x:c>
      <x:c r="D833" s="30" t="str">
        <x:v>Lockheed Martin — UAVs/Drones: Stalker VXE UAS</x:v>
      </x:c>
    </x:row>
    <x:row r="834">
      <x:c r="A834" s="30" t="str">
        <x:v>https://www.lockheedmartin.com/en-us/products/thaad.html</x:v>
      </x:c>
      <x:c r="B834" s="30" t="str">
        <x:v>Lockheed Martin</x:v>
      </x:c>
      <x:c r="C834" s="30" t="str">
        <x:v>B8</x:v>
      </x:c>
      <x:c r="D834" s="30" t="str">
        <x:v>Lockheed Martin — Missiles: THAAD Interceptor</x:v>
      </x:c>
    </x:row>
    <x:row r="835">
      <x:c r="A835" s="30" t="str">
        <x:v>https://www.lockheedmartin.com/en-us/who-we-are.html</x:v>
      </x:c>
      <x:c r="B835" s="30" t="str">
        <x:v>Lockheed Martin</x:v>
      </x:c>
      <x:c r="C835" s="30" t="str">
        <x:v>B8</x:v>
      </x:c>
      <x:c r="D835" s="30" t="str">
        <x:v>Lockheed Martin — company details</x:v>
      </x:c>
    </x:row>
    <x:row r="836">
      <x:c r="A836" s="30" t="str">
        <x:v>https://www.lockheedmartin.com/en-us/who-we-are/leadership-governance.html</x:v>
      </x:c>
      <x:c r="B836" s="30" t="str">
        <x:v>Lockheed Martin</x:v>
      </x:c>
      <x:c r="C836" s="30" t="str">
        <x:v>B8</x:v>
      </x:c>
      <x:c r="D836" s="30" t="str">
        <x:v>Lockheed Martin — company details</x:v>
      </x:c>
    </x:row>
    <x:row r="837">
      <x:c r="A837" s="30" t="str">
        <x:v>https://www.lockheedmartin.org/en-us/products/guided-mlrs-unitary-rocket.html</x:v>
      </x:c>
      <x:c r="B837" s="30" t="str">
        <x:v>Lockheed Martin</x:v>
      </x:c>
      <x:c r="C837" s="30" t="str">
        <x:v>B8</x:v>
      </x:c>
      <x:c r="D837" s="30" t="str">
        <x:v>Lockheed Martin — Missiles: ER GMLRS
Lockheed Martin — Missiles: GMLRS Unitary / Alternative Warhead</x:v>
      </x:c>
    </x:row>
    <x:row r="838">
      <x:c r="A838" s="30" t="str">
        <x:v>https://www.mahindra.com/annual-report-FY2026/107/</x:v>
      </x:c>
      <x:c r="B838" s="30" t="str">
        <x:v>Mahindra Defence</x:v>
      </x:c>
      <x:c r="C838" s="30" t="str">
        <x:v>B3</x:v>
      </x:c>
      <x:c r="D838" s="30" t="str">
        <x:v>Mahindra Defence — company details</x:v>
      </x:c>
    </x:row>
    <x:row r="839">
      <x:c r="A839" s="30" t="str">
        <x:v>https://www.mahindra.com/annual-report-FY2026/487/</x:v>
      </x:c>
      <x:c r="B839" s="30" t="str">
        <x:v>Mahindra Defence</x:v>
      </x:c>
      <x:c r="C839" s="30" t="str">
        <x:v>B3</x:v>
      </x:c>
      <x:c r="D839" s="30" t="str">
        <x:v>Mahindra Defence — company details</x:v>
      </x:c>
    </x:row>
    <x:row r="840">
      <x:c r="A840" s="30" t="str">
        <x:v>https://www.mahindra.com/news-room/press-release/en/mahindra-defence-system-in-advanced-talks-with-wass-for-underwater-defence-jv</x:v>
      </x:c>
      <x:c r="B840" s="30" t="str">
        <x:v>Mahindra Defence</x:v>
      </x:c>
      <x:c r="C840" s="30" t="str">
        <x:v>B3</x:v>
      </x:c>
      <x:c r="D840" s="30" t="str">
        <x:v>Mahindra Defence — Marine/Naval: Mahindra Underwater Systems — Torpedo Launchers / Sonar Dome / Naval Loaders</x:v>
      </x:c>
    </x:row>
    <x:row r="841">
      <x:c r="A841" s="30" t="str">
        <x:v>https://www.mahindra.com/news-room/press-release/en/mahindra-defence-systems-generates-excitement-at-the-close-of-defexpo-08</x:v>
      </x:c>
      <x:c r="B841" s="30" t="str">
        <x:v>Mahindra Defence</x:v>
      </x:c>
      <x:c r="C841" s="30" t="str">
        <x:v>B3</x:v>
      </x:c>
      <x:c r="D841" s="30" t="str">
        <x:v>Mahindra Defence — Protected Vehicles: Mahindra Striker
Mahindra Defence — Protected Vehicles: Marksman
Mahindra Defence — Protected Vehicles: Up-Armoured Scorpio</x:v>
      </x:c>
    </x:row>
    <x:row r="842">
      <x:c r="A842" s="30" t="str">
        <x:v>https://www.mahindra.com/news-room/press-release/en/mahindra-defence-to-manufacture-integrated-asw-defence-suite-for-indian-navy</x:v>
      </x:c>
      <x:c r="B842" s="30" t="str">
        <x:v>Mahindra Defence</x:v>
      </x:c>
      <x:c r="C842" s="30" t="str">
        <x:v>B3</x:v>
      </x:c>
      <x:c r="D842" s="30" t="str">
        <x:v>Mahindra Defence — Marine/Naval: Integrated Anti-Submarine Warfare Defence Suite (IADS)</x:v>
      </x:c>
    </x:row>
    <x:row r="843">
      <x:c r="A843" s="30" t="str">
        <x:v>https://www.mahindra.com/print/pdf/node/3766</x:v>
      </x:c>
      <x:c r="B843" s="30" t="str">
        <x:v>Mahindra Defence</x:v>
      </x:c>
      <x:c r="C843" s="30" t="str">
        <x:v>B3</x:v>
      </x:c>
      <x:c r="D843" s="30" t="str">
        <x:v>Mahindra Defence — Protected Vehicles: Mahindra Axe</x:v>
      </x:c>
    </x:row>
    <x:row r="844">
      <x:c r="A844" s="30" t="str">
        <x:v>https://www.mahindra.com/sites/default/files/2024-07/MM-Subsidiary-AR-2023-24.pdf</x:v>
      </x:c>
      <x:c r="B844" s="30" t="str">
        <x:v>Mahindra Defence</x:v>
      </x:c>
      <x:c r="C844" s="30" t="str">
        <x:v>B3</x:v>
      </x:c>
      <x:c r="D844" s="30" t="str">
        <x:v>Mahindra Defence — company details</x:v>
      </x:c>
    </x:row>
    <x:row r="845">
      <x:c r="A845" s="30" t="str">
        <x:v>https://www.mahindra.com/sites/default/files/newsroom/corporatedoc/mahindra-group-ppt-2022%20%281%29_0.pdf</x:v>
      </x:c>
      <x:c r="B845" s="30" t="str">
        <x:v>Mahindra Defence</x:v>
      </x:c>
      <x:c r="C845" s="30" t="str">
        <x:v>B3</x:v>
      </x:c>
      <x:c r="D845" s="30" t="str">
        <x:v>Mahindra Defence — Marine/Naval: Integrated Anti-Submarine Warfare Defence Suite (IADS)</x:v>
      </x:c>
    </x:row>
    <x:row r="846">
      <x:c r="A846" s="30" t="str">
        <x:v>https://www.mbda-systems.com/jean-brice-dumont-appointed-ceo-mbda</x:v>
      </x:c>
      <x:c r="B846" s="30" t="str">
        <x:v>MBDA</x:v>
      </x:c>
      <x:c r="C846" s="30" t="str">
        <x:v>B7</x:v>
      </x:c>
      <x:c r="D846" s="30" t="str">
        <x:v>MBDA — company details</x:v>
      </x:c>
    </x:row>
    <x:row r="847">
      <x:c r="A847" s="30" t="str">
        <x:v>https://www.mbda-systems.com/mbda-stepping-new-strategic-dimension</x:v>
      </x:c>
      <x:c r="B847" s="30" t="str">
        <x:v>MBDA</x:v>
      </x:c>
      <x:c r="C847" s="30" t="str">
        <x:v>B7</x:v>
      </x:c>
      <x:c r="D847" s="30" t="str">
        <x:v>MBDA — company details</x:v>
      </x:c>
    </x:row>
    <x:row r="848">
      <x:c r="A848" s="30" t="str">
        <x:v>https://www.mbda-systems.com/products</x:v>
      </x:c>
      <x:c r="B848" s="30" t="str">
        <x:v>MBDA</x:v>
      </x:c>
      <x:c r="C848" s="30" t="str">
        <x:v>B7</x:v>
      </x:c>
      <x:c r="D848" s="30" t="str">
        <x:v>MBDA — Marine/Naval: EXOCET Mobile Coastal Defence System
MBDA — Marine/Naval: SEA VIPER
MBDA — Missiles: AKERON MP
MBDA — Missiles: ASTER 15/30 Family
MBDA — Missiles: ASTER 30 B1NT
MBDA — Missiles: BRIMSTONE
MBDA — Missiles: CAMM
MBDA — Missiles: CAMM-ER
MBDA — Missiles: Deep Strike / Crossbow
MBDA — Missiles: ENFORCER
MBDA — Missiles: ENFORCER X
MBDA — Missiles: EXOCET AM39</x:v>
      </x:c>
    </x:row>
    <x:row r="849">
      <x:c r="A849" s="30" t="str">
        <x:v>https://www.mbda-systems.com/products/air-dominance/</x:v>
      </x:c>
      <x:c r="B849" s="30" t="str">
        <x:v>MBDA</x:v>
      </x:c>
      <x:c r="C849" s="30" t="str">
        <x:v>B7</x:v>
      </x:c>
      <x:c r="D849" s="30" t="str">
        <x:v>MBDA — Marine/Naval: EXOCET Mobile Coastal Defence System
MBDA — Marine/Naval: SEA VIPER
MBDA — Missiles: AKERON MP
MBDA — Missiles: ASTER 15/30 Family
MBDA — Missiles: ASTER 30 B1NT
MBDA — Missiles: BRIMSTONE
MBDA — Missiles: CAMM
MBDA — Missiles: CAMM-ER
MBDA — Missiles: ENFORCER
MBDA — Missiles: ENFORCER X
MBDA — Missiles: EXOCET AM39
MBDA — Missiles: EXOCET SM39</x:v>
      </x:c>
    </x:row>
    <x:row r="850">
      <x:c r="A850" s="30" t="str">
        <x:v>https://www.mbda-systems.com/products/air-dominance/meteor</x:v>
      </x:c>
      <x:c r="B850" s="30" t="str">
        <x:v>MBDA</x:v>
      </x:c>
      <x:c r="C850" s="30" t="str">
        <x:v>B7</x:v>
      </x:c>
      <x:c r="D850" s="30" t="str">
        <x:v>MBDA — Missiles: METEOR BVRAAM</x:v>
      </x:c>
    </x:row>
    <x:row r="851">
      <x:c r="A851" s="30" t="str">
        <x:v>https://www.mbda-systems.com/products/battlefield/akeron-family</x:v>
      </x:c>
      <x:c r="B851" s="30" t="str">
        <x:v>MBDA</x:v>
      </x:c>
      <x:c r="C851" s="30" t="str">
        <x:v>B7</x:v>
      </x:c>
      <x:c r="D851" s="30" t="str">
        <x:v>MBDA — UAVs/Drones: AKERON RCH170 Loitering Munition</x:v>
      </x:c>
    </x:row>
    <x:row r="852">
      <x:c r="A852" s="30" t="str">
        <x:v>https://www.mbda-systems.com/products/battlefield/akeron-family/akeron-lp</x:v>
      </x:c>
      <x:c r="B852" s="30" t="str">
        <x:v>MBDA</x:v>
      </x:c>
      <x:c r="C852" s="30" t="str">
        <x:v>B7</x:v>
      </x:c>
      <x:c r="D852" s="30" t="str">
        <x:v>MBDA — Missiles: AKERON LP</x:v>
      </x:c>
    </x:row>
    <x:row r="853">
      <x:c r="A853" s="30" t="str">
        <x:v>https://www.mbda-systems.com/products/battlefield/akeron-family/akeron-mp</x:v>
      </x:c>
      <x:c r="B853" s="30" t="str">
        <x:v>MBDA</x:v>
      </x:c>
      <x:c r="C853" s="30" t="str">
        <x:v>B7</x:v>
      </x:c>
      <x:c r="D853" s="30" t="str">
        <x:v>MBDA — Missiles: AKERON MP</x:v>
      </x:c>
    </x:row>
    <x:row r="854">
      <x:c r="A854" s="30" t="str">
        <x:v>https://www.mbda-systems.com/products/battlefield/surface-launched-brimstone</x:v>
      </x:c>
      <x:c r="B854" s="30" t="str">
        <x:v>Supacat</x:v>
      </x:c>
      <x:c r="C854" s="30" t="str">
        <x:v>B3</x:v>
      </x:c>
      <x:c r="D854" s="30" t="str">
        <x:v>Supacat — Missiles: Brimstone HMT Overwatch</x:v>
      </x:c>
    </x:row>
    <x:row r="855">
      <x:c r="A855" s="30" t="str">
        <x:v>https://www.mbda-systems.com/products/deep-strike/</x:v>
      </x:c>
      <x:c r="B855" s="30" t="str">
        <x:v>MBDA</x:v>
      </x:c>
      <x:c r="C855" s="30" t="str">
        <x:v>B7</x:v>
      </x:c>
      <x:c r="D855" s="30" t="str">
        <x:v>MBDA — Marine/Naval: EXOCET Mobile Coastal Defence System
MBDA — Marine/Naval: SEA VIPER
MBDA — Missiles: AKERON MP
MBDA — Missiles: ASTER 15/30 Family
MBDA — Missiles: ASTER 30 B1NT
MBDA — Missiles: BRIMSTONE
MBDA — Missiles: CAMM
MBDA — Missiles: CAMM-ER
MBDA — Missiles: ENFORCER
MBDA — Missiles: ENFORCER X
MBDA — Missiles: EXOCET AM39
MBDA — Missiles: EXOCET SM39</x:v>
      </x:c>
    </x:row>
    <x:row r="856">
      <x:c r="A856" s="30" t="str">
        <x:v>https://www.mbda-systems.com/products/deep-strike/crossbow</x:v>
      </x:c>
      <x:c r="B856" s="30" t="str">
        <x:v>MBDA</x:v>
      </x:c>
      <x:c r="C856" s="30" t="str">
        <x:v>B7</x:v>
      </x:c>
      <x:c r="D856" s="30" t="str">
        <x:v>MBDA — Missiles: Deep Strike / Crossbow</x:v>
      </x:c>
    </x:row>
    <x:row r="857">
      <x:c r="A857" s="30" t="str">
        <x:v>https://www.mbda-systems.com/products/deep-strike/exocet-family/exocet-mm40-block-3c</x:v>
      </x:c>
      <x:c r="B857" s="30" t="str">
        <x:v>MBDA</x:v>
      </x:c>
      <x:c r="C857" s="30" t="str">
        <x:v>B7</x:v>
      </x:c>
      <x:c r="D857" s="30" t="str">
        <x:v>MBDA — Missiles: EXOCET MM40 Block 3C</x:v>
      </x:c>
    </x:row>
    <x:row r="858">
      <x:c r="A858" s="30" t="str">
        <x:v>https://www.mbda-systems.com/products/deep-strike/marte-family/marte-er</x:v>
      </x:c>
      <x:c r="B858" s="30" t="str">
        <x:v>MBDA</x:v>
      </x:c>
      <x:c r="C858" s="30" t="str">
        <x:v>B7</x:v>
      </x:c>
      <x:c r="D858" s="30" t="str">
        <x:v>MBDA — Missiles: MARTE ER</x:v>
      </x:c>
    </x:row>
    <x:row r="859">
      <x:c r="A859" s="30" t="str">
        <x:v>https://www.mbda-systems.com/products/deep-strike/marte-family/marte-mk2n</x:v>
      </x:c>
      <x:c r="B859" s="30" t="str">
        <x:v>MBDA</x:v>
      </x:c>
      <x:c r="C859" s="30" t="str">
        <x:v>B7</x:v>
      </x:c>
      <x:c r="D859" s="30" t="str">
        <x:v>MBDA — Marine/Naval: MARTE MK2/N</x:v>
      </x:c>
    </x:row>
    <x:row r="860">
      <x:c r="A860" s="30" t="str">
        <x:v>https://www.mbda-systems.com/products/deep-strike/marte-family/marte-mk2s</x:v>
      </x:c>
      <x:c r="B860" s="30" t="str">
        <x:v>MBDA</x:v>
      </x:c>
      <x:c r="C860" s="30" t="str">
        <x:v>B7</x:v>
      </x:c>
      <x:c r="D860" s="30" t="str">
        <x:v>MBDA — Missiles: MARTE MK2/S</x:v>
      </x:c>
    </x:row>
    <x:row r="861">
      <x:c r="A861" s="30" t="str">
        <x:v>https://www.mbda-systems.com/products/deep-strike/marte-family/marte-mobile-coastal-defence-system</x:v>
      </x:c>
      <x:c r="B861" s="30" t="str">
        <x:v>MBDA</x:v>
      </x:c>
      <x:c r="C861" s="30" t="str">
        <x:v>B7</x:v>
      </x:c>
      <x:c r="D861" s="30" t="str">
        <x:v>MBDA — Missiles: MARTE Mobile Coastal Defence System</x:v>
      </x:c>
    </x:row>
    <x:row r="862">
      <x:c r="A862" s="30" t="str">
        <x:v>https://www.mbda-systems.com/products/force-protection/</x:v>
      </x:c>
      <x:c r="B862" s="30" t="str">
        <x:v>MBDA</x:v>
      </x:c>
      <x:c r="C862" s="30" t="str">
        <x:v>B7</x:v>
      </x:c>
      <x:c r="D862" s="30" t="str">
        <x:v>MBDA — Marine/Naval: EXOCET Mobile Coastal Defence System
MBDA — Marine/Naval: SEA VIPER
MBDA — Missiles: AKERON MP
MBDA — Missiles: ASTER 15/30 Family
MBDA — Missiles: ASTER 30 B1NT
MBDA — Missiles: BRIMSTONE
MBDA — Missiles: CAMM
MBDA — Missiles: CAMM-ER
MBDA — Missiles: ENFORCER
MBDA — Missiles: ENFORCER X
MBDA — Missiles: EXOCET AM39
MBDA — Missiles: EXOCET SM39</x:v>
      </x:c>
    </x:row>
    <x:row r="863">
      <x:c r="A863" s="30" t="str">
        <x:v>https://www.mbda-systems.com/products/force-protection/camm-family/camm</x:v>
      </x:c>
      <x:c r="B863" s="30" t="str">
        <x:v>MBDA</x:v>
      </x:c>
      <x:c r="C863" s="30" t="str">
        <x:v>B7</x:v>
      </x:c>
      <x:c r="D863" s="30" t="str">
        <x:v>MBDA — Missiles: CAMM</x:v>
      </x:c>
    </x:row>
    <x:row r="864">
      <x:c r="A864" s="30" t="str">
        <x:v>https://www.mbda-systems.com/products/force-protection/camm-family/camm-er</x:v>
      </x:c>
      <x:c r="B864" s="30" t="str">
        <x:v>MBDA</x:v>
      </x:c>
      <x:c r="C864" s="30" t="str">
        <x:v>B7</x:v>
      </x:c>
      <x:c r="D864" s="30" t="str">
        <x:v>MBDA — Missiles: CAMM-ER</x:v>
      </x:c>
    </x:row>
    <x:row r="865">
      <x:c r="A865" s="30" t="str">
        <x:v>https://www.mbda-systems.com/products/force-protection/camm-family/sea-ceptor</x:v>
      </x:c>
      <x:c r="B865" s="30" t="str">
        <x:v>MBDA</x:v>
      </x:c>
      <x:c r="C865" s="30" t="str">
        <x:v>B7</x:v>
      </x:c>
      <x:c r="D865" s="30" t="str">
        <x:v>MBDA — Marine/Naval: SEA CEPTOR</x:v>
      </x:c>
    </x:row>
    <x:row r="866">
      <x:c r="A866" s="30" t="str">
        <x:v>https://www.mbda-systems.com/products/force-protection/mistral-family/mistral-3</x:v>
      </x:c>
      <x:c r="B866" s="30" t="str">
        <x:v>MBDA</x:v>
      </x:c>
      <x:c r="C866" s="30" t="str">
        <x:v>B7</x:v>
      </x:c>
      <x:c r="D866" s="30" t="str">
        <x:v>MBDA — Missiles: MISTRAL 3</x:v>
      </x:c>
    </x:row>
    <x:row r="867">
      <x:c r="A867" s="30" t="str">
        <x:v>https://www.mbda-systems.com/products/tactical-strike/</x:v>
      </x:c>
      <x:c r="B867" s="30" t="str">
        <x:v>MBDA</x:v>
      </x:c>
      <x:c r="C867" s="30" t="str">
        <x:v>B7</x:v>
      </x:c>
      <x:c r="D867" s="30" t="str">
        <x:v>MBDA — Marine/Naval: EXOCET Mobile Coastal Defence System
MBDA — Marine/Naval: SEA VIPER
MBDA — Missiles: AKERON MP
MBDA — Missiles: ASTER 15/30 Family
MBDA — Missiles: ASTER 30 B1NT
MBDA — Missiles: BRIMSTONE
MBDA — Missiles: CAMM
MBDA — Missiles: CAMM-ER
MBDA — Missiles: ENFORCER
MBDA — Missiles: ENFORCER X
MBDA — Missiles: EXOCET AM39
MBDA — Missiles: EXOCET SM39</x:v>
      </x:c>
    </x:row>
    <x:row r="868">
      <x:c r="A868" s="30" t="str">
        <x:v>https://www.mbda-systems.com/products/tactical-strike/brimstone</x:v>
      </x:c>
      <x:c r="B868" s="30" t="str">
        <x:v>MBDA</x:v>
      </x:c>
      <x:c r="C868" s="30" t="str">
        <x:v>B7</x:v>
      </x:c>
      <x:c r="D868" s="30" t="str">
        <x:v>MBDA — Missiles: BRIMSTONE</x:v>
      </x:c>
    </x:row>
    <x:row r="869">
      <x:c r="A869" s="30" t="str">
        <x:v>https://www.mbda-systems.com/renzo-tosini-appointed-mbda-executive-vice-president-sales-business-development</x:v>
      </x:c>
      <x:c r="B869" s="30" t="str">
        <x:v>MBDA</x:v>
      </x:c>
      <x:c r="C869" s="30" t="str">
        <x:v>B7</x:v>
      </x:c>
      <x:c r="D869" s="30" t="str">
        <x:v>MBDA — company details</x:v>
      </x:c>
    </x:row>
    <x:row r="870">
      <x:c r="A870" s="30" t="str">
        <x:v>https://www.mbda-systems.com/sites/mbda/files/2024-07/2023%20Sea%20Ceptor%20datasheet.pdf</x:v>
      </x:c>
      <x:c r="B870" s="30" t="str">
        <x:v>MBDA</x:v>
      </x:c>
      <x:c r="C870" s="30" t="str">
        <x:v>B7</x:v>
      </x:c>
      <x:c r="D870" s="30" t="str">
        <x:v>MBDA — Missiles: CAMM
MBDA — Missiles: CAMM-ER</x:v>
      </x:c>
    </x:row>
    <x:row r="871">
      <x:c r="A871" s="30" t="str">
        <x:v>https://www.mbda-systems.com/sites/mbda/files/2024-11/2024-exocet-mm40-block-3c-datasheet.pdf</x:v>
      </x:c>
      <x:c r="B871" s="30" t="str">
        <x:v>MBDA</x:v>
      </x:c>
      <x:c r="C871" s="30" t="str">
        <x:v>B7</x:v>
      </x:c>
      <x:c r="D871" s="30" t="str">
        <x:v>MBDA — Missiles: EXOCET MM40 Block 3C</x:v>
      </x:c>
    </x:row>
    <x:row r="872">
      <x:c r="A872" s="30" t="str">
        <x:v>https://www.mda.mil/system/thaad.html</x:v>
      </x:c>
      <x:c r="B872" s="30" t="str">
        <x:v>Lockheed Martin</x:v>
      </x:c>
      <x:c r="C872" s="30" t="str">
        <x:v>B8</x:v>
      </x:c>
      <x:c r="D872" s="30" t="str">
        <x:v>Lockheed Martin — Missiles: PAC-3 Missile Segment Enhancement (PAC-3 MSE)
Lockheed Martin — Missiles: THAAD Interceptor</x:v>
      </x:c>
    </x:row>
    <x:row r="873">
      <x:c r="A873" s="30" t="str">
        <x:v>https://www.mobilityengineeringtech.com/component/content/article/28905-extended-range-loitering-system</x:v>
      </x:c>
      <x:c r="B873" s="30" t="str">
        <x:v>UVision Air</x:v>
      </x:c>
      <x:c r="C873" s="30" t="str">
        <x:v>B10</x:v>
      </x:c>
      <x:c r="D873" s="30" t="str">
        <x:v>UVision Air — UAVs/Drones: HERO 400 / HERO 400EC</x:v>
      </x:c>
    </x:row>
    <x:row r="874">
      <x:c r="A874" s="30" t="str">
        <x:v>https://www.moneycontrol.com/company-facts/premierexplosives/management/pe02</x:v>
      </x:c>
      <x:c r="B874" s="30" t="str">
        <x:v>Premier Explosives</x:v>
      </x:c>
      <x:c r="C874" s="30" t="str">
        <x:v>B10</x:v>
      </x:c>
      <x:c r="D874" s="30" t="str">
        <x:v>Premier Explosives — company details</x:v>
      </x:c>
    </x:row>
    <x:row r="875">
      <x:c r="A875" s="30" t="str">
        <x:v>https://www.nammo.com/about-us/</x:v>
      </x:c>
      <x:c r="B875" s="30" t="str">
        <x:v>Nammo</x:v>
      </x:c>
      <x:c r="C875" s="30" t="str">
        <x:v>B6</x:v>
      </x:c>
      <x:c r="D875" s="30" t="str">
        <x:v>Nammo — company details</x:v>
      </x:c>
    </x:row>
    <x:row r="876">
      <x:c r="A876" s="30" t="str">
        <x:v>https://www.nammo.com/about-us/board-of-directors/</x:v>
      </x:c>
      <x:c r="B876" s="30" t="str">
        <x:v>Nammo</x:v>
      </x:c>
      <x:c r="C876" s="30" t="str">
        <x:v>B6</x:v>
      </x:c>
      <x:c r="D876" s="30" t="str">
        <x:v>Nammo — company details</x:v>
      </x:c>
    </x:row>
    <x:row r="877">
      <x:c r="A877" s="30" t="str">
        <x:v>https://www.nammo.com/about-us/finance/</x:v>
      </x:c>
      <x:c r="B877" s="30" t="str">
        <x:v>Nammo</x:v>
      </x:c>
      <x:c r="C877" s="30" t="str">
        <x:v>B6</x:v>
      </x:c>
      <x:c r="D877" s="30" t="str">
        <x:v>Nammo — company details</x:v>
      </x:c>
    </x:row>
    <x:row r="878">
      <x:c r="A878" s="30" t="str">
        <x:v>https://www.nammo.com/about-us/management/</x:v>
      </x:c>
      <x:c r="B878" s="30" t="str">
        <x:v>Nammo</x:v>
      </x:c>
      <x:c r="C878" s="30" t="str">
        <x:v>B6</x:v>
      </x:c>
      <x:c r="D878" s="30" t="str">
        <x:v>Nammo — company details</x:v>
      </x:c>
    </x:row>
    <x:row r="879">
      <x:c r="A879" s="30" t="str">
        <x:v>https://www.nammo.com/products/</x:v>
      </x:c>
      <x:c r="B879" s="30" t="str">
        <x:v>Nammo</x:v>
      </x:c>
      <x:c r="C879" s="30" t="str">
        <x:v>B6</x:v>
      </x:c>
      <x:c r="D879" s="30" t="str">
        <x:v>Nammo — Ammunition: 12.7 mm x 99 AP-S (.50 Cal)
Nammo — Ammunition: 12.7 mm x 99 API (.50 Cal)
Nammo — Ammunition: 12.7 mm x 99 API-S (.50 Cal)
Nammo — Ammunition: 12.7 mm x 99 API-T (.50 Cal)
Nammo — Ammunition: 12.7 mm x 99 Ball (.50 Cal)
Nammo — Ammunition: 12.7 mm x 99 MP (.50 Cal)
Nammo — Ammunition: 12.7 mm x 99 MP-T (.50 Cal)
Nammo — Ammunition: 12.7 mm x 99 Plastic Blank Ammunition (.50 Cal)
Nammo — Ammunition: 12.7 mm x 99 Polymer Cased Ammunition (.50 Cal)
Nammo — Ammunition: 12.7 mm x 99 PSRTA-T (.50 Cal)
Nammo — Ammunition: 12.7 mm x 99 RR (.50 Cal)
Nammo — Ammunition: 12.7 mm x 99 RR-T (.50 Cal)</x:v>
      </x:c>
    </x:row>
    <x:row r="880">
      <x:c r="A880" s="30" t="str">
        <x:v>https://www.nammo.com/products/ammunition/</x:v>
      </x:c>
      <x:c r="B880" s="30" t="str">
        <x:v>Nammo</x:v>
      </x:c>
      <x:c r="C880" s="30" t="str">
        <x:v>B6</x:v>
      </x:c>
      <x:c r="D880" s="30" t="str">
        <x:v>Nammo — Ammunition: 12.7 mm x 99 AP-S (.50 Cal)
Nammo — Ammunition: 12.7 mm x 99 API (.50 Cal)
Nammo — Ammunition: 12.7 mm x 99 API-S (.50 Cal)
Nammo — Ammunition: 12.7 mm x 99 API-T (.50 Cal)
Nammo — Ammunition: 12.7 mm x 99 Ball (.50 Cal)
Nammo — Ammunition: 12.7 mm x 99 MP (.50 Cal)
Nammo — Ammunition: 12.7 mm x 99 MP-T (.50 Cal)
Nammo — Ammunition: 12.7 mm x 99 Plastic Blank Ammunition (.50 Cal)
Nammo — Ammunition: 12.7 mm x 99 Polymer Cased Ammunition (.50 Cal)
Nammo — Ammunition: 12.7 mm x 99 PSRTA-T (.50 Cal)
Nammo — Ammunition: 12.7 mm x 99 RR (.50 Cal)
Nammo — Ammunition: 12.7 mm x 99 RR-T (.50 Cal)</x:v>
      </x:c>
    </x:row>
    <x:row r="881">
      <x:c r="A881" s="30" t="str">
        <x:v>https://www.nammo.com/products/ammunition/large-caliber-ammunition/155-mm-series/</x:v>
      </x:c>
      <x:c r="B881" s="30" t="str">
        <x:v>Nammo</x:v>
      </x:c>
      <x:c r="C881" s="30" t="str">
        <x:v>B6</x:v>
      </x:c>
      <x:c r="D881" s="30" t="str">
        <x:v>Nammo — Ammunition: 155 mm HE
Nammo — Ammunition: 155 mm IM HE-ER
Nammo — Ammunition: 155 mm Ramjet Projectile</x:v>
      </x:c>
    </x:row>
    <x:row r="882">
      <x:c r="A882" s="30" t="str">
        <x:v>https://www.nammo.com/products/ammunition/medium-caliber-ammunition/25-mm-series/</x:v>
      </x:c>
      <x:c r="B882" s="30" t="str">
        <x:v>Nammo</x:v>
      </x:c>
      <x:c r="C882" s="30" t="str">
        <x:v>B6</x:v>
      </x:c>
      <x:c r="D882" s="30" t="str">
        <x:v>Nammo — Ammunition: 25 mm x 137 APEX
Nammo — Ammunition: 25 mm x 137 HEI and HEI-T</x:v>
      </x:c>
    </x:row>
    <x:row r="883">
      <x:c r="A883" s="30" t="str">
        <x:v>https://www.nammo.com/products/ammunition/medium-caliber-ammunition/30-mm-series/</x:v>
      </x:c>
      <x:c r="B883" s="30" t="str">
        <x:v>Nammo</x:v>
      </x:c>
      <x:c r="C883" s="30" t="str">
        <x:v>B6</x:v>
      </x:c>
      <x:c r="D883" s="30" t="str">
        <x:v>Nammo — Ammunition: 30 mm x 173 APFSDS-T
Nammo — Ammunition: 30 mm x 173 HEI and HEI-T
Nammo — Ammunition: 30 mm × 173 APFSDS-T Swimmer</x:v>
      </x:c>
    </x:row>
    <x:row r="884">
      <x:c r="A884" s="30" t="str">
        <x:v>https://www.nammo.com/products/ammunition/medium-caliber-ammunition/35-mm-series/</x:v>
      </x:c>
      <x:c r="B884" s="30" t="str">
        <x:v>Nammo</x:v>
      </x:c>
      <x:c r="C884" s="30" t="str">
        <x:v>B6</x:v>
      </x:c>
      <x:c r="D884" s="30" t="str">
        <x:v>Nammo — Ammunition: 35 mm x 228 HEI/SD and HEI-T/SD
Nammo — Ammunition: 35 mm x 228 SAPHEI/SD</x:v>
      </x:c>
    </x:row>
    <x:row r="885">
      <x:c r="A885" s="30" t="str">
        <x:v>https://www.nammo.com/products/ammunition/medium-caliber-ammunition/40-mm-products/</x:v>
      </x:c>
      <x:c r="B885" s="30" t="str">
        <x:v>Nammo</x:v>
      </x:c>
      <x:c r="C885" s="30" t="str">
        <x:v>B6</x:v>
      </x:c>
      <x:c r="D885" s="30" t="str">
        <x:v>Nammo — Ammunition: 40 mm L/70 HE-T
Nammo — Ammunition: 40 mm x 53 HEDP and HEDP-SD
Nammo — Ammunition: 40 mm x 53 HEDP-AB</x:v>
      </x:c>
    </x:row>
    <x:row r="886">
      <x:c r="A886" s="30" t="str">
        <x:v>https://www.nammo.com/products/ammunition/medium-caliber-ammunition/57-mm-series/</x:v>
      </x:c>
      <x:c r="B886" s="30" t="str">
        <x:v>Nammo</x:v>
      </x:c>
      <x:c r="C886" s="30" t="str">
        <x:v>B6</x:v>
      </x:c>
      <x:c r="D886" s="30" t="str">
        <x:v>Nammo — Ammunition: 57 mm L/70 HE
Nammo — Ammunition: 57 mm L/70 TP</x:v>
      </x:c>
    </x:row>
    <x:row r="887">
      <x:c r="A887" s="30" t="str">
        <x:v>https://www.nammo.com/products/shoulder-fired-systems/</x:v>
      </x:c>
      <x:c r="B887" s="30" t="str">
        <x:v>Nammo</x:v>
      </x:c>
      <x:c r="C887" s="30" t="str">
        <x:v>B6</x:v>
      </x:c>
      <x:c r="D887" s="30" t="str">
        <x:v>Nammo — Ammunition: 120 mm Mortar HE
Nammo — Ammunition: 120 mm Mortar Illuminating
Nammo — Ammunition: 120 mm Mortar IR-SMK
Nammo — Ammunition: 81 mm Mortar HE
Nammo — Ammunition: 81 mm Mortar Illuminating
Nammo — Ammunition: 81 mm Mortar IR-SMK
Nammo — Ammunition: M141 Bunker Defeat Munition (BDM)
Nammo — Ammunition: M72 Anti-Structure A12
Nammo — Ammunition: M72 Anti-Structure Munition Reduced Caliber ASM RC
Nammo — Ammunition: M72 Enhanced Capacity EC
Nammo — Ammunition: M72 FFE Anti-Armor A8 / Anti-Structure A10
Nammo — Ammunition: M72 Training System</x:v>
      </x:c>
    </x:row>
    <x:row r="888">
      <x:c r="A888" s="30" t="str">
        <x:v>https://www.nammo.com/products/shoulder-fired-systems/m72-series/</x:v>
      </x:c>
      <x:c r="B888" s="30" t="str">
        <x:v>Nammo</x:v>
      </x:c>
      <x:c r="C888" s="30" t="str">
        <x:v>B6</x:v>
      </x:c>
      <x:c r="D888" s="30" t="str">
        <x:v>Nammo — Ammunition: M72 Enhanced Capacity EC</x:v>
      </x:c>
    </x:row>
    <x:row r="889">
      <x:c r="A889" s="30" t="str">
        <x:v>https://www.nammo.com/products/shoulder-fired-systems/m72-series/m72-enhanced-capacity/</x:v>
      </x:c>
      <x:c r="B889" s="30" t="str">
        <x:v>Nammo</x:v>
      </x:c>
      <x:c r="C889" s="30" t="str">
        <x:v>B6</x:v>
      </x:c>
      <x:c r="D889" s="30" t="str">
        <x:v>Nammo — Ammunition: M72 Enhanced Capacity EC</x:v>
      </x:c>
    </x:row>
    <x:row r="890">
      <x:c r="A890" s="30" t="str">
        <x:v>https://www.nammo.com/wp-content/uploads/2020/08/nammo-handbook-2023.pdf</x:v>
      </x:c>
      <x:c r="B890" s="30" t="str">
        <x:v>Nammo</x:v>
      </x:c>
      <x:c r="C890" s="30" t="str">
        <x:v>B6</x:v>
      </x:c>
      <x:c r="D890" s="30" t="str">
        <x:v>Nammo — Ammunition: 12.7 mm x 99 AP-S (.50 Cal)
Nammo — Ammunition: 12.7 mm x 99 API (.50 Cal)
Nammo — Ammunition: 12.7 mm x 99 API-S (.50 Cal)
Nammo — Ammunition: 12.7 mm x 99 API-T (.50 Cal)
Nammo — Ammunition: 12.7 mm x 99 Ball (.50 Cal)
Nammo — Ammunition: 12.7 mm x 99 MP (.50 Cal)
Nammo — Ammunition: 12.7 mm x 99 MP-T (.50 Cal)
Nammo — Ammunition: 12.7 mm x 99 Plastic Blank Ammunition (.50 Cal)
Nammo — Ammunition: 12.7 mm x 99 Polymer Cased Ammunition (.50 Cal)
Nammo — Ammunition: 12.7 mm x 99 PSRTA-T (.50 Cal)
Nammo — Ammunition: 12.7 mm x 99 RR (.50 Cal)
Nammo — Ammunition: 12.7 mm x 99 RR-T (.50 Cal)</x:v>
      </x:c>
    </x:row>
    <x:row r="891">
      <x:c r="A891" s="30" t="str">
        <x:v>https://www.navair.navy.mil/product/AARGM</x:v>
      </x:c>
      <x:c r="B891" s="30" t="str">
        <x:v>Northrop Grumman</x:v>
      </x:c>
      <x:c r="C891" s="30" t="str">
        <x:v>B7</x:v>
      </x:c>
      <x:c r="D891" s="30" t="str">
        <x:v>Northrop Grumman — Missiles: AARGM AGM-88E
Northrop Grumman — Missiles: AARGM-ER</x:v>
      </x:c>
    </x:row>
    <x:row r="892">
      <x:c r="A892" s="30" t="str">
        <x:v>https://www.navair.navy.mil/product/MQ-4C</x:v>
      </x:c>
      <x:c r="B892" s="30" t="str">
        <x:v>Northrop Grumman</x:v>
      </x:c>
      <x:c r="C892" s="30" t="str">
        <x:v>B7</x:v>
      </x:c>
      <x:c r="D892" s="30" t="str">
        <x:v>Northrop Grumman — UAVs/Drones: MQ-4C Triton</x:v>
      </x:c>
    </x:row>
    <x:row r="893">
      <x:c r="A893" s="30" t="str">
        <x:v>https://www.naval-group.com/en/drones</x:v>
      </x:c>
      <x:c r="B893" s="30" t="str">
        <x:v>Naval Group</x:v>
      </x:c>
      <x:c r="C893" s="30" t="str">
        <x:v>B8</x:v>
      </x:c>
      <x:c r="D893" s="30" t="str">
        <x:v>Naval Group — Marine/Naval: Seagent M AUV
Naval Group — Marine/Naval: Seagent XL Autonomous Underwater Combat System
Naval Group — Marine/Naval: Seaquest M / L USV
Naval Group — Marine/Naval: Seaquest S USV</x:v>
      </x:c>
    </x:row>
    <x:row r="894">
      <x:c r="A894" s="30" t="str">
        <x:v>https://www.naval-group.com/en/euronaval-2024-underwater-weapons-f21r-second-none-heavyweight-torpedo-category</x:v>
      </x:c>
      <x:c r="B894" s="30" t="str">
        <x:v>Naval Group</x:v>
      </x:c>
      <x:c r="C894" s="30" t="str">
        <x:v>B8</x:v>
      </x:c>
      <x:c r="D894" s="30" t="str">
        <x:v>Naval Group — Marine/Naval: F21 Heavyweight Torpedo</x:v>
      </x:c>
    </x:row>
    <x:row r="895">
      <x:c r="A895" s="30" t="str">
        <x:v>https://www.naval-group.com/en/first-defence-and-intervention-frigate-fdi-amiral-ronarch-begins-sea-trials</x:v>
      </x:c>
      <x:c r="B895" s="30" t="str">
        <x:v>Naval Group</x:v>
      </x:c>
      <x:c r="C895" s="30" t="str">
        <x:v>B8</x:v>
      </x:c>
      <x:c r="D895" s="30" t="str">
        <x:v>Naval Group — Marine/Naval: FDI / Defence &amp; Intervention Frigate</x:v>
      </x:c>
    </x:row>
    <x:row r="896">
      <x:c r="A896" s="30" t="str">
        <x:v>https://www.naval-group.com/en/first-sea-trial-fremm-da-lorraine-tenth-and-last-multi-mission-frigate-series</x:v>
      </x:c>
      <x:c r="B896" s="30" t="str">
        <x:v>Naval Group</x:v>
      </x:c>
      <x:c r="C896" s="30" t="str">
        <x:v>B8</x:v>
      </x:c>
      <x:c r="D896" s="30" t="str">
        <x:v>Naval Group — Marine/Naval: FREMM DA Frigate</x:v>
      </x:c>
    </x:row>
    <x:row r="897">
      <x:c r="A897" s="30" t="str">
        <x:v>https://www.naval-group.com/en/governance</x:v>
      </x:c>
      <x:c r="B897" s="30" t="str">
        <x:v>Naval Group</x:v>
      </x:c>
      <x:c r="C897" s="30" t="str">
        <x:v>B8</x:v>
      </x:c>
      <x:c r="D897" s="30" t="str">
        <x:v>Naval Group — company details</x:v>
      </x:c>
    </x:row>
    <x:row r="898">
      <x:c r="A898" s="30" t="str">
        <x:v>https://www.naval-group.com/en/key-milestones-brazilian-submarine-program-celebrated-itaguai</x:v>
      </x:c>
      <x:c r="B898" s="30" t="str">
        <x:v>Naval Group</x:v>
      </x:c>
      <x:c r="C898" s="30" t="str">
        <x:v>B8</x:v>
      </x:c>
      <x:c r="D898" s="30" t="str">
        <x:v>Naval Group — Marine/Naval: Scorpène Conventional Attack Submarine</x:v>
      </x:c>
    </x:row>
    <x:row r="899">
      <x:c r="A899" s="30" t="str">
        <x:v>https://www.naval-group.com/en/legal-notices</x:v>
      </x:c>
      <x:c r="B899" s="30" t="str">
        <x:v>Naval Group</x:v>
      </x:c>
      <x:c r="C899" s="30" t="str">
        <x:v>B8</x:v>
      </x:c>
      <x:c r="D899" s="30" t="str">
        <x:v>Naval Group — company details</x:v>
      </x:c>
    </x:row>
    <x:row r="900">
      <x:c r="A900" s="30" t="str">
        <x:v>https://www.naval-group.com/en/naval-group-delivers-first-defence-and-intervention-frigate</x:v>
      </x:c>
      <x:c r="B900" s="30" t="str">
        <x:v>Naval Group</x:v>
      </x:c>
      <x:c r="C900" s="30" t="str">
        <x:v>B8</x:v>
      </x:c>
      <x:c r="D900" s="30" t="str">
        <x:v>Naval Group — Marine/Naval: FDI / Defence &amp; Intervention Frigate</x:v>
      </x:c>
    </x:row>
    <x:row r="901">
      <x:c r="A901" s="30" t="str">
        <x:v>https://www.naval-group.com/en/naval-group-delivers-fremm-da-frigate-alsace-first-multimissions-frigate-enhanced-air-defence</x:v>
      </x:c>
      <x:c r="B901" s="30" t="str">
        <x:v>Naval Group</x:v>
      </x:c>
      <x:c r="C901" s="30" t="str">
        <x:v>B8</x:v>
      </x:c>
      <x:c r="D901" s="30" t="str">
        <x:v>Naval Group — Marine/Naval: FREMM DA Frigate</x:v>
      </x:c>
    </x:row>
    <x:row r="902">
      <x:c r="A902" s="30" t="str">
        <x:v>https://www.naval-group.com/en/naval-group-delivers-suffren-french-defence-procurement-agency-dga</x:v>
      </x:c>
      <x:c r="B902" s="30" t="str">
        <x:v>Naval Group</x:v>
      </x:c>
      <x:c r="C902" s="30" t="str">
        <x:v>B8</x:v>
      </x:c>
      <x:c r="D902" s="30" t="str">
        <x:v>Naval Group — Marine/Naval: Barracuda / Suffren-class SSN</x:v>
      </x:c>
    </x:row>
    <x:row r="903">
      <x:c r="A903" s="30" t="str">
        <x:v>https://www.naval-group.com/en/naval-group-launches-first-gowindr-corvette-united-arab-emirates-navy</x:v>
      </x:c>
      <x:c r="B903" s="30" t="str">
        <x:v>Naval Group</x:v>
      </x:c>
      <x:c r="C903" s="30" t="str">
        <x:v>B8</x:v>
      </x:c>
      <x:c r="D903" s="30" t="str">
        <x:v>Naval Group — Marine/Naval: Gowind Corvette</x:v>
      </x:c>
    </x:row>
    <x:row r="904">
      <x:c r="A904" s="30" t="str">
        <x:v>https://www.naval-group.com/en/naval-group-showcases-its-latest-innovations-products-and-services-euronaval-2024</x:v>
      </x:c>
      <x:c r="B904" s="30" t="str">
        <x:v>Naval Group</x:v>
      </x:c>
      <x:c r="C904" s="30" t="str">
        <x:v>B8</x:v>
      </x:c>
      <x:c r="D904" s="30" t="str">
        <x:v>Naval Group — Marine/Naval: Scorpène Conventional Attack Submarine</x:v>
      </x:c>
    </x:row>
    <x:row r="905">
      <x:c r="A905" s="30" t="str">
        <x:v>https://www.naval-group.com/en/nid-2025-drones-and-small-arms-enhanced-surveillance-effective-response</x:v>
      </x:c>
      <x:c r="B905" s="30" t="str">
        <x:v>Naval Group</x:v>
      </x:c>
      <x:c r="C905" s="30" t="str">
        <x:v>B8</x:v>
      </x:c>
      <x:c r="D905" s="30" t="str">
        <x:v>Naval Group — Marine/Naval: Seaquest S USV
Naval Group — UAVs/Drones: Cormorant Multi-Environment Drone</x:v>
      </x:c>
    </x:row>
    <x:row r="906">
      <x:c r="A906" s="30" t="str">
        <x:v>https://www.naval-group.com/en/ssn-suffren-starts-its-sea-trials</x:v>
      </x:c>
      <x:c r="B906" s="30" t="str">
        <x:v>Naval Group</x:v>
      </x:c>
      <x:c r="C906" s="30" t="str">
        <x:v>B8</x:v>
      </x:c>
      <x:c r="D906" s="30" t="str">
        <x:v>Naval Group — Marine/Naval: Barracuda / Suffren-class SSN</x:v>
      </x:c>
    </x:row>
    <x:row r="907">
      <x:c r="A907" s="30" t="str">
        <x:v>https://www.naval-group.com/en/talents/offer/P2026-000135-1</x:v>
      </x:c>
      <x:c r="B907" s="30" t="str">
        <x:v>Naval Group</x:v>
      </x:c>
      <x:c r="C907" s="30" t="str">
        <x:v>B8</x:v>
      </x:c>
      <x:c r="D907" s="30" t="str">
        <x:v>Naval Group — company details</x:v>
      </x:c>
    </x:row>
    <x:row r="908">
      <x:c r="A908" s="30" t="str">
        <x:v>https://www.naval-group.com/en/underwater-weapons</x:v>
      </x:c>
      <x:c r="B908" s="30" t="str">
        <x:v>Naval Group</x:v>
      </x:c>
      <x:c r="C908" s="30" t="str">
        <x:v>B8</x:v>
      </x:c>
      <x:c r="D908" s="30" t="str">
        <x:v>Naval Group — Marine/Naval: CANTO-S Anti-Torpedo Countermeasure
Naval Group — Marine/Naval: CANTO-V Anti-Torpedo Countermeasure
Naval Group — Marine/Naval: F21 Heavyweight Torpedo
Naval Group — Marine/Naval: MU90 Lightweight Torpedo</x:v>
      </x:c>
    </x:row>
    <x:row r="909">
      <x:c r="A909" s="30" t="str">
        <x:v>https://www.naval-group.com/en/worldwide-presence</x:v>
      </x:c>
      <x:c r="B909" s="30" t="str">
        <x:v>Naval Group</x:v>
      </x:c>
      <x:c r="C909" s="30" t="str">
        <x:v>B8</x:v>
      </x:c>
      <x:c r="D909" s="30" t="str">
        <x:v>Naval Group — company details</x:v>
      </x:c>
    </x:row>
    <x:row r="910">
      <x:c r="A910" s="30" t="str">
        <x:v>https://www.naval-group.com/sites/default/files/2025-04/Annual%20report%20Naval%20Group%202024%20EN_0.pdf</x:v>
      </x:c>
      <x:c r="B910" s="30" t="str">
        <x:v>Naval Group</x:v>
      </x:c>
      <x:c r="C910" s="30" t="str">
        <x:v>B8</x:v>
      </x:c>
      <x:c r="D910" s="30" t="str">
        <x:v>Naval Group — Marine/Naval: MU90 Lightweight Torpedo</x:v>
      </x:c>
    </x:row>
    <x:row r="911">
      <x:c r="A911" s="30" t="str">
        <x:v>https://www.navalnews.com/naval-news/2020/06/video-south-korea-celebrates-the-30th-anniversary-of-its-submarine-force/</x:v>
      </x:c>
      <x:c r="B911" s="30" t="str">
        <x:v>Hanwha (Aerospace/Group)</x:v>
      </x:c>
      <x:c r="C911" s="30" t="str">
        <x:v>B2</x:v>
      </x:c>
      <x:c r="D911" s="30" t="str">
        <x:v>Hanwha (Aerospace/Group) — Marine/Naval: KSS-I 1,200 t-Class Submarine (Hanwha Ocean)</x:v>
      </x:c>
    </x:row>
    <x:row r="912">
      <x:c r="A912" s="30" t="str">
        <x:v>https://www.navalnews.com/naval-news/2022/02/rok-navy-finds-major-defects-on-three-of-its-type-214-submarines/</x:v>
      </x:c>
      <x:c r="B912" s="30" t="str">
        <x:v>Hanwha (Aerospace/Group)</x:v>
      </x:c>
      <x:c r="C912" s="30" t="str">
        <x:v>B2</x:v>
      </x:c>
      <x:c r="D912" s="30" t="str">
        <x:v>Hanwha (Aerospace/Group) — Marine/Naval: KSS-II 1,800 t-Class Submarine (Hanwha Ocean)</x:v>
      </x:c>
    </x:row>
    <x:row r="913">
      <x:c r="A913" s="30" t="str">
        <x:v>https://www.navalnews.com/naval-news/2023/04/south-koreas-2nd-kss-iii-submarine-commissioned-with-rok-navy/</x:v>
      </x:c>
      <x:c r="B913" s="30" t="str">
        <x:v>Hanwha (Aerospace/Group)</x:v>
      </x:c>
      <x:c r="C913" s="30" t="str">
        <x:v>B2</x:v>
      </x:c>
      <x:c r="D913" s="30" t="str">
        <x:v>Hanwha (Aerospace/Group) — Marine/Naval: KSS-III 3,000 t-Class Submarine (Hanwha Ocean)</x:v>
      </x:c>
    </x:row>
    <x:row r="914">
      <x:c r="A914" s="30" t="str">
        <x:v>https://www.navalnews.com/naval-news/2023/12/hanwha-ocean-to-build-third-and-final-kss-iii-batch-ii-submarine/</x:v>
      </x:c>
      <x:c r="B914" s="30" t="str">
        <x:v>Hanwha (Aerospace/Group)</x:v>
      </x:c>
      <x:c r="C914" s="30" t="str">
        <x:v>B2</x:v>
      </x:c>
      <x:c r="D914" s="30" t="str">
        <x:v>Hanwha (Aerospace/Group) — Marine/Naval: KSS-III 3,000 t-Class Submarine (Hanwha Ocean)</x:v>
      </x:c>
    </x:row>
    <x:row r="915">
      <x:c r="A915" s="30" t="str">
        <x:v>https://www.navy.mil/Resources/Fact-Files/Display-FactFiles/Article/2160569/mq-4c-triton/</x:v>
      </x:c>
      <x:c r="B915" s="30" t="str">
        <x:v>Northrop Grumman</x:v>
      </x:c>
      <x:c r="C915" s="30" t="str">
        <x:v>B7</x:v>
      </x:c>
      <x:c r="D915" s="30" t="str">
        <x:v>Northrop Grumman — UAVs/Drones: MQ-4C Triton</x:v>
      </x:c>
    </x:row>
    <x:row r="916">
      <x:c r="A916" s="30" t="str">
        <x:v>https://www.navy.mil/Resources/Fact-Files/Display-FactFiles/Article/2169558/attack-submarines-ssn/</x:v>
      </x:c>
      <x:c r="B916" s="30" t="str">
        <x:v>Huntington Ingalls Industries</x:v>
      </x:c>
      <x:c r="C916" s="30" t="str">
        <x:v>B9</x:v>
      </x:c>
      <x:c r="D916" s="30" t="str">
        <x:v>Huntington Ingalls Industries — Marine/Naval: Virginia-class Attack Submarine</x:v>
      </x:c>
    </x:row>
    <x:row r="917">
      <x:c r="A917" s="30" t="str">
        <x:v>https://www.navy.mil/Resources/Fact-Files/Display-FactFiles/Article/2169580/fleet-ballistic-missile-submarines-ssbn/</x:v>
      </x:c>
      <x:c r="B917" s="30" t="str">
        <x:v>General Dynamics</x:v>
      </x:c>
      <x:c r="C917" s="30" t="str">
        <x:v>B2</x:v>
      </x:c>
      <x:c r="D917" s="30" t="str">
        <x:v>General Dynamics — Marine/Naval: Columbia-class Ballistic-Missile Submarine</x:v>
      </x:c>
    </x:row>
    <x:row r="918">
      <x:c r="A918" s="30" t="str">
        <x:v>https://www.navy.mil/Resources/Fact-Files/Display-FactFiles/Article/2169628/ballistic-missile-submarines-ssbn/</x:v>
      </x:c>
      <x:c r="B918" s="30" t="str">
        <x:v>Huntington Ingalls Industries</x:v>
      </x:c>
      <x:c r="C918" s="30" t="str">
        <x:v>B9</x:v>
      </x:c>
      <x:c r="D918" s="30" t="str">
        <x:v>Huntington Ingalls Industries — Marine/Naval: Columbia-class Ballistic Missile Submarine</x:v>
      </x:c>
    </x:row>
    <x:row r="919">
      <x:c r="A919" s="30" t="str">
        <x:v>https://www.navy.mil/Resources/Fact-Files/Display-FactFiles/Article/2169795/aircraft-carriers-cvn/</x:v>
      </x:c>
      <x:c r="B919" s="30" t="str">
        <x:v>Huntington Ingalls Industries</x:v>
      </x:c>
      <x:c r="C919" s="30" t="str">
        <x:v>B9</x:v>
      </x:c>
      <x:c r="D919" s="30" t="str">
        <x:v>Huntington Ingalls Industries — Marine/Naval: Gerald R. Ford-class Aircraft Carrier</x:v>
      </x:c>
    </x:row>
    <x:row r="920">
      <x:c r="A920" s="30" t="str">
        <x:v>https://www.navy.mil/Resources/Fact-Files/Display-FactFiles/Article/2169835/amphibious-transport-dock-lpd/</x:v>
      </x:c>
      <x:c r="B920" s="30" t="str">
        <x:v>Huntington Ingalls Industries</x:v>
      </x:c>
      <x:c r="C920" s="30" t="str">
        <x:v>B9</x:v>
      </x:c>
      <x:c r="D920" s="30" t="str">
        <x:v>Huntington Ingalls Industries — Marine/Naval: San Antonio-class LPD Flight II</x:v>
      </x:c>
    </x:row>
    <x:row r="921">
      <x:c r="A921" s="30" t="str">
        <x:v>https://www.navy.mil/Resources/Fact-Files/Display-FactFiles/Article/2169839/amphibious-assault-ships-lhdlha/</x:v>
      </x:c>
      <x:c r="B921" s="30" t="str">
        <x:v>Huntington Ingalls Industries</x:v>
      </x:c>
      <x:c r="C921" s="30" t="str">
        <x:v>B9</x:v>
      </x:c>
      <x:c r="D921" s="30" t="str">
        <x:v>Huntington Ingalls Industries — Marine/Naval: America-class LHA</x:v>
      </x:c>
    </x:row>
    <x:row r="922">
      <x:c r="A922" s="30" t="str">
        <x:v>https://www.navy.mil/Resources/Fact-Files/Display-FactFiles/Article/2169871/destroyers-ddg-51/</x:v>
      </x:c>
      <x:c r="B922" s="30" t="str">
        <x:v>Huntington Ingalls Industries</x:v>
      </x:c>
      <x:c r="C922" s="30" t="str">
        <x:v>B9</x:v>
      </x:c>
      <x:c r="D922" s="30" t="str">
        <x:v>Huntington Ingalls Industries — Marine/Naval: Arleigh Burke-class Flight III Destroyer</x:v>
      </x:c>
    </x:row>
    <x:row r="923">
      <x:c r="A923" s="30" t="str">
        <x:v>https://www.navy.mil/Resources/Fact-Files/Display-FactFiles/Article/2222909/fleet-replenishment-oilers-t-ao/</x:v>
      </x:c>
      <x:c r="B923" s="30" t="str">
        <x:v>General Dynamics</x:v>
      </x:c>
      <x:c r="C923" s="30" t="str">
        <x:v>B2</x:v>
      </x:c>
      <x:c r="D923" s="30" t="str">
        <x:v>General Dynamics — Marine/Naval: John Lewis-class Fleet Replenishment Oiler (T-AO)</x:v>
      </x:c>
    </x:row>
    <x:row r="924">
      <x:c r="A924" s="30" t="str">
        <x:v>https://www.navy.mil/Resources/Fact-Files/Fact-Sheets/Display-FactSheets/Article/2169994/expeditionary-sea-base-esb/</x:v>
      </x:c>
      <x:c r="B924" s="30" t="str">
        <x:v>General Dynamics</x:v>
      </x:c>
      <x:c r="C924" s="30" t="str">
        <x:v>B2</x:v>
      </x:c>
      <x:c r="D924" s="30" t="str">
        <x:v>General Dynamics — Marine/Naval: Expeditionary Sea Base (ESB)</x:v>
      </x:c>
    </x:row>
    <x:row r="925">
      <x:c r="A925" s="30" t="str">
        <x:v>https://www.ndtv.com/india-news/india-showcases-indigenous-sniper-rifle-drone-defences-at-international-police-expo-2026-8680607</x:v>
      </x:c>
      <x:c r="B925" s="30" t="str">
        <x:v>SSS Defence</x:v>
      </x:c>
      <x:c r="C925" s="30" t="str">
        <x:v>B6</x:v>
      </x:c>
      <x:c r="D925" s="30" t="str">
        <x:v>SSS Defence — Small Arms: TYTO / .300 Blackout Sniper</x:v>
      </x:c>
    </x:row>
    <x:row r="926">
      <x:c r="A926" s="30" t="str">
        <x:v>https://www.ndtvprofit.com/business/adani-defence-delivers-2000-indigneously-made-light-machine-guns-to-indian-army-11279227</x:v>
      </x:c>
      <x:c r="B926" s="30" t="str">
        <x:v>Adani Defence</x:v>
      </x:c>
      <x:c r="C926" s="30" t="str">
        <x:v>B10</x:v>
      </x:c>
      <x:c r="D926" s="30" t="str">
        <x:v>Adani Defence — appendix: PRAHAR / NEGEV NG-7 LMG</x:v>
      </x:c>
    </x:row>
    <x:row r="927">
      <x:c r="A927" s="30" t="str">
        <x:v>https://www.northropgrumman.com/-/media/wp-content/uploads/XM813-30-40mm-Bushmaster-Chain-Gun.pdf</x:v>
      </x:c>
      <x:c r="B927" s="30" t="str">
        <x:v>Northrop Grumman</x:v>
      </x:c>
      <x:c r="C927" s="30" t="str">
        <x:v>B7</x:v>
      </x:c>
      <x:c r="D927" s="30" t="str">
        <x:v>Northrop Grumman — appendix: XM813 30/40 mm Bushmaster Chain Gun</x:v>
      </x:c>
    </x:row>
    <x:row r="928">
      <x:c r="A928" s="30" t="str">
        <x:v>https://www.northropgrumman.com/what-we-do/advanced-weapons/armament-systems/bushmaster-chain-guns/30x113mm</x:v>
      </x:c>
      <x:c r="B928" s="30" t="str">
        <x:v>Northrop Grumman</x:v>
      </x:c>
      <x:c r="C928" s="30" t="str">
        <x:v>B7</x:v>
      </x:c>
      <x:c r="D928" s="30" t="str">
        <x:v>Northrop Grumman — appendix: M230LF 30×113 mm Bushmaster Chain Gun
Northrop Grumman — appendix: XM914 30×113 mm Chain Gun</x:v>
      </x:c>
    </x:row>
    <x:row r="929">
      <x:c r="A929" s="30" t="str">
        <x:v>https://www.northropgrumman.com/what-we-do/advanced-weapons/armament-systems/bushmaster-chain-guns/30x173mm</x:v>
      </x:c>
      <x:c r="B929" s="30" t="str">
        <x:v>Northrop Grumman</x:v>
      </x:c>
      <x:c r="C929" s="30" t="str">
        <x:v>B7</x:v>
      </x:c>
      <x:c r="D929" s="30" t="str">
        <x:v>Northrop Grumman — appendix: Mk44 / Mk44S Bushmaster II Chain Gun
Northrop Grumman — appendix: XM813 30/40 mm Bushmaster Chain Gun</x:v>
      </x:c>
    </x:row>
    <x:row r="930">
      <x:c r="A930" s="30" t="str">
        <x:v>https://www.northropgrumman.com/what-we-do/advanced-weapons/armament-systems/bushmaster-chain-guns/evolution-of-the-m230</x:v>
      </x:c>
      <x:c r="B930" s="30" t="str">
        <x:v>Northrop Grumman</x:v>
      </x:c>
      <x:c r="C930" s="30" t="str">
        <x:v>B7</x:v>
      </x:c>
      <x:c r="D930" s="30" t="str">
        <x:v>Northrop Grumman — appendix: M230LF 30×113 mm Bushmaster Chain Gun</x:v>
      </x:c>
    </x:row>
    <x:row r="931">
      <x:c r="A931" s="30" t="str">
        <x:v>https://www.northropgrumman.com/what-we-do/advanced-weapons/ensuring-mission-readiness-for-the-us-army</x:v>
      </x:c>
      <x:c r="B931" s="30" t="str">
        <x:v>Northrop Grumman</x:v>
      </x:c>
      <x:c r="C931" s="30" t="str">
        <x:v>B7</x:v>
      </x:c>
      <x:c r="D931" s="30" t="str">
        <x:v>Northrop Grumman — appendix: XM913 50 mm Bushmaster Chain Gun
Northrop Grumman — appendix: XM914 30×113 mm Chain Gun</x:v>
      </x:c>
    </x:row>
    <x:row r="932">
      <x:c r="A932" s="30" t="str">
        <x:v>https://www.northropgrumman.com/what-we-do/advanced-weapons/new-factory-to-launch-new-era-in-missile-production</x:v>
      </x:c>
      <x:c r="B932" s="30" t="str">
        <x:v>Northrop Grumman</x:v>
      </x:c>
      <x:c r="C932" s="30" t="str">
        <x:v>B7</x:v>
      </x:c>
      <x:c r="D932" s="30" t="str">
        <x:v>Northrop Grumman — company details</x:v>
      </x:c>
    </x:row>
    <x:row r="933">
      <x:c r="A933" s="30" t="str">
        <x:v>https://www.northropgrumman.com/what-we-do/advanced-weapons/strike-missiles</x:v>
      </x:c>
      <x:c r="B933" s="30" t="str">
        <x:v>Northrop Grumman</x:v>
      </x:c>
      <x:c r="C933" s="30" t="str">
        <x:v>B7</x:v>
      </x:c>
      <x:c r="D933" s="30" t="str">
        <x:v>Northrop Grumman — Missiles: AARGM-ER
Northrop Grumman — Missiles: Advanced Reactive Strike (AReS)
Northrop Grumman — Missiles: Stand-In Attack Weapon (SiAW)</x:v>
      </x:c>
    </x:row>
    <x:row r="934">
      <x:c r="A934" s="30" t="str">
        <x:v>https://www.northropgrumman.com/what-we-do/air/</x:v>
      </x:c>
      <x:c r="B934" s="30" t="str">
        <x:v>Northrop Grumman</x:v>
      </x:c>
      <x:c r="C934" s="30" t="str">
        <x:v>B7</x:v>
      </x:c>
      <x:c r="D934" s="30" t="str">
        <x:v>Northrop Grumman — Ammunition: 120 mm Tactical Ammunition
Northrop Grumman — Ammunition: 20 mm Tactical Ammunition
Northrop Grumman — Ammunition: 30 mm Tactical Ammunition
Northrop Grumman — Ammunition: Advanced Fuzes
Northrop Grumman — UAVs/Drones: Bat UAS
Northrop Grumman — UAVs/Drones: Fire Scout MQ-8C
Northrop Grumman — UAVs/Drones: MQ-4C Triton
Northrop Grumman — UAVs/Drones: RQ-4 Global Hawk
Northrop Grumman — Missiles: AARGM AGM-88E
Northrop Grumman — Missiles: AARGM-ER
Northrop Grumman — Missiles: GMLRS Propulsion &amp; Warhead Subsystems
Northrop Grumman — Missiles: HACM</x:v>
      </x:c>
    </x:row>
    <x:row r="935">
      <x:c r="A935" s="30" t="str">
        <x:v>https://www.northropgrumman.com/what-we-do/aircraft/triton</x:v>
      </x:c>
      <x:c r="B935" s="30" t="str">
        <x:v>Northrop Grumman</x:v>
      </x:c>
      <x:c r="C935" s="30" t="str">
        <x:v>B7</x:v>
      </x:c>
      <x:c r="D935" s="30" t="str">
        <x:v>Northrop Grumman — UAVs/Drones: MQ-4C Triton</x:v>
      </x:c>
    </x:row>
    <x:row r="936">
      <x:c r="A936" s="30" t="str">
        <x:v>https://www.northropgrumman.com/what-we-do/defense/</x:v>
      </x:c>
      <x:c r="B936" s="30" t="str">
        <x:v>Northrop Grumman</x:v>
      </x:c>
      <x:c r="C936" s="30" t="str">
        <x:v>B7</x:v>
      </x:c>
      <x:c r="D936" s="30" t="str">
        <x:v>Northrop Grumman — Ammunition: 120 mm Tactical Ammunition
Northrop Grumman — Ammunition: 20 mm Tactical Ammunition
Northrop Grumman — Ammunition: 30 mm Tactical Ammunition
Northrop Grumman — Ammunition: Advanced Fuzes
Northrop Grumman — UAVs/Drones: Bat UAS
Northrop Grumman — UAVs/Drones: Fire Scout MQ-8C
Northrop Grumman — UAVs/Drones: MQ-4C Triton
Northrop Grumman — UAVs/Drones: RQ-4 Global Hawk
Northrop Grumman — Missiles: AARGM AGM-88E
Northrop Grumman — Missiles: AARGM-ER
Northrop Grumman — Missiles: GMLRS Propulsion &amp; Warhead Subsystems
Northrop Grumman — Missiles: HACM</x:v>
      </x:c>
    </x:row>
    <x:row r="937">
      <x:c r="A937" s="30" t="str">
        <x:v>https://www.northropgrumman.com/what-we-do/space/</x:v>
      </x:c>
      <x:c r="B937" s="30" t="str">
        <x:v>Northrop Grumman</x:v>
      </x:c>
      <x:c r="C937" s="30" t="str">
        <x:v>B7</x:v>
      </x:c>
      <x:c r="D937" s="30" t="str">
        <x:v>Northrop Grumman — Ammunition: 120 mm Tactical Ammunition
Northrop Grumman — Ammunition: 20 mm Tactical Ammunition
Northrop Grumman — Ammunition: 30 mm Tactical Ammunition
Northrop Grumman — Ammunition: Advanced Fuzes
Northrop Grumman — UAVs/Drones: Bat UAS
Northrop Grumman — UAVs/Drones: Fire Scout MQ-8C
Northrop Grumman — UAVs/Drones: MQ-4C Triton
Northrop Grumman — UAVs/Drones: RQ-4 Global Hawk
Northrop Grumman — Missiles: AARGM AGM-88E
Northrop Grumman — Missiles: AARGM-ER
Northrop Grumman — Missiles: GMLRS Propulsion &amp; Warhead Subsystems
Northrop Grumman — Missiles: HACM</x:v>
      </x:c>
    </x:row>
    <x:row r="938">
      <x:c r="A938" s="30" t="str">
        <x:v>https://www.northropgrumman.com/who-we-are/annual-reports</x:v>
      </x:c>
      <x:c r="B938" s="30" t="str">
        <x:v>Northrop Grumman</x:v>
      </x:c>
      <x:c r="C938" s="30" t="str">
        <x:v>B7</x:v>
      </x:c>
      <x:c r="D938" s="30" t="str">
        <x:v>Northrop Grumman — company details</x:v>
      </x:c>
    </x:row>
    <x:row r="939">
      <x:c r="A939" s="30" t="str">
        <x:v>https://www.oshkoshcorp.com/news/2025/06-03-25-transport-segment-and-steve-nordlund-as-president</x:v>
      </x:c>
      <x:c r="B939" s="30" t="str">
        <x:v>Oshkosh Defense</x:v>
      </x:c>
      <x:c r="C939" s="30" t="str">
        <x:v>B5</x:v>
      </x:c>
      <x:c r="D939" s="30" t="str">
        <x:v>Oshkosh Defense — company details</x:v>
      </x:c>
    </x:row>
    <x:row r="940">
      <x:c r="A940" s="30" t="str">
        <x:v>https://www.otokar.com.tr/getmedia/e31920a6-9ccc-4065-bb2e-4e1eb0d68af8/2025-annual-report</x:v>
      </x:c>
      <x:c r="B940" s="30" t="str">
        <x:v>Otokar</x:v>
      </x:c>
      <x:c r="C940" s="30" t="str">
        <x:v>B4</x:v>
      </x:c>
      <x:c r="D940" s="30" t="str">
        <x:v>Otokar — company details</x:v>
      </x:c>
    </x:row>
    <x:row r="941">
      <x:c r="A941" s="30" t="str">
        <x:v>https://www.pappers.fr/entreprise/mbda-france-378168470</x:v>
      </x:c>
      <x:c r="B941" s="30" t="str">
        <x:v>MBDA</x:v>
      </x:c>
      <x:c r="C941" s="30" t="str">
        <x:v>B7</x:v>
      </x:c>
      <x:c r="D941" s="30" t="str">
        <x:v>MBDA — company details</x:v>
      </x:c>
    </x:row>
    <x:row r="942">
      <x:c r="A942" s="30" t="str">
        <x:v>https://www.paramountgroup.com/about/</x:v>
      </x:c>
      <x:c r="B942" s="30" t="str">
        <x:v>Paramount Group</x:v>
      </x:c>
      <x:c r="C942" s="30" t="str">
        <x:v>B4</x:v>
      </x:c>
      <x:c r="D942" s="30" t="str">
        <x:v>Paramount Group — company details</x:v>
      </x:c>
    </x:row>
    <x:row r="943">
      <x:c r="A943" s="30" t="str">
        <x:v>https://www.paramountgroup.com/capabilities/</x:v>
      </x:c>
      <x:c r="B943" s="30" t="str">
        <x:v>Paramount Group</x:v>
      </x:c>
      <x:c r="C943" s="30" t="str">
        <x:v>B4</x:v>
      </x:c>
      <x:c r="D943" s="30" t="str">
        <x:v>Paramount Group — company details</x:v>
      </x:c>
    </x:row>
    <x:row r="944">
      <x:c r="A944" s="30" t="str">
        <x:v>https://www.paramountgroup.com/capabilities/border-security/</x:v>
      </x:c>
      <x:c r="B944" s="30" t="str">
        <x:v>Paramount Group</x:v>
      </x:c>
      <x:c r="C944" s="30" t="str">
        <x:v>B4</x:v>
      </x:c>
      <x:c r="D944" s="30" t="str">
        <x:v>Paramount Group — Protected Vehicles: Maatla</x:v>
      </x:c>
    </x:row>
    <x:row r="945">
      <x:c r="A945" s="30" t="str">
        <x:v>https://www.paramountgroup.com/capabilities/land/maatla/</x:v>
      </x:c>
      <x:c r="B945" s="30" t="str">
        <x:v>Paramount Group</x:v>
      </x:c>
      <x:c r="C945" s="30" t="str">
        <x:v>B4</x:v>
      </x:c>
      <x:c r="D945" s="30" t="str">
        <x:v>Paramount Group — Protected Vehicles: Maatla</x:v>
      </x:c>
    </x:row>
    <x:row r="946">
      <x:c r="A946" s="30" t="str">
        <x:v>https://www.paramountgroup.com/capabilities/land/mbombe-8/</x:v>
      </x:c>
      <x:c r="B946" s="30" t="str">
        <x:v>Paramount Group</x:v>
      </x:c>
      <x:c r="C946" s="30" t="str">
        <x:v>B4</x:v>
      </x:c>
      <x:c r="D946" s="30" t="str">
        <x:v>Paramount Group — Protected Vehicles: Mbombe 8</x:v>
      </x:c>
    </x:row>
    <x:row r="947">
      <x:c r="A947" s="30" t="str">
        <x:v>https://www.paramountgroup.com/capabilities/sea/</x:v>
      </x:c>
      <x:c r="B947" s="30" t="str">
        <x:v>Paramount Group</x:v>
      </x:c>
      <x:c r="C947" s="30" t="str">
        <x:v>B4</x:v>
      </x:c>
      <x:c r="D947" s="30" t="str">
        <x:v>Paramount Group — Marine/Naval: 11 m Guardian
Paramount Group — Marine/Naval: 22 m Sentinel</x:v>
      </x:c>
    </x:row>
    <x:row r="948">
      <x:c r="A948" s="30" t="str">
        <x:v>https://www.paramountgroup.com/capabilities/sea/17m-sentinel/</x:v>
      </x:c>
      <x:c r="B948" s="30" t="str">
        <x:v>Paramount Group</x:v>
      </x:c>
      <x:c r="C948" s="30" t="str">
        <x:v>B4</x:v>
      </x:c>
      <x:c r="D948" s="30" t="str">
        <x:v>Paramount Group — Marine/Naval: 17 m Sentinel</x:v>
      </x:c>
    </x:row>
    <x:row r="949">
      <x:c r="A949" s="30" t="str">
        <x:v>https://www.paramountgroup.com/capabilities/sea/24m-sentinel/</x:v>
      </x:c>
      <x:c r="B949" s="30" t="str">
        <x:v>Paramount Group</x:v>
      </x:c>
      <x:c r="C949" s="30" t="str">
        <x:v>B4</x:v>
      </x:c>
      <x:c r="D949" s="30" t="str">
        <x:v>Paramount Group — Marine/Naval: 24 m Sentinel</x:v>
      </x:c>
    </x:row>
    <x:row r="950">
      <x:c r="A950" s="30" t="str">
        <x:v>https://www.paramountgroup.com/capabilities/sea/35m-sentinel/</x:v>
      </x:c>
      <x:c r="B950" s="30" t="str">
        <x:v>Paramount Group</x:v>
      </x:c>
      <x:c r="C950" s="30" t="str">
        <x:v>B4</x:v>
      </x:c>
      <x:c r="D950" s="30" t="str">
        <x:v>Paramount Group — Marine/Naval: 35 m Sentinel</x:v>
      </x:c>
    </x:row>
    <x:row r="951">
      <x:c r="A951" s="30" t="str">
        <x:v>https://www.paramountgroup.com/capabilities/sea/70m-frontier/</x:v>
      </x:c>
      <x:c r="B951" s="30" t="str">
        <x:v>Paramount Group</x:v>
      </x:c>
      <x:c r="C951" s="30" t="str">
        <x:v>B4</x:v>
      </x:c>
      <x:c r="D951" s="30" t="str">
        <x:v>Paramount Group — Marine/Naval: 70 m Frontier</x:v>
      </x:c>
    </x:row>
    <x:row r="952">
      <x:c r="A952" s="30" t="str">
        <x:v>https://www.paramountgroup.com/capabilities/sea/85m-guardian/</x:v>
      </x:c>
      <x:c r="B952" s="30" t="str">
        <x:v>Paramount Group</x:v>
      </x:c>
      <x:c r="C952" s="30" t="str">
        <x:v>B4</x:v>
      </x:c>
      <x:c r="D952" s="30" t="str">
        <x:v>Paramount Group — Marine/Naval: 8.5 m Guardian</x:v>
      </x:c>
    </x:row>
    <x:row r="953">
      <x:c r="A953" s="30" t="str">
        <x:v>https://www.paramountgroup.com/contact/</x:v>
      </x:c>
      <x:c r="B953" s="30" t="str">
        <x:v>Paramount Group</x:v>
      </x:c>
      <x:c r="C953" s="30" t="str">
        <x:v>B4</x:v>
      </x:c>
      <x:c r="D953" s="30" t="str">
        <x:v>Paramount Group — company details</x:v>
      </x:c>
    </x:row>
    <x:row r="954">
      <x:c r="A954" s="30" t="str">
        <x:v>https://www.paramountgroup.com/media/1137/paramount-matador-2015.pdf</x:v>
      </x:c>
      <x:c r="B954" s="30" t="str">
        <x:v>Paramount Group</x:v>
      </x:c>
      <x:c r="C954" s="30" t="str">
        <x:v>B4</x:v>
      </x:c>
      <x:c r="D954" s="30" t="str">
        <x:v>Paramount Group — Protected Vehicles: Matador</x:v>
      </x:c>
    </x:row>
    <x:row r="955">
      <x:c r="A955" s="30" t="str">
        <x:v>https://www.paramountgroup.com/media/1207/85m-guardian-leaflet.pdf</x:v>
      </x:c>
      <x:c r="B955" s="30" t="str">
        <x:v>Paramount Group</x:v>
      </x:c>
      <x:c r="C955" s="30" t="str">
        <x:v>B4</x:v>
      </x:c>
      <x:c r="D955" s="30" t="str">
        <x:v>Paramount Group — Marine/Naval: 8.5 m Guardian</x:v>
      </x:c>
    </x:row>
    <x:row r="956">
      <x:c r="A956" s="30" t="str">
        <x:v>https://www.paramountgroup.com/media/news/mbombe-4-release/</x:v>
      </x:c>
      <x:c r="B956" s="30" t="str">
        <x:v>Paramount Group</x:v>
      </x:c>
      <x:c r="C956" s="30" t="str">
        <x:v>B4</x:v>
      </x:c>
      <x:c r="D956" s="30" t="str">
        <x:v>Paramount Group — Protected Vehicles: Mbombe 4</x:v>
      </x:c>
    </x:row>
    <x:row r="957">
      <x:c r="A957" s="30" t="str">
        <x:v>https://www.paramountgroup.com/media/news/paramount-group-s-kazakh-defence-industry-venture-pioneers-to-export-globally/</x:v>
      </x:c>
      <x:c r="B957" s="30" t="str">
        <x:v>Paramount Group</x:v>
      </x:c>
      <x:c r="C957" s="30" t="str">
        <x:v>B4</x:v>
      </x:c>
      <x:c r="D957" s="30" t="str">
        <x:v>Paramount Group — company details</x:v>
      </x:c>
    </x:row>
    <x:row r="958">
      <x:c r="A958" s="30" t="str">
        <x:v>https://www.paramountgroup.com/media/news/paramount-group-showcases-highly-advanced-infantry-combat-vehicle-capabilities-at-adex-2016/</x:v>
      </x:c>
      <x:c r="B958" s="30" t="str">
        <x:v>Paramount Group</x:v>
      </x:c>
      <x:c r="C958" s="30" t="str">
        <x:v>B4</x:v>
      </x:c>
      <x:c r="D958" s="30" t="str">
        <x:v>Paramount Group — Protected Vehicles: Matador
Paramount Group — Protected Vehicles: Mbombe 6</x:v>
      </x:c>
    </x:row>
    <x:row r="959">
      <x:c r="A959" s="30" t="str">
        <x:v>https://www.paramountgroup.com/media/news/paramount-group-unveils-family-of-highly-advanced-infantry-combat-vehicles-at-aad-2016/</x:v>
      </x:c>
      <x:c r="B959" s="30" t="str">
        <x:v>Paramount Group</x:v>
      </x:c>
      <x:c r="C959" s="30" t="str">
        <x:v>B4</x:v>
      </x:c>
      <x:c r="D959" s="30" t="str">
        <x:v>Paramount Group — Protected Vehicles: Mbombe 6</x:v>
      </x:c>
    </x:row>
    <x:row r="960">
      <x:c r="A960" s="30" t="str">
        <x:v>https://www.paramountgroup.com/media/news/paramount-group-unveils-new-generation-8x8-infantry-combat-vehicle-for-global-defence-market/</x:v>
      </x:c>
      <x:c r="B960" s="30" t="str">
        <x:v>Paramount Group</x:v>
      </x:c>
      <x:c r="C960" s="30" t="str">
        <x:v>B4</x:v>
      </x:c>
      <x:c r="D960" s="30" t="str">
        <x:v>Paramount Group — Protected Vehicles: Mbombe 8</x:v>
      </x:c>
    </x:row>
    <x:row r="961">
      <x:c r="A961" s="30" t="str">
        <x:v>https://www.paramountgroup.com/media/news/paramount-maritime-launches-advanced-35m-sentinel-vessel/</x:v>
      </x:c>
      <x:c r="B961" s="30" t="str">
        <x:v>Paramount Group</x:v>
      </x:c>
      <x:c r="C961" s="30" t="str">
        <x:v>B4</x:v>
      </x:c>
      <x:c r="D961" s="30" t="str">
        <x:v>Paramount Group — Marine/Naval: 35 m Sentinel</x:v>
      </x:c>
    </x:row>
    <x:row r="962">
      <x:c r="A962" s="30" t="str">
        <x:v>https://www.paramountgroup.com/media/news/paramount-s-n-raven-precision-strike-loitering-munition-goes-into-production-idex-2023/</x:v>
      </x:c>
      <x:c r="B962" s="30" t="str">
        <x:v>Paramount Group</x:v>
      </x:c>
      <x:c r="C962" s="30" t="str">
        <x:v>B4</x:v>
      </x:c>
      <x:c r="D962" s="30" t="str">
        <x:v>Paramount Group — UAVs/Drones: N-Raven Loitering Munition</x:v>
      </x:c>
    </x:row>
    <x:row r="963">
      <x:c r="A963" s="30" t="str">
        <x:v>https://www.patriagroup.com/about-us/business-units/land</x:v>
      </x:c>
      <x:c r="B963" s="30" t="str">
        <x:v>Patria</x:v>
      </x:c>
      <x:c r="C963" s="30" t="str">
        <x:v>B3</x:v>
      </x:c>
      <x:c r="D963" s="30" t="str">
        <x:v>Patria — Artillery: Patria AMOS</x:v>
      </x:c>
    </x:row>
    <x:row r="964">
      <x:c r="A964" s="30" t="str">
        <x:v>https://www.patriagroup.com/about-us/financials/patrias-year-2025</x:v>
      </x:c>
      <x:c r="B964" s="30" t="str">
        <x:v>Patria</x:v>
      </x:c>
      <x:c r="C964" s="30" t="str">
        <x:v>B3</x:v>
      </x:c>
      <x:c r="D964" s="30" t="str">
        <x:v>Patria — company details</x:v>
      </x:c>
    </x:row>
    <x:row r="965">
      <x:c r="A965" s="30" t="str">
        <x:v>https://www.patriagroup.com/about-us/management-team/board-of-directors</x:v>
      </x:c>
      <x:c r="B965" s="30" t="str">
        <x:v>Patria</x:v>
      </x:c>
      <x:c r="C965" s="30" t="str">
        <x:v>B3</x:v>
      </x:c>
      <x:c r="D965" s="30" t="str">
        <x:v>Patria — company details</x:v>
      </x:c>
    </x:row>
    <x:row r="966">
      <x:c r="A966" s="30" t="str">
        <x:v>https://www.patriagroup.com/about-us/over-100-years-of-patrias-legacy/the-foundation-for-a-secure-future</x:v>
      </x:c>
      <x:c r="B966" s="30" t="str">
        <x:v>Patria</x:v>
      </x:c>
      <x:c r="C966" s="30" t="str">
        <x:v>B3</x:v>
      </x:c>
      <x:c r="D966" s="30" t="str">
        <x:v>Patria — company details</x:v>
      </x:c>
    </x:row>
    <x:row r="967">
      <x:c r="A967" s="30" t="str">
        <x:v>https://www.patriagroup.com/about-us/patria-in-brief</x:v>
      </x:c>
      <x:c r="B967" s="30" t="str">
        <x:v>Patria</x:v>
      </x:c>
      <x:c r="C967" s="30" t="str">
        <x:v>B3</x:v>
      </x:c>
      <x:c r="D967" s="30" t="str">
        <x:v>Patria — company details</x:v>
      </x:c>
    </x:row>
    <x:row r="968">
      <x:c r="A968" s="30" t="str">
        <x:v>https://www.patriagroup.com/contacts</x:v>
      </x:c>
      <x:c r="B968" s="30" t="str">
        <x:v>Patria</x:v>
      </x:c>
      <x:c r="C968" s="30" t="str">
        <x:v>B3</x:v>
      </x:c>
      <x:c r="D968" s="30" t="str">
        <x:v>Patria — company details</x:v>
      </x:c>
    </x:row>
    <x:row r="969">
      <x:c r="A969" s="30" t="str">
        <x:v>https://www.patriagroup.com/download/patria-amv-xp-a4210x297mm-05-2023-webpdf</x:v>
      </x:c>
      <x:c r="B969" s="30" t="str">
        <x:v>Patria</x:v>
      </x:c>
      <x:c r="C969" s="30" t="str">
        <x:v>B3</x:v>
      </x:c>
      <x:c r="D969" s="30" t="str">
        <x:v>Patria — Protected Vehicles: Patria AMV XP 8×8</x:v>
      </x:c>
    </x:row>
    <x:row r="970">
      <x:c r="A970" s="30" t="str">
        <x:v>https://www.patriagroup.com/download/patria-tremos-brochure</x:v>
      </x:c>
      <x:c r="B970" s="30" t="str">
        <x:v>Patria</x:v>
      </x:c>
      <x:c r="C970" s="30" t="str">
        <x:v>B3</x:v>
      </x:c>
      <x:c r="D970" s="30" t="str">
        <x:v>Patria — Artillery: Patria TREMOS</x:v>
      </x:c>
    </x:row>
    <x:row r="971">
      <x:c r="A971" s="30" t="str">
        <x:v>https://www.patriagroup.com/newsroom/news/2026/patria-appoints-new-president-and-ceo-panu-routila-appointed-as-new-president-and-ceo</x:v>
      </x:c>
      <x:c r="B971" s="30" t="str">
        <x:v>Patria</x:v>
      </x:c>
      <x:c r="C971" s="30" t="str">
        <x:v>B3</x:v>
      </x:c>
      <x:c r="D971" s="30" t="str">
        <x:v>Patria — company details</x:v>
      </x:c>
    </x:row>
    <x:row r="972">
      <x:c r="A972" s="30" t="str">
        <x:v>https://www.patriagroup.com/newsroom/news/2026/patrias-full-offering-presented-at-eurosatory-2026</x:v>
      </x:c>
      <x:c r="B972" s="30" t="str">
        <x:v>Patria</x:v>
      </x:c>
      <x:c r="C972" s="30" t="str">
        <x:v>B3</x:v>
      </x:c>
      <x:c r="D972" s="30" t="str">
        <x:v>Patria — Protected Vehicles: Patria 6×6
Patria — Protected Vehicles: Patria TRACKX</x:v>
      </x:c>
    </x:row>
    <x:row r="973">
      <x:c r="A973" s="30" t="str">
        <x:v>https://www.patriagroup.com/newsroom/patria-magazine/tech/patria-amv-xp-performance-evolved</x:v>
      </x:c>
      <x:c r="B973" s="30" t="str">
        <x:v>Patria</x:v>
      </x:c>
      <x:c r="C973" s="30" t="str">
        <x:v>B3</x:v>
      </x:c>
      <x:c r="D973" s="30" t="str">
        <x:v>Patria — Protected Vehicles: Patria AMV XP 8×8</x:v>
      </x:c>
    </x:row>
    <x:row r="974">
      <x:c r="A974" s="30" t="str">
        <x:v>https://www.patriagroup.com/products-and-services/defence-and-weapon-systems</x:v>
      </x:c>
      <x:c r="B974" s="30" t="str">
        <x:v>Patria</x:v>
      </x:c>
      <x:c r="C974" s="30" t="str">
        <x:v>B3</x:v>
      </x:c>
      <x:c r="D974" s="30" t="str">
        <x:v>Patria — UAVs/Drones: Patria GEO
Patria — UAVs/Drones: Patria ONE
Patria — UAVs/Drones: Patria SKY</x:v>
      </x:c>
    </x:row>
    <x:row r="975">
      <x:c r="A975" s="30" t="str">
        <x:v>https://www.patriagroup.com/products-and-services/defence-and-weapon-systems/armament</x:v>
      </x:c>
      <x:c r="B975" s="30" t="str">
        <x:v>Patria</x:v>
      </x:c>
      <x:c r="C975" s="30" t="str">
        <x:v>B3</x:v>
      </x:c>
      <x:c r="D975" s="30" t="str">
        <x:v>Patria — Marine/Naval: Patria NEMO Navy</x:v>
      </x:c>
    </x:row>
    <x:row r="976">
      <x:c r="A976" s="30" t="str">
        <x:v>https://www.patriagroup.com/products-and-services/defence-and-weapon-systems/armament/patria-nemo</x:v>
      </x:c>
      <x:c r="B976" s="30" t="str">
        <x:v>Patria</x:v>
      </x:c>
      <x:c r="C976" s="30" t="str">
        <x:v>B3</x:v>
      </x:c>
      <x:c r="D976" s="30" t="str">
        <x:v>Patria — Artillery: Patria NEMO 120 mm Mortar System
Patria — Marine/Naval: Patria NEMO Navy</x:v>
      </x:c>
    </x:row>
    <x:row r="977">
      <x:c r="A977" s="30" t="str">
        <x:v>https://www.patriagroup.com/products-and-services/defence-and-weapon-systems/armament/patria-nemo-container</x:v>
      </x:c>
      <x:c r="B977" s="30" t="str">
        <x:v>Patria</x:v>
      </x:c>
      <x:c r="C977" s="30" t="str">
        <x:v>B3</x:v>
      </x:c>
      <x:c r="D977" s="30" t="str">
        <x:v>Patria — Artillery: Patria NEMO Container</x:v>
      </x:c>
    </x:row>
    <x:row r="978">
      <x:c r="A978" s="30" t="str">
        <x:v>https://www.patriagroup.com/products-and-services/defence-and-weapon-systems/armament/patria-tremos</x:v>
      </x:c>
      <x:c r="B978" s="30" t="str">
        <x:v>Patria</x:v>
      </x:c>
      <x:c r="C978" s="30" t="str">
        <x:v>B3</x:v>
      </x:c>
      <x:c r="D978" s="30" t="str">
        <x:v>Patria — Artillery: Patria TREMOS</x:v>
      </x:c>
    </x:row>
    <x:row r="979">
      <x:c r="A979" s="30" t="str">
        <x:v>https://www.patriagroup.com/products-and-services/protected-mobility/wheeled-mobility/patria-6x6</x:v>
      </x:c>
      <x:c r="B979" s="30" t="str">
        <x:v>Patria</x:v>
      </x:c>
      <x:c r="C979" s="30" t="str">
        <x:v>B3</x:v>
      </x:c>
      <x:c r="D979" s="30" t="str">
        <x:v>Patria — Protected Vehicles: Patria 6×6</x:v>
      </x:c>
    </x:row>
    <x:row r="980">
      <x:c r="A980" s="30" t="str">
        <x:v>https://www.patriagroup.com/products-and-services/protected-mobility/wheeled-mobility/patria-amv-xp-number-1-in-the-battlefield</x:v>
      </x:c>
      <x:c r="B980" s="30" t="str">
        <x:v>Patria</x:v>
      </x:c>
      <x:c r="C980" s="30" t="str">
        <x:v>B3</x:v>
      </x:c>
      <x:c r="D980" s="30" t="str">
        <x:v>Patria — Protected Vehicles: Patria AMV XP 8×8</x:v>
      </x:c>
    </x:row>
    <x:row r="981">
      <x:c r="A981" s="30" t="str">
        <x:v>https://www.pelgel.com/annual-reports/Premier_AR_2024.pdf</x:v>
      </x:c>
      <x:c r="B981" s="30" t="str">
        <x:v>Premier Explosives</x:v>
      </x:c>
      <x:c r="C981" s="30" t="str">
        <x:v>B10</x:v>
      </x:c>
      <x:c r="D981" s="30" t="str">
        <x:v>Premier Explosives — Ammunition: Agni Strategic Pyrogen Igniter / Daisy-II Motor
Premier Explosives — Ammunition: Akash Booster &amp; Sustainer Grains
Premier Explosives — Ammunition: MRSAM Solid Propellant
Premier Explosives — Ammunition: Solid Propellant Families
Premier Explosives — Ammunition: Warhead / High-Energy Material Products</x:v>
      </x:c>
    </x:row>
    <x:row r="982">
      <x:c r="A982" s="30" t="str">
        <x:v>https://www.pelgel.com/presentations/Investor_Presentation_30052024.pdf</x:v>
      </x:c>
      <x:c r="B982" s="30" t="str">
        <x:v>Premier Explosives</x:v>
      </x:c>
      <x:c r="C982" s="30" t="str">
        <x:v>B10</x:v>
      </x:c>
      <x:c r="D982" s="30" t="str">
        <x:v>Premier Explosives — Ammunition: 70 mm Rocket
Premier Explosives — Ammunition: Agni Strategic Pyrogen Igniter / Daisy-II Motor
Premier Explosives — Ammunition: Air Target Imitator Rocket / Motor
Premier Explosives — Ammunition: Astra Solid Propellant
Premier Explosives — Ammunition: BrahMos Solid-Propellant Booster Material
Premier Explosives — Ammunition: Chaff &amp; IR Flare Countermeasure Ammunition
Premier Explosives — Ammunition: Pinaka Rocket Propellant
Premier Explosives — Ammunition: QRSAM / NGARM Solid Propellant Family
Premier Explosives — Ammunition: Rocket Motor Hardware
Premier Explosives — Ammunition: Solid Propellant Families</x:v>
      </x:c>
    </x:row>
    <x:row r="983">
      <x:c r="A983" s="30" t="str">
        <x:v>https://www.pib.gov.in/PressReleasePage.aspx?PRID=1570184&amp;lang=2&amp;reg=3</x:v>
      </x:c>
      <x:c r="B983" s="30" t="str">
        <x:v>AWEIL</x:v>
      </x:c>
      <x:c r="C983" s="30" t="str">
        <x:v>B1</x:v>
      </x:c>
      <x:c r="D983" s="30" t="str">
        <x:v>AWEIL — Artillery: Dhanush 155 mm × 45 Cal Artillery Gun System</x:v>
      </x:c>
    </x:row>
    <x:row r="984">
      <x:c r="A984" s="30" t="str">
        <x:v>https://www.pib.gov.in/PressReleasePage.aspx?PRID=2086514&amp;lang=2&amp;reg=3</x:v>
      </x:c>
      <x:c r="B984" s="30" t="str">
        <x:v>Larsen &amp; Toubro (L&amp;T)</x:v>
      </x:c>
      <x:c r="C984" s="30" t="str">
        <x:v>B3</x:v>
      </x:c>
      <x:c r="D984" s="30" t="str">
        <x:v>Larsen &amp; Toubro (L&amp;T) — Artillery: K9 Vajra-T</x:v>
      </x:c>
    </x:row>
    <x:row r="985">
      <x:c r="A985" s="30" t="str">
        <x:v>https://www.pib.gov.in/PressReleasePage.aspx?PRID=2215884&amp;lang=1&amp;reg=1</x:v>
      </x:c>
      <x:c r="B985" s="30" t="str">
        <x:v>Solar Industries</x:v>
      </x:c>
      <x:c r="C985" s="30" t="str">
        <x:v>B10</x:v>
      </x:c>
      <x:c r="D985" s="30" t="str">
        <x:v>Solar Industries — Ammunition: Guided Pinaka Rocket
Solar Industries — Ammunition: Multi-Mode Hand Grenade
Solar Industries — company details</x:v>
      </x:c>
    </x:row>
    <x:row r="986">
      <x:c r="A986" s="30" t="str">
        <x:v>https://www.pib.gov.in/Pressreleaseshare.aspx?PRID=1824795&amp;lang=2&amp;reg=48</x:v>
      </x:c>
      <x:c r="B986" s="30" t="str">
        <x:v>BrahMos Aerospace</x:v>
      </x:c>
      <x:c r="C986" s="30" t="str">
        <x:v>B10</x:v>
      </x:c>
      <x:c r="D986" s="30" t="str">
        <x:v>BrahMos Aerospace — Missiles: BRAHMOS Air-Launched Cruise Missile (ALCM)
BrahMos Aerospace — Missiles: BRAHMOS Land Attack Block-I
BrahMos Aerospace — Missiles: BRAHMOS Land Attack Block-II
BrahMos Aerospace — Missiles: BRAHMOS Land Attack Block-III
BrahMos Aerospace — Missiles: BRAHMOS Land-Based Weapon System
BrahMos Aerospace — Missiles: BRAHMOS Ship-Based Weapon System
BrahMos Aerospace — Missiles: BRAHMOS Submarine-Launched Cruise Missile (SLCM)
BrahMos Aerospace — Missiles: BRAHMOS-II Hypersonic Cruise Missile
BrahMos Aerospace — Missiles: BRAHMOS-NG</x:v>
      </x:c>
    </x:row>
    <x:row r="987">
      <x:c r="A987" s="30" t="str">
        <x:v>https://www.pib.gov.in/newsite/PrintRelease.aspx?lang=2&amp;reg=48&amp;relid=188788</x:v>
      </x:c>
      <x:c r="B987" s="30" t="str">
        <x:v>AWEIL</x:v>
      </x:c>
      <x:c r="C987" s="30" t="str">
        <x:v>B1</x:v>
      </x:c>
      <x:c r="D987" s="30" t="str">
        <x:v>AWEIL — Artillery: Dhanush 155 mm × 45 Cal Artillery Gun System</x:v>
      </x:c>
    </x:row>
    <x:row r="988">
      <x:c r="A988" s="30" t="str">
        <x:v>https://www.pib.gov.in/newsite/PrintRelease.aspx?lang=2&amp;reg=48&amp;relid=235102</x:v>
      </x:c>
      <x:c r="B988" s="30" t="str">
        <x:v>Solar Industries</x:v>
      </x:c>
      <x:c r="C988" s="30" t="str">
        <x:v>B10</x:v>
      </x:c>
      <x:c r="D988" s="30" t="str">
        <x:v>Solar Industries — Ammunition: Pinaka HEPF Mk-I (Enhanced) Rocket</x:v>
      </x:c>
    </x:row>
    <x:row r="989">
      <x:c r="A989" s="30" t="str">
        <x:v>https://www.plrsystem.in/</x:v>
      </x:c>
      <x:c r="B989" s="30" t="str">
        <x:v>PLR Systems (IWI+Adani)</x:v>
      </x:c>
      <x:c r="C989" s="30" t="str">
        <x:v>B4</x:v>
      </x:c>
      <x:c r="D989" s="30" t="str">
        <x:v>PLR Systems (IWI+Adani) — Small Arms: TAVOR TAR-21 / TAVOR TAR Flattop
PLR Systems (IWI+Adani) — Small Arms: X95 Flattop 419</x:v>
      </x:c>
    </x:row>
    <x:row r="990">
      <x:c r="A990" s="30" t="str">
        <x:v>https://www.poongsan.co.kr/en/company/ceo/profile</x:v>
      </x:c>
      <x:c r="B990" s="30" t="str">
        <x:v>Poongsan</x:v>
      </x:c>
      <x:c r="C990" s="30" t="str">
        <x:v>B6</x:v>
      </x:c>
      <x:c r="D990" s="30" t="str">
        <x:v>Poongsan — company details</x:v>
      </x:c>
    </x:row>
    <x:row r="991">
      <x:c r="A991" s="30" t="str">
        <x:v>https://www.poongsan.co.kr/en/include/images/cs/2024_ESG_REPORT_EN.pdf</x:v>
      </x:c>
      <x:c r="B991" s="30" t="str">
        <x:v>Poongsan</x:v>
      </x:c>
      <x:c r="C991" s="30" t="str">
        <x:v>B6</x:v>
      </x:c>
      <x:c r="D991" s="30" t="str">
        <x:v>Poongsan — Ammunition: 105 mm APFSDS-T K274
Poongsan — Ammunition: 105 mm Blank M395
Poongsan — Ammunition: 105 mm HE M1
Poongsan — Ammunition: 105 mm HEAT-T M456A1 / TP-T M490
Poongsan — Ammunition: 12.7×99 mm
Poongsan — Ammunition: 120 mm APFSDS-T K276
Poongsan — Ammunition: 120 mm APFSDS-T K279
Poongsan — Ammunition: 120 mm HEAT-MP-T K277 / TP-T K282
Poongsan — Ammunition: 120 mm HEAT-MP-T K280
Poongsan — Ammunition: 127 mm/54 cal K300/K301
Poongsan — Ammunition: 155 mm Base-Bleed HE K307
Poongsan — Ammunition: 155 mm HE M107</x:v>
      </x:c>
    </x:row>
    <x:row r="992">
      <x:c r="A992" s="30" t="str">
        <x:v>https://www.poongsan.co.kr/en/product/special/ammunition</x:v>
      </x:c>
      <x:c r="B992" s="30" t="str">
        <x:v>Poongsan</x:v>
      </x:c>
      <x:c r="C992" s="30" t="str">
        <x:v>B6</x:v>
      </x:c>
      <x:c r="D992" s="30" t="str">
        <x:v>Poongsan — company details</x:v>
      </x:c>
    </x:row>
    <x:row r="993">
      <x:c r="A993" s="30" t="str">
        <x:v>https://www.poongsan.co.kr/en/product/special/military</x:v>
      </x:c>
      <x:c r="B993" s="30" t="str">
        <x:v>Poongsan</x:v>
      </x:c>
      <x:c r="C993" s="30" t="str">
        <x:v>B6</x:v>
      </x:c>
      <x:c r="D993" s="30" t="str">
        <x:v>Poongsan — Ammunition: 105 mm Howitzer Ammunition
Poongsan — Ammunition: 105 mm Tank Ammunition
Poongsan — Ammunition: 12.7×99 mm
Poongsan — Ammunition: 155 mm Howitzer Ammunition
Poongsan — Ammunition: 30 mm Goalkeeper MPDS K164 / FMPDS K165
Poongsan — Ammunition: 5.56×45 mm
Poongsan — Ammunition: 8-inch / 203 mm Howitzer Projectile Family
Poongsan — Ammunition: Pistol &amp; Revolver Ammunition
Poongsan — company details</x:v>
      </x:c>
    </x:row>
    <x:row r="994">
      <x:c r="A994" s="30" t="str">
        <x:v>https://www.poongsan.co.kr/en/product/special/overview</x:v>
      </x:c>
      <x:c r="B994" s="30" t="str">
        <x:v>Poongsan</x:v>
      </x:c>
      <x:c r="C994" s="30" t="str">
        <x:v>B6</x:v>
      </x:c>
      <x:c r="D994" s="30" t="str">
        <x:v>Poongsan — Ammunition: 105 mm APFSDS-T K274
Poongsan — Ammunition: 105 mm Blank M395
Poongsan — Ammunition: 105 mm HE M1
Poongsan — Ammunition: 105 mm HEAT-T M456A1 / TP-T M490
Poongsan — Ammunition: 105 mm Howitzer Ammunition
Poongsan — Ammunition: 105 mm Tank Ammunition
Poongsan — Ammunition: 12.7×99 mm
Poongsan — Ammunition: 120 mm APFSDS-T K276
Poongsan — Ammunition: 120 mm APFSDS-T K279
Poongsan — Ammunition: 120 mm HEAT-MP-T K277 / TP-T K282
Poongsan — Ammunition: 120 mm HEAT-MP-T K280
Poongsan — Ammunition: 127 mm/54 cal K300/K301</x:v>
      </x:c>
    </x:row>
    <x:row r="995">
      <x:c r="A995" s="30" t="str">
        <x:v>https://www.poongsan.co.kr/include/images/ir/2025%20Annual%20Reprot_F.pdf</x:v>
      </x:c>
      <x:c r="B995" s="30" t="str">
        <x:v>Poongsan</x:v>
      </x:c>
      <x:c r="C995" s="30" t="str">
        <x:v>B6</x:v>
      </x:c>
      <x:c r="D995" s="30" t="str">
        <x:v>Poongsan — company details</x:v>
      </x:c>
    </x:row>
    <x:row r="996">
      <x:c r="A996" s="30" t="str">
        <x:v>https://www.poongsan.co.kr/ir/disclosure/annual_report</x:v>
      </x:c>
      <x:c r="B996" s="30" t="str">
        <x:v>Poongsan</x:v>
      </x:c>
      <x:c r="C996" s="30" t="str">
        <x:v>B6</x:v>
      </x:c>
      <x:c r="D996" s="30" t="str">
        <x:v>Poongsan — company details</x:v>
      </x:c>
    </x:row>
    <x:row r="997">
      <x:c r="A997" s="30" t="str">
        <x:v>https://www.poongsan.co.kr/ir/disclosure/information</x:v>
      </x:c>
      <x:c r="B997" s="30" t="str">
        <x:v>Poongsan</x:v>
      </x:c>
      <x:c r="C997" s="30" t="str">
        <x:v>B6</x:v>
      </x:c>
      <x:c r="D997" s="30" t="str">
        <x:v>Poongsan — company details</x:v>
      </x:c>
    </x:row>
    <x:row r="998">
      <x:c r="A998" s="30" t="str">
        <x:v>https://www.poongsan.co.kr/ir/financial/information</x:v>
      </x:c>
      <x:c r="B998" s="30" t="str">
        <x:v>Poongsan</x:v>
      </x:c>
      <x:c r="C998" s="30" t="str">
        <x:v>B6</x:v>
      </x:c>
      <x:c r="D998" s="30" t="str">
        <x:v>Poongsan — company details</x:v>
      </x:c>
    </x:row>
    <x:row r="999">
      <x:c r="A999" s="30" t="str">
        <x:v>https://www.poongsan.co.kr/kor/pswebzine/202302.php?p=newsline%7Cnews_3</x:v>
      </x:c>
      <x:c r="B999" s="30" t="str">
        <x:v>Poongsan</x:v>
      </x:c>
      <x:c r="C999" s="30" t="str">
        <x:v>B6</x:v>
      </x:c>
      <x:c r="D999" s="30" t="str">
        <x:v>Poongsan — Ammunition: 105 mm Tank Ammunition
Poongsan — Ammunition: 155 mm Howitzer Ammunition</x:v>
      </x:c>
    </x:row>
    <x:row r="1000">
      <x:c r="A1000" s="30" t="str">
        <x:v>https://www.poongsan.co.kr/kor/pswebzine/202405.php?p=newsline%7Cnews_7</x:v>
      </x:c>
      <x:c r="B1000" s="30" t="str">
        <x:v>Poongsan</x:v>
      </x:c>
      <x:c r="C1000" s="30" t="str">
        <x:v>B6</x:v>
      </x:c>
      <x:c r="D1000" s="30" t="str">
        <x:v>Poongsan — Ammunition: 155 mm Ramjet / Extended-Range Ammunition R&amp;D
Poongsan — Ammunition: 30 mm Anti-Drone / Advanced Naval Ammunition R&amp;D
Poongsan — Ammunition: 76 mm Naval Gun Ammunition</x:v>
      </x:c>
    </x:row>
    <x:row r="1001">
      <x:c r="A1001" s="30" t="str">
        <x:v>https://www.poongsan.co.kr/kor/pswebzine/202608.php?p=newsline%7Cnews_3</x:v>
      </x:c>
      <x:c r="B1001" s="30" t="str">
        <x:v>Poongsan</x:v>
      </x:c>
      <x:c r="C1001" s="30" t="str">
        <x:v>B6</x:v>
      </x:c>
      <x:c r="D1001" s="30" t="str">
        <x:v>Poongsan — Ammunition: 155 mm Howitzer Ammunition</x:v>
      </x:c>
    </x:row>
    <x:row r="1002">
      <x:c r="A1002" s="30" t="str">
        <x:v>https://www.poongsanhc.co.kr/en/product/special/ammunition</x:v>
      </x:c>
      <x:c r="B1002" s="30" t="str">
        <x:v>Poongsan</x:v>
      </x:c>
      <x:c r="C1002" s="30" t="str">
        <x:v>B6</x:v>
      </x:c>
      <x:c r="D1002" s="30" t="str">
        <x:v>Poongsan — Ammunition: 105 mm Howitzer Ammunition
Poongsan — Ammunition: 105 mm Tank Ammunition
Poongsan — Ammunition: 155 mm Howitzer Ammunition
Poongsan — Ammunition: 8-inch / 203 mm Howitzer Projectile Family</x:v>
      </x:c>
    </x:row>
    <x:row r="1003">
      <x:c r="A1003" s="30" t="str">
        <x:v>https://www.prnewswire.com/news-releases/roshel-unveils-its-senator-mrap-at-cansec-in-ottawa-301837714.html</x:v>
      </x:c>
      <x:c r="B1003" s="30" t="str">
        <x:v>Roshel</x:v>
      </x:c>
      <x:c r="C1003" s="30" t="str">
        <x:v>B4</x:v>
      </x:c>
      <x:c r="D1003" s="30" t="str">
        <x:v>Roshel — Protected Vehicles: Senator MRAP
Roshel — company details</x:v>
      </x:c>
    </x:row>
    <x:row r="1004">
      <x:c r="A1004" s="30" t="str">
        <x:v>https://www.rafael.co.il/exhibitions/wp-content/uploads/2023/08/SPIKE-NLOS-.pdf</x:v>
      </x:c>
      <x:c r="B1004" s="30" t="str">
        <x:v>Rafael Advanced Defense Systems</x:v>
      </x:c>
      <x:c r="C1004" s="30" t="str">
        <x:v>B6</x:v>
      </x:c>
      <x:c r="D1004" s="30" t="str">
        <x:v>Rafael Advanced Defense Systems — Missiles: SPIKE NLOS</x:v>
      </x:c>
    </x:row>
    <x:row r="1005">
      <x:c r="A1005" s="30" t="str">
        <x:v>https://www.rafael.co.il/worlds/naval-warfare/protector-usv/</x:v>
      </x:c>
      <x:c r="B1005" s="30" t="str">
        <x:v>Rafael Advanced Defense Systems</x:v>
      </x:c>
      <x:c r="C1005" s="30" t="str">
        <x:v>B6</x:v>
      </x:c>
      <x:c r="D1005" s="30" t="str">
        <x:v>Rafael Advanced Defense Systems — Marine/Naval: PROTECTOR Unmanned Surface Vehicle</x:v>
      </x:c>
    </x:row>
    <x:row r="1006">
      <x:c r="A1006" s="30" t="str">
        <x:v>https://www.rafael.co.il/wp-content/uploads/2019/03/Spike-NLOS-1.pdf</x:v>
      </x:c>
      <x:c r="B1006" s="30" t="str">
        <x:v>Rafael Advanced Defense Systems</x:v>
      </x:c>
      <x:c r="C1006" s="30" t="str">
        <x:v>B6</x:v>
      </x:c>
      <x:c r="D1006" s="30" t="str">
        <x:v>Rafael Advanced Defense Systems — Missiles: I-DERBY
Rafael Advanced Defense Systems — Missiles: I-DERBY ER
Rafael Advanced Defense Systems — Missiles: Python-5
Rafael Advanced Defense Systems — Missiles: Sea Breaker
Rafael Advanced Defense Systems — Missiles: SPIKE ER2
Rafael Advanced Defense Systems — Missiles: SPIKE FireFly
Rafael Advanced Defense Systems — Missiles: SPIKE LR2
Rafael Advanced Defense Systems — Missiles: SPIKE NLOS
Rafael Advanced Defense Systems — Missiles: SPIKE SR</x:v>
      </x:c>
    </x:row>
    <x:row r="1007">
      <x:c r="A1007" s="30" t="str">
        <x:v>https://www.rafael.co.il/wp-content/uploads/2019/03/Spyder-Family-Brochure-Eng-1.pdf</x:v>
      </x:c>
      <x:c r="B1007" s="30" t="str">
        <x:v>Rafael Advanced Defense Systems</x:v>
      </x:c>
      <x:c r="C1007" s="30" t="str">
        <x:v>B6</x:v>
      </x:c>
      <x:c r="D1007" s="30" t="str">
        <x:v>Rafael Advanced Defense Systems — Missiles: SPYDER SR / ER / MR / LR Family</x:v>
      </x:c>
    </x:row>
    <x:row r="1008">
      <x:c r="A1008" s="30" t="str">
        <x:v>https://www.rafael.co.il/wp-content/uploads/2024/01/Refael_Imud_ENGLISH_271223_compressed.pdf</x:v>
      </x:c>
      <x:c r="B1008" s="30" t="str">
        <x:v>Rafael Advanced Defense Systems</x:v>
      </x:c>
      <x:c r="C1008" s="30" t="str">
        <x:v>B6</x:v>
      </x:c>
      <x:c r="D1008" s="30" t="str">
        <x:v>Rafael Advanced Defense Systems — Missiles: C-DOME Naval Air Defense
Rafael Advanced Defense Systems — Missiles: David's Sling
Rafael Advanced Defense Systems — Missiles: IRON BEAM
Rafael Advanced Defense Systems — Missiles: Iron Dome</x:v>
      </x:c>
    </x:row>
    <x:row r="1009">
      <x:c r="A1009" s="30" t="str">
        <x:v>https://www.rafael.co.il/wp-content/uploads/2024/03/NAVAL-SPIKE-NLOS-2024.pdf</x:v>
      </x:c>
      <x:c r="B1009" s="30" t="str">
        <x:v>Rafael Advanced Defense Systems</x:v>
      </x:c>
      <x:c r="C1009" s="30" t="str">
        <x:v>B6</x:v>
      </x:c>
      <x:c r="D1009" s="30" t="str">
        <x:v>Rafael Advanced Defense Systems — Protected Vehicles: SAMSON Remote Weapon Station Family
Rafael Advanced Defense Systems — Protected Vehicles: TopLite EOS Family
Rafael Advanced Defense Systems — Marine/Naval: Naval SPIKE NLOS
Rafael Advanced Defense Systems — Marine/Naval: TYPHOON Remote Weapon Station
Rafael Advanced Defense Systems — Missiles: C-DOME Naval Air Defense
Rafael Advanced Defense Systems — Missiles: SkyCeptor
Rafael Advanced Defense Systems — Missiles: Stunner</x:v>
      </x:c>
    </x:row>
    <x:row r="1010">
      <x:c r="A1010" s="30" t="str">
        <x:v>https://www.rafael.co.il/wp-content/uploads/2024/03/TYPHOON-Mk-30c-BROCHURE-2024.pdf</x:v>
      </x:c>
      <x:c r="B1010" s="30" t="str">
        <x:v>Rafael Advanced Defense Systems</x:v>
      </x:c>
      <x:c r="C1010" s="30" t="str">
        <x:v>B6</x:v>
      </x:c>
      <x:c r="D1010" s="30" t="str">
        <x:v>Rafael Advanced Defense Systems — Marine/Naval: TYPHOON Mk 30-c</x:v>
      </x:c>
    </x:row>
    <x:row r="1011">
      <x:c r="A1011" s="30" t="str">
        <x:v>https://www.rafael.co.il/wp-content/uploads/2024/03/toplite-eos-family-of-targeting-systems.pdf</x:v>
      </x:c>
      <x:c r="B1011" s="30" t="str">
        <x:v>Rafael Advanced Defense Systems</x:v>
      </x:c>
      <x:c r="C1011" s="30" t="str">
        <x:v>B6</x:v>
      </x:c>
      <x:c r="D1011" s="30" t="str">
        <x:v>Rafael Advanced Defense Systems — Protected Vehicles: REA Reactive Defense System
Rafael Advanced Defense Systems — Protected Vehicles: SAMSON Remote Weapon Station Family
Rafael Advanced Defense Systems — Protected Vehicles: TopLite EOS Family
Rafael Advanced Defense Systems — appendix: TROPHY / Windbreaker</x:v>
      </x:c>
    </x:row>
    <x:row r="1012">
      <x:c r="A1012" s="30" t="str">
        <x:v>https://www.rafael.co.il/wp-content/uploads/2024/04/IRON-Dome_Brochure_new-2023b.pdf</x:v>
      </x:c>
      <x:c r="B1012" s="30" t="str">
        <x:v>Rafael Advanced Defense Systems</x:v>
      </x:c>
      <x:c r="C1012" s="30" t="str">
        <x:v>B6</x:v>
      </x:c>
      <x:c r="D1012" s="30" t="str">
        <x:v>Rafael Advanced Defense Systems — Missiles: C-DOME Naval Air Defense
Rafael Advanced Defense Systems — Missiles: Iron Dome</x:v>
      </x:c>
    </x:row>
    <x:row r="1013">
      <x:c r="A1013" s="30" t="str">
        <x:v>https://www.rafael.co.il/wp-content/uploads/2024/05/RAFAELs-Ethical-Code.pdf</x:v>
      </x:c>
      <x:c r="B1013" s="30" t="str">
        <x:v>Rafael Advanced Defense Systems</x:v>
      </x:c>
      <x:c r="C1013" s="30" t="str">
        <x:v>B6</x:v>
      </x:c>
      <x:c r="D1013" s="30" t="str">
        <x:v>Rafael Advanced Defense Systems — company details</x:v>
      </x:c>
    </x:row>
    <x:row r="1014">
      <x:c r="A1014" s="30" t="str">
        <x:v>https://www.rafael.co.il/wp-content/uploads/2024/06/L-SPIKE-Brochure.pdf</x:v>
      </x:c>
      <x:c r="B1014" s="30" t="str">
        <x:v>Rafael Advanced Defense Systems</x:v>
      </x:c>
      <x:c r="C1014" s="30" t="str">
        <x:v>B6</x:v>
      </x:c>
      <x:c r="D1014" s="30" t="str">
        <x:v>Rafael Advanced Defense Systems — Missiles: L-SPIKE
Rafael Advanced Defense Systems — Missiles: SPIKE FireFly</x:v>
      </x:c>
    </x:row>
    <x:row r="1015">
      <x:c r="A1015" s="30" t="str">
        <x:v>https://www.rafael.co.il/wp-content/uploads/2024/09/spyder-all-in-one-mobile-air-defense-system.pdf</x:v>
      </x:c>
      <x:c r="B1015" s="30" t="str">
        <x:v>Rafael Advanced Defense Systems</x:v>
      </x:c>
      <x:c r="C1015" s="30" t="str">
        <x:v>B6</x:v>
      </x:c>
      <x:c r="D1015" s="30" t="str">
        <x:v>Rafael Advanced Defense Systems — Protected Vehicles: SAMSON Remote Weapon Station Family
Rafael Advanced Defense Systems — Protected Vehicles: TopLite EOS Family
Rafael Advanced Defense Systems — Missiles: C-DOME Naval Air Defense
Rafael Advanced Defense Systems — Missiles: I-DERBY
Rafael Advanced Defense Systems — Missiles: I-DERBY ER
Rafael Advanced Defense Systems — Missiles: Python-5
Rafael Advanced Defense Systems — Missiles: Sea Breaker
Rafael Advanced Defense Systems — Missiles: SkyCeptor
Rafael Advanced Defense Systems — Missiles: SPIKE ER2
Rafael Advanced Defense Systems — Missiles: SPIKE FireFly
Rafael Advanced Defense Systems — Missiles: SPIKE LR2
Rafael Advanced Defense Systems — Missiles: SPIKE NLOS</x:v>
      </x:c>
    </x:row>
    <x:row r="1016">
      <x:c r="A1016" s="30" t="str">
        <x:v>https://www.rafael.co.il/wp-content/uploads/2024/10/TROPHY.pdf</x:v>
      </x:c>
      <x:c r="B1016" s="30" t="str">
        <x:v>Rafael Advanced Defense Systems</x:v>
      </x:c>
      <x:c r="C1016" s="30" t="str">
        <x:v>B6</x:v>
      </x:c>
      <x:c r="D1016" s="30" t="str">
        <x:v>Rafael Advanced Defense Systems — appendix: TROPHY / Windbreaker</x:v>
      </x:c>
    </x:row>
    <x:row r="1017">
      <x:c r="A1017" s="30" t="str">
        <x:v>https://www.rafael.co.il/wp-content/uploads/2024/11/sea-breaker-naval-and-land-weapon-system.pdf</x:v>
      </x:c>
      <x:c r="B1017" s="30" t="str">
        <x:v>Rafael Advanced Defense Systems</x:v>
      </x:c>
      <x:c r="C1017" s="30" t="str">
        <x:v>B6</x:v>
      </x:c>
      <x:c r="D1017" s="30" t="str">
        <x:v>Rafael Advanced Defense Systems — Protected Vehicles: SAMSON Remote Weapon Station Family
Rafael Advanced Defense Systems — Protected Vehicles: TopLite EOS Family
Rafael Advanced Defense Systems — Missiles: C-DOME Naval Air Defense
Rafael Advanced Defense Systems — Missiles: I-DERBY
Rafael Advanced Defense Systems — Missiles: I-DERBY ER
Rafael Advanced Defense Systems — Missiles: Python-5
Rafael Advanced Defense Systems — Missiles: Sea Breaker
Rafael Advanced Defense Systems — Missiles: SkyCeptor
Rafael Advanced Defense Systems — Missiles: SPIKE ER2
Rafael Advanced Defense Systems — Missiles: SPIKE FireFly
Rafael Advanced Defense Systems — Missiles: SPIKE LR2
Rafael Advanced Defense Systems — Missiles: SPIKE NLOS</x:v>
      </x:c>
    </x:row>
    <x:row r="1018">
      <x:c r="A1018" s="30" t="str">
        <x:v>https://www.rafael.co.il/wp-content/uploads/2025/02/Refael_ENGLISH100225MINA_All_compressed.pdf</x:v>
      </x:c>
      <x:c r="B1018" s="30" t="str">
        <x:v>Rafael Advanced Defense Systems</x:v>
      </x:c>
      <x:c r="C1018" s="30" t="str">
        <x:v>B6</x:v>
      </x:c>
      <x:c r="D1018" s="30" t="str">
        <x:v>Rafael Advanced Defense Systems — Protected Vehicles: REA Reactive Defense System
Rafael Advanced Defense Systems — Protected Vehicles: SAMSON Remote Weapon Station Family
Rafael Advanced Defense Systems — Protected Vehicles: TopLite EOS Family
Rafael Advanced Defense Systems — appendix: TROPHY / Windbreaker</x:v>
      </x:c>
    </x:row>
    <x:row r="1019">
      <x:c r="A1019" s="30" t="str">
        <x:v>https://www.rafael.co.il/wp-content/uploads/2025/02/Refael_ENGLISH120225MINA_All_compressed.pdf</x:v>
      </x:c>
      <x:c r="B1019" s="30" t="str">
        <x:v>Rafael Advanced Defense Systems</x:v>
      </x:c>
      <x:c r="C1019" s="30" t="str">
        <x:v>B6</x:v>
      </x:c>
      <x:c r="D1019" s="30" t="str">
        <x:v>Rafael Advanced Defense Systems — Protected Vehicles: SAMSON Remote Weapon Station Family
Rafael Advanced Defense Systems — Protected Vehicles: TopLite EOS Family
Rafael Advanced Defense Systems — Missiles: C-DOME Naval Air Defense
Rafael Advanced Defense Systems — Missiles: I-DERBY
Rafael Advanced Defense Systems — Missiles: I-DERBY ER
Rafael Advanced Defense Systems — Missiles: Python-5
Rafael Advanced Defense Systems — Missiles: Sea Breaker
Rafael Advanced Defense Systems — Missiles: SkyCeptor
Rafael Advanced Defense Systems — Missiles: SPIKE ER2
Rafael Advanced Defense Systems — Missiles: SPIKE FireFly
Rafael Advanced Defense Systems — Missiles: SPIKE LR2
Rafael Advanced Defense Systems — Missiles: SPIKE NLOS</x:v>
      </x:c>
    </x:row>
    <x:row r="1020">
      <x:c r="A1020" s="30" t="str">
        <x:v>https://www.rafael.co.il/wp-content/uploads/2026/02/Refael_ESG2024_ENG_170226digital.pdf</x:v>
      </x:c>
      <x:c r="B1020" s="30" t="str">
        <x:v>Rafael Advanced Defense Systems</x:v>
      </x:c>
      <x:c r="C1020" s="30" t="str">
        <x:v>B6</x:v>
      </x:c>
      <x:c r="D1020" s="30" t="str">
        <x:v>Rafael Advanced Defense Systems — Marine/Naval: Naval SPIKE NLOS
Rafael Advanced Defense Systems — Marine/Naval: TYPHOON Remote Weapon Station
Rafael Advanced Defense Systems — Missiles: C-DOME Naval Air Defense
Rafael Advanced Defense Systems — Missiles: David's Sling
Rafael Advanced Defense Systems — Missiles: I-DERBY
Rafael Advanced Defense Systems — Missiles: I-DERBY ER
Rafael Advanced Defense Systems — Missiles: IRON BEAM
Rafael Advanced Defense Systems — Missiles: Iron Dome
Rafael Advanced Defense Systems — Missiles: Python-5
Rafael Advanced Defense Systems — Missiles: Sea Breaker
Rafael Advanced Defense Systems — Missiles: SPIKE ER2
Rafael Advanced Defense Systems — Missiles: SPIKE FireFly</x:v>
      </x:c>
    </x:row>
    <x:row r="1021">
      <x:c r="A1021" s="30" t="str">
        <x:v>https://www.researchbank.co.uk/China-North-Industries-Group-Company-Profile.html</x:v>
      </x:c>
      <x:c r="B1021" s="30" t="str">
        <x:v>NORINCO</x:v>
      </x:c>
      <x:c r="C1021" s="30" t="str">
        <x:v>B2</x:v>
      </x:c>
      <x:c r="D1021" s="30" t="str">
        <x:v>NORINCO — company details</x:v>
      </x:c>
    </x:row>
    <x:row r="1022">
      <x:c r="A1022" s="30" t="str">
        <x:v>https://www.reuters.com/business/aerospace-defense/defense-tech-company-anduril-talks-raise-funding-about-100-billion-valuation-2026-07-24/</x:v>
      </x:c>
      <x:c r="B1022" s="30" t="str">
        <x:v>Anduril</x:v>
      </x:c>
      <x:c r="C1022" s="30" t="str">
        <x:v>B9</x:v>
      </x:c>
      <x:c r="D1022" s="30" t="str">
        <x:v>Anduril — company details</x:v>
      </x:c>
    </x:row>
    <x:row r="1023">
      <x:c r="A1023" s="30" t="str">
        <x:v>https://www.reuters.com/business/aerospace-defense/diehl-defence-says-new-version-iris-t-system-could-reduce-need-patriot-missiles-2026-07-07/</x:v>
      </x:c>
      <x:c r="B1023" s="30" t="str">
        <x:v>Diehl Defence</x:v>
      </x:c>
      <x:c r="C1023" s="30" t="str">
        <x:v>B9</x:v>
      </x:c>
      <x:c r="D1023" s="30" t="str">
        <x:v>Diehl Defence — Missiles: IRIS-T SLX</x:v>
      </x:c>
    </x:row>
    <x:row r="1024">
      <x:c r="A1024" s="30" t="str">
        <x:v>https://www.reuters.com/world/india/lt-says-unit-that-houses-drones-see-threefold-revenue-growth-over-five-years-2026-08-07/</x:v>
      </x:c>
      <x:c r="B1024" s="30" t="str">
        <x:v>Larsen &amp; Toubro (L&amp;T)</x:v>
      </x:c>
      <x:c r="C1024" s="30" t="str">
        <x:v>B3</x:v>
      </x:c>
      <x:c r="D1024" s="30" t="str">
        <x:v>Larsen &amp; Toubro (L&amp;T) — UAVs/Drones: L&amp;T TEER Aerial Target
Larsen &amp; Toubro (L&amp;T) — UAVs/Drones: L&amp;T TEER production programme
Larsen &amp; Toubro (L&amp;T) — UAVs/Drones: L&amp;T Vedh Mk-1 / Chanakya</x:v>
      </x:c>
    </x:row>
    <x:row r="1025">
      <x:c r="A1025" s="30" t="str">
        <x:v>https://www.reveliolabs.com/companies/adani-defence-systems/employees</x:v>
      </x:c>
      <x:c r="B1025" s="30" t="str">
        <x:v>Adani Defence</x:v>
      </x:c>
      <x:c r="C1025" s="30" t="str">
        <x:v>B10</x:v>
      </x:c>
      <x:c r="D1025" s="30" t="str">
        <x:v>Adani Defence — company details</x:v>
      </x:c>
    </x:row>
    <x:row r="1026">
      <x:c r="A1026" s="30" t="str">
        <x:v>https://www.reveliolabs.com/companies/anduril-industries/employees</x:v>
      </x:c>
      <x:c r="B1026" s="30" t="str">
        <x:v>Anduril</x:v>
      </x:c>
      <x:c r="C1026" s="30" t="str">
        <x:v>B9</x:v>
      </x:c>
      <x:c r="D1026" s="30" t="str">
        <x:v>Anduril — company details</x:v>
      </x:c>
    </x:row>
    <x:row r="1027">
      <x:c r="A1027" s="30" t="str">
        <x:v>https://www.reveliolabs.com/companies/premier-explosives/employees</x:v>
      </x:c>
      <x:c r="B1027" s="30" t="str">
        <x:v>Premier Explosives</x:v>
      </x:c>
      <x:c r="C1027" s="30" t="str">
        <x:v>B10</x:v>
      </x:c>
      <x:c r="D1027" s="30" t="str">
        <x:v>Premier Explosives — company details</x:v>
      </x:c>
    </x:row>
    <x:row r="1028">
      <x:c r="A1028" s="30" t="str">
        <x:v>https://www.reveliolabs.com/companies/uvision-air/employees</x:v>
      </x:c>
      <x:c r="B1028" s="30" t="str">
        <x:v>UVision Air</x:v>
      </x:c>
      <x:c r="C1028" s="30" t="str">
        <x:v>B10</x:v>
      </x:c>
      <x:c r="D1028" s="30" t="str">
        <x:v>UVision Air — company details</x:v>
      </x:c>
    </x:row>
    <x:row r="1029">
      <x:c r="A1029" s="30" t="str">
        <x:v>https://www.rheinmetall.com/Rheinmetall%20Group/Investor%20Relations/Ver%C3%B6ffentlichungen/Pr%C3%A4sentationen%20und%20Berichte/2026/GB/Rheinmetall-Annual-Report-2025.pdf</x:v>
      </x:c>
      <x:c r="B1029" s="30" t="str">
        <x:v>Rheinmetall</x:v>
      </x:c>
      <x:c r="C1029" s="30" t="str">
        <x:v>B2</x:v>
      </x:c>
      <x:c r="D1029" s="30" t="str">
        <x:v>Rheinmetall — company details</x:v>
      </x:c>
    </x:row>
    <x:row r="1030">
      <x:c r="A1030" s="30" t="str">
        <x:v>https://www.rheinmetall.com/Rheinmetall%20Group/Presse/Informationsmaterial/Dimensions/Rheinmetall-magazine-Dimensions-2023-01.pdf</x:v>
      </x:c>
      <x:c r="B1030" s="30" t="str">
        <x:v>Rheinmetall</x:v>
      </x:c>
      <x:c r="C1030" s="30" t="str">
        <x:v>B2</x:v>
      </x:c>
      <x:c r="D1030" s="30" t="str">
        <x:v>Rheinmetall — Protected Vehicles: Survivor R</x:v>
      </x:c>
    </x:row>
    <x:row r="1031">
      <x:c r="A1031" s="30" t="str">
        <x:v>https://www.rheinmetall.com/Rheinmetall%20Group/brochure-download/Air-Defence/B036e0222-Oerlikon-Millennium-Gun-System.pdf</x:v>
      </x:c>
      <x:c r="B1031" s="30" t="str">
        <x:v>Rheinmetall</x:v>
      </x:c>
      <x:c r="C1031" s="30" t="str">
        <x:v>B2</x:v>
      </x:c>
      <x:c r="D1031" s="30" t="str">
        <x:v>Rheinmetall — Marine/Naval: Oerlikon Millennium Gun System</x:v>
      </x:c>
    </x:row>
    <x:row r="1032">
      <x:c r="A1032" s="30" t="str">
        <x:v>https://www.rheinmetall.com/Rheinmetall%20Group/brochure-download/Uncrewed-Systems/B312e0424-HERO-loitering-munitions.pdf</x:v>
      </x:c>
      <x:c r="B1032" s="30" t="str">
        <x:v>UVision Air</x:v>
      </x:c>
      <x:c r="C1032" s="30" t="str">
        <x:v>B10</x:v>
      </x:c>
      <x:c r="D1032" s="30" t="str">
        <x:v>UVision Air — UAVs/Drones: HERO 120
UVision Air — UAVs/Drones: HERO 1250
UVision Air — UAVs/Drones: HERO 400 / HERO 400EC
UVision Air — UAVs/Drones: HERO 900</x:v>
      </x:c>
    </x:row>
    <x:row r="1033">
      <x:c r="A1033" s="30" t="str">
        <x:v>https://www.rheinmetall.com/Rheinmetall%20Group/brochure-download/Vehicle-Systems/B260e0518-LYNX-KF41.pdf</x:v>
      </x:c>
      <x:c r="B1033" s="30" t="str">
        <x:v>Rheinmetall</x:v>
      </x:c>
      <x:c r="C1033" s="30" t="str">
        <x:v>B2</x:v>
      </x:c>
      <x:c r="D1033" s="30" t="str">
        <x:v>Rheinmetall — Protected Vehicles: Lynx KF41 Infantry Fighting Vehicle</x:v>
      </x:c>
    </x:row>
    <x:row r="1034">
      <x:c r="A1034" s="30" t="str">
        <x:v>https://www.rheinmetall.com/Rheinmetall%20Group/brochure-download/Weapon-Ammmunition/B171e0721-155mm-Assegai-projectile-family-RDM.pdf</x:v>
      </x:c>
      <x:c r="B1034" s="30" t="str">
        <x:v>Rheinmetall</x:v>
      </x:c>
      <x:c r="C1034" s="30" t="str">
        <x:v>B2</x:v>
      </x:c>
      <x:c r="D1034" s="30" t="str">
        <x:v>Rheinmetall — Ammunition: Assegai 155 mm Projectile Family</x:v>
      </x:c>
    </x:row>
    <x:row r="1035">
      <x:c r="A1035" s="30" t="str">
        <x:v>https://www.rheinmetall.com/en/company/about-rheinmetall</x:v>
      </x:c>
      <x:c r="B1035" s="30" t="str">
        <x:v>Rheinmetall</x:v>
      </x:c>
      <x:c r="C1035" s="30" t="str">
        <x:v>B2</x:v>
      </x:c>
      <x:c r="D1035" s="30" t="str">
        <x:v>Rheinmetall — company details</x:v>
      </x:c>
    </x:row>
    <x:row r="1036">
      <x:c r="A1036" s="30" t="str">
        <x:v>https://www.rheinmetall.com/en/company/divisions/weapon-and-ammunition</x:v>
      </x:c>
      <x:c r="B1036" s="30" t="str">
        <x:v>Rheinmetall</x:v>
      </x:c>
      <x:c r="C1036" s="30" t="str">
        <x:v>B2</x:v>
      </x:c>
      <x:c r="D1036" s="30" t="str">
        <x:v>Rheinmetall — company details</x:v>
      </x:c>
    </x:row>
    <x:row r="1037">
      <x:c r="A1037" s="30" t="str">
        <x:v>https://www.rheinmetall.com/en/company/locations-worldwide</x:v>
      </x:c>
      <x:c r="B1037" s="30" t="str">
        <x:v>Rheinmetall</x:v>
      </x:c>
      <x:c r="C1037" s="30" t="str">
        <x:v>B2</x:v>
      </x:c>
      <x:c r="D1037" s="30" t="str">
        <x:v>Rheinmetall — company details</x:v>
      </x:c>
    </x:row>
    <x:row r="1038">
      <x:c r="A1038" s="30" t="str">
        <x:v>https://www.rheinmetall.com/en/company/management</x:v>
      </x:c>
      <x:c r="B1038" s="30" t="str">
        <x:v>Rheinmetall</x:v>
      </x:c>
      <x:c r="C1038" s="30" t="str">
        <x:v>B2</x:v>
      </x:c>
      <x:c r="D1038" s="30" t="str">
        <x:v>Rheinmetall — company details</x:v>
      </x:c>
    </x:row>
    <x:row r="1039">
      <x:c r="A1039" s="30" t="str">
        <x:v>https://www.rheinmetall.com/en/company/management/supervisory-board/representative-supervisory-board</x:v>
      </x:c>
      <x:c r="B1039" s="30" t="str">
        <x:v>Rheinmetall</x:v>
      </x:c>
      <x:c r="C1039" s="30" t="str">
        <x:v>B2</x:v>
      </x:c>
      <x:c r="D1039" s="30" t="str">
        <x:v>Rheinmetall — company details</x:v>
      </x:c>
    </x:row>
    <x:row r="1040">
      <x:c r="A1040" s="30" t="str">
        <x:v>https://www.rheinmetall.com/en/media/news-watch/news/2025/06/2025-06-18-strategic-partnership</x:v>
      </x:c>
      <x:c r="B1040" s="30" t="str">
        <x:v>Rheinmetall</x:v>
      </x:c>
      <x:c r="C1040" s="30" t="str">
        <x:v>B2</x:v>
      </x:c>
      <x:c r="D1040" s="30" t="str">
        <x:v>Rheinmetall — appendix: Barracuda 500M Cruise Missile</x:v>
      </x:c>
    </x:row>
    <x:row r="1041">
      <x:c r="A1041" s="30" t="str">
        <x:v>https://www.rheinmetall.com/en/media/news-watch/news/2025/10/2025-10-10-rheinmetall-skyranger-35-ukraine</x:v>
      </x:c>
      <x:c r="B1041" s="30" t="str">
        <x:v>Rheinmetall</x:v>
      </x:c>
      <x:c r="C1041" s="30" t="str">
        <x:v>B2</x:v>
      </x:c>
      <x:c r="D1041" s="30" t="str">
        <x:v>Rheinmetall — Artillery: Skyranger 35 Mobile Air Defence System</x:v>
      </x:c>
    </x:row>
    <x:row r="1042">
      <x:c r="A1042" s="30" t="str">
        <x:v>https://www.rheinmetall.com/en/media/news-watch/news/2026/02/2026-02-19-successful-testing-of-the-fv-014-loitering-munition</x:v>
      </x:c>
      <x:c r="B1042" s="30" t="str">
        <x:v>Rheinmetall</x:v>
      </x:c>
      <x:c r="C1042" s="30" t="str">
        <x:v>B2</x:v>
      </x:c>
      <x:c r="D1042" s="30" t="str">
        <x:v>Rheinmetall — UAVs/Drones: FV-014 Loitering Munition</x:v>
      </x:c>
    </x:row>
    <x:row r="1043">
      <x:c r="A1043" s="30" t="str">
        <x:v>https://www.rheinmetall.com/en/media/news-watch/news/2026/03/2026-03-11-rheinmetall-presents-annual-report-for-2025</x:v>
      </x:c>
      <x:c r="B1043" s="30" t="str">
        <x:v>Rheinmetall</x:v>
      </x:c>
      <x:c r="C1043" s="30" t="str">
        <x:v>B2</x:v>
      </x:c>
      <x:c r="D1043" s="30" t="str">
        <x:v>Rheinmetall — company details</x:v>
      </x:c>
    </x:row>
    <x:row r="1044">
      <x:c r="A1044" s="30" t="str">
        <x:v>https://www.rheinmetall.com/en/media/news-watch/news/2026/06/2026-06-10-rheinmetall-at-ila-the-luna-ng-reconnaissance-drone-sets-new-standards</x:v>
      </x:c>
      <x:c r="B1044" s="30" t="str">
        <x:v>Rheinmetall</x:v>
      </x:c>
      <x:c r="C1044" s="30" t="str">
        <x:v>B2</x:v>
      </x:c>
      <x:c r="D1044" s="30" t="str">
        <x:v>Rheinmetall — UAVs/Drones: LUNA NG</x:v>
      </x:c>
    </x:row>
    <x:row r="1045">
      <x:c r="A1045" s="30" t="str">
        <x:v>https://www.rheinmetall.com/en/media/news-watch/news/2026/06/2026-06-10-rheinmetall-showcases-its-cutting-edge-skyranger-air-defence-system-at-ila-2026?sType=Spane4all</x:v>
      </x:c>
      <x:c r="B1045" s="30" t="str">
        <x:v>Rheinmetall</x:v>
      </x:c>
      <x:c r="C1045" s="30" t="str">
        <x:v>B2</x:v>
      </x:c>
      <x:c r="D1045" s="30" t="str">
        <x:v>Rheinmetall — Artillery: Skyranger 30 Mobile Air Defence System</x:v>
      </x:c>
    </x:row>
    <x:row r="1046">
      <x:c r="A1046" s="30" t="str">
        <x:v>https://www.rheinmetall.com/en/media/news-watch/news/2026/06/2026-06-15-rheinmetall-at-eurosatory-fuchs-jagm-next-generation-missile-tank-destroyer</x:v>
      </x:c>
      <x:c r="B1046" s="30" t="str">
        <x:v>Rheinmetall</x:v>
      </x:c>
      <x:c r="C1046" s="30" t="str">
        <x:v>B2</x:v>
      </x:c>
      <x:c r="D1046" s="30" t="str">
        <x:v>Rheinmetall — Protected Vehicles: Fuchs JAGM</x:v>
      </x:c>
    </x:row>
    <x:row r="1047">
      <x:c r="A1047" s="30" t="str">
        <x:v>https://www.rheinmetall.com/en/media/news-watch/news/2026/06/2026-06-24-romania-orders-skyranger-35-air-defence-systems-from-rheinmetall</x:v>
      </x:c>
      <x:c r="B1047" s="30" t="str">
        <x:v>Rheinmetall</x:v>
      </x:c>
      <x:c r="C1047" s="30" t="str">
        <x:v>B2</x:v>
      </x:c>
      <x:c r="D1047" s="30" t="str">
        <x:v>Rheinmetall — Artillery: Skyranger 35 Mobile Air Defence System</x:v>
      </x:c>
    </x:row>
    <x:row r="1048">
      <x:c r="A1048" s="30" t="str">
        <x:v>https://www.rheinmetall.com/en/products/tracked-armoured-vehicles/lynx-infantry-fighting-vehicle</x:v>
      </x:c>
      <x:c r="B1048" s="30" t="str">
        <x:v>Rheinmetall</x:v>
      </x:c>
      <x:c r="C1048" s="30" t="str">
        <x:v>B2</x:v>
      </x:c>
      <x:c r="D1048" s="30" t="str">
        <x:v>Rheinmetall — Protected Vehicles: Lynx KF41 Infantry Fighting Vehicle</x:v>
      </x:c>
    </x:row>
    <x:row r="1049">
      <x:c r="A1049" s="30" t="str">
        <x:v>https://www.rheinmetall.com/en/products/tracked-armoured-vehicles/panther-kf51-main-battle-tank</x:v>
      </x:c>
      <x:c r="B1049" s="30" t="str">
        <x:v>Rheinmetall</x:v>
      </x:c>
      <x:c r="C1049" s="30" t="str">
        <x:v>B2</x:v>
      </x:c>
      <x:c r="D1049" s="30" t="str">
        <x:v>Rheinmetall — Protected Vehicles: Panther KF51</x:v>
      </x:c>
    </x:row>
    <x:row r="1050">
      <x:c r="A1050" s="30" t="str">
        <x:v>https://www.rheinmetall.com/en/products/weapons-and-ammunition</x:v>
      </x:c>
      <x:c r="B1050" s="30" t="str">
        <x:v>Rheinmetall</x:v>
      </x:c>
      <x:c r="C1050" s="30" t="str">
        <x:v>B2</x:v>
      </x:c>
      <x:c r="D1050" s="30" t="str">
        <x:v>Rheinmetall — Artillery: HX3 10×10 Wheeled Self-Propelled Howitzer</x:v>
      </x:c>
    </x:row>
    <x:row r="1051">
      <x:c r="A1051" s="30" t="str">
        <x:v>https://www.rheinmetall.com/en/products/weapons-and-ammunition/loitering-munition/loitering-munition-system-fv-014</x:v>
      </x:c>
      <x:c r="B1051" s="30" t="str">
        <x:v>Rheinmetall</x:v>
      </x:c>
      <x:c r="C1051" s="30" t="str">
        <x:v>B2</x:v>
      </x:c>
      <x:c r="D1051" s="30" t="str">
        <x:v>Rheinmetall — UAVs/Drones: FV-014 Loitering Munition</x:v>
      </x:c>
    </x:row>
    <x:row r="1052">
      <x:c r="A1052" s="30" t="str">
        <x:v>https://www.rheinmetall.com/en/products/weapons-and-ammunition/loitering-munition/loitering-munitions-hero</x:v>
      </x:c>
      <x:c r="B1052" s="30" t="str">
        <x:v>Rheinmetall, UVision Air</x:v>
      </x:c>
      <x:c r="C1052" s="30" t="str">
        <x:v>B2, B10</x:v>
      </x:c>
      <x:c r="D1052" s="30" t="str">
        <x:v>UVision Air — UAVs/Drones: HERO 120
UVision Air — UAVs/Drones: HERO 1250
UVision Air — UAVs/Drones: HERO 30
UVision Air — UAVs/Drones: HERO 400 / HERO 400EC
UVision Air — UAVs/Drones: HERO 900
Rheinmetall — appendix: HERO 120
Rheinmetall — appendix: HERO 1250
Rheinmetall — appendix: HERO 30
Rheinmetall — appendix: HERO 400
Rheinmetall — appendix: HERO 900</x:v>
      </x:c>
    </x:row>
    <x:row r="1053">
      <x:c r="A1053" s="30" t="str">
        <x:v>https://www.rheinmetall.com/en/products/weapons-and-ammunition/naval-weapon-systems</x:v>
      </x:c>
      <x:c r="B1053" s="30" t="str">
        <x:v>Rheinmetall</x:v>
      </x:c>
      <x:c r="C1053" s="30" t="str">
        <x:v>B2</x:v>
      </x:c>
      <x:c r="D1053" s="30" t="str">
        <x:v>Rheinmetall — Marine/Naval: Oerlikon Millennium Gun System</x:v>
      </x:c>
    </x:row>
    <x:row r="1054">
      <x:c r="A1054" s="30" t="str">
        <x:v>https://www.rheinmetall.com/en/products/wheeled-armoured-vehicles/fuchs-evolution</x:v>
      </x:c>
      <x:c r="B1054" s="30" t="str">
        <x:v>Rheinmetall</x:v>
      </x:c>
      <x:c r="C1054" s="30" t="str">
        <x:v>B2</x:v>
      </x:c>
      <x:c r="D1054" s="30" t="str">
        <x:v>Rheinmetall — Protected Vehicles: Fuchs Evolution</x:v>
      </x:c>
    </x:row>
    <x:row r="1055">
      <x:c r="A1055" s="30" t="str">
        <x:v>https://www.rheinmetall.com/en/products/wheeled-armoured-vehicles/survivor-r</x:v>
      </x:c>
      <x:c r="B1055" s="30" t="str">
        <x:v>Rheinmetall</x:v>
      </x:c>
      <x:c r="C1055" s="30" t="str">
        <x:v>B2</x:v>
      </x:c>
      <x:c r="D1055" s="30" t="str">
        <x:v>Rheinmetall — Protected Vehicles: Survivor R</x:v>
      </x:c>
    </x:row>
    <x:row r="1056">
      <x:c r="A1056" s="30" t="str">
        <x:v>https://www.rheinmetall.com/en/products/wheeled-armoured-vehicles/wheeled-self-propelled-howitzer</x:v>
      </x:c>
      <x:c r="B1056" s="30" t="str">
        <x:v>Rheinmetall</x:v>
      </x:c>
      <x:c r="C1056" s="30" t="str">
        <x:v>B2</x:v>
      </x:c>
      <x:c r="D1056" s="30" t="str">
        <x:v>Rheinmetall — Artillery: HX3 10×10 Wheeled Self-Propelled Howitzer</x:v>
      </x:c>
    </x:row>
    <x:row r="1057">
      <x:c r="A1057" s="30" t="str">
        <x:v>https://www.rsaf.gov.sg/rsaf-forces/aircraft/</x:v>
      </x:c>
      <x:c r="B1057" s="30" t="str">
        <x:v>Elbit Systems</x:v>
      </x:c>
      <x:c r="C1057" s="30" t="str">
        <x:v>B2</x:v>
      </x:c>
      <x:c r="D1057" s="30" t="str">
        <x:v>Elbit Systems — UAVs/Drones: Hermes 900</x:v>
      </x:c>
    </x:row>
    <x:row r="1058">
      <x:c r="A1058" s="30" t="str">
        <x:v>https://www.rtx.com/en/raytheon/what-we-do/sea/phalanx-close-in-weapon-system</x:v>
      </x:c>
      <x:c r="B1058" s="30" t="str">
        <x:v>RTX (Raytheon)</x:v>
      </x:c>
      <x:c r="C1058" s="30" t="str">
        <x:v>B8</x:v>
      </x:c>
      <x:c r="D1058" s="30" t="str">
        <x:v>RTX (Raytheon) — Marine/Naval: Phalanx CIWS Block 1B</x:v>
      </x:c>
    </x:row>
    <x:row r="1059">
      <x:c r="A1059" s="30" t="str">
        <x:v>https://www.rtx.com/locations</x:v>
      </x:c>
      <x:c r="B1059" s="30" t="str">
        <x:v>RTX (Raytheon)</x:v>
      </x:c>
      <x:c r="C1059" s="30" t="str">
        <x:v>B8</x:v>
      </x:c>
      <x:c r="D1059" s="30" t="str">
        <x:v>RTX (Raytheon) — company details</x:v>
      </x:c>
    </x:row>
    <x:row r="1060">
      <x:c r="A1060" s="30" t="str">
        <x:v>https://www.rtx.com/news/news-center/2025/09/08/rtxs-raytheon-awarded-205-million-contract-for-continued-production-of-the-phal</x:v>
      </x:c>
      <x:c r="B1060" s="30" t="str">
        <x:v>RTX (Raytheon)</x:v>
      </x:c>
      <x:c r="C1060" s="30" t="str">
        <x:v>B8</x:v>
      </x:c>
      <x:c r="D1060" s="30" t="str">
        <x:v>RTX (Raytheon) — Marine/Naval: Phalanx CIWS Block 1B</x:v>
      </x:c>
    </x:row>
    <x:row r="1061">
      <x:c r="A1061" s="30" t="str">
        <x:v>https://www.rtx.com/news/news-center/2025/09/16/rtxs-raytheon-achieves-longest-known-amraam-shot</x:v>
      </x:c>
      <x:c r="B1061" s="30" t="str">
        <x:v>RTX (Raytheon)</x:v>
      </x:c>
      <x:c r="C1061" s="30" t="str">
        <x:v>B8</x:v>
      </x:c>
      <x:c r="D1061" s="30" t="str">
        <x:v>RTX (Raytheon) — Missiles: AIM-120D-3 AMRAAM (F3R)</x:v>
      </x:c>
    </x:row>
    <x:row r="1062">
      <x:c r="A1062" s="30" t="str">
        <x:v>https://www.rtx.com/news/news-center/2026/02/04/rtxs-raytheon-partners-with-department-of-war-on-five-landmark-agreements-to-exp</x:v>
      </x:c>
      <x:c r="B1062" s="30" t="str">
        <x:v>RTX (Raytheon)</x:v>
      </x:c>
      <x:c r="C1062" s="30" t="str">
        <x:v>B8</x:v>
      </x:c>
      <x:c r="D1062" s="30" t="str">
        <x:v>RTX (Raytheon) — Missiles: SM-3 Block IB
RTX (Raytheon) — Missiles: SM-3 Block IIA
RTX (Raytheon) — Missiles: Tomahawk Block V / Va / Vb</x:v>
      </x:c>
    </x:row>
    <x:row r="1063">
      <x:c r="A1063" s="30" t="str">
        <x:v>https://www.rtx.com/news/news-center/2026/02/11/rtxs-raytheons-non-kinetic-coyote-variant-defeats-multiple-drone-swarms</x:v>
      </x:c>
      <x:c r="B1063" s="30" t="str">
        <x:v>RTX (Raytheon)</x:v>
      </x:c>
      <x:c r="C1063" s="30" t="str">
        <x:v>B8</x:v>
      </x:c>
      <x:c r="D1063" s="30" t="str">
        <x:v>RTX (Raytheon) — UAVs/Drones: Coyote Block 3NK</x:v>
      </x:c>
    </x:row>
    <x:row r="1064">
      <x:c r="A1064" s="30" t="str">
        <x:v>https://www.rtx.com/news/news-center/2026/06/26/rtxs-raytheon-awarded-1-1-billion-u-s-navy-contract-to-produce-aim-9x-block-ii-3</x:v>
      </x:c>
      <x:c r="B1064" s="30" t="str">
        <x:v>RTX (Raytheon)</x:v>
      </x:c>
      <x:c r="C1064" s="30" t="str">
        <x:v>B8</x:v>
      </x:c>
      <x:c r="D1064" s="30" t="str">
        <x:v>RTX (Raytheon) — Missiles: AIM-9X Sidewinder Block II</x:v>
      </x:c>
    </x:row>
    <x:row r="1065">
      <x:c r="A1065" s="30" t="str">
        <x:v>https://www.rtx.com/raytheon/lang/ro/capabilities/products/counter-uas/effectors/coyote</x:v>
      </x:c>
      <x:c r="B1065" s="30" t="str">
        <x:v>RTX (Raytheon)</x:v>
      </x:c>
      <x:c r="C1065" s="30" t="str">
        <x:v>B8</x:v>
      </x:c>
      <x:c r="D1065" s="30" t="str">
        <x:v>RTX (Raytheon) — UAVs/Drones: Coyote UAS</x:v>
      </x:c>
    </x:row>
    <x:row r="1066">
      <x:c r="A1066" s="30" t="str">
        <x:v>https://www.rtx.com/raytheon/what-we-do/air</x:v>
      </x:c>
      <x:c r="B1066" s="30" t="str">
        <x:v>RTX (Raytheon)</x:v>
      </x:c>
      <x:c r="C1066" s="30" t="str">
        <x:v>B8</x:v>
      </x:c>
      <x:c r="D1066" s="30" t="str">
        <x:v>RTX (Raytheon) — Missiles: StormBreaker Smart Weapon</x:v>
      </x:c>
    </x:row>
    <x:row r="1067">
      <x:c r="A1067" s="30" t="str">
        <x:v>https://www.rtx.com/raytheon/what-we-do/air/air-to-air-missiles/air-to-air-missiles</x:v>
      </x:c>
      <x:c r="B1067" s="30" t="str">
        <x:v>RTX (Raytheon)</x:v>
      </x:c>
      <x:c r="C1067" s="30" t="str">
        <x:v>B8</x:v>
      </x:c>
      <x:c r="D1067" s="30" t="str">
        <x:v>RTX (Raytheon) — Missiles: AIM-9X Sidewinder Block II</x:v>
      </x:c>
    </x:row>
    <x:row r="1068">
      <x:c r="A1068" s="30" t="str">
        <x:v>https://www.rtx.com/raytheon/what-we-do/air/amraam-missile</x:v>
      </x:c>
      <x:c r="B1068" s="30" t="str">
        <x:v>RTX (Raytheon)</x:v>
      </x:c>
      <x:c r="C1068" s="30" t="str">
        <x:v>B8</x:v>
      </x:c>
      <x:c r="D1068" s="30" t="str">
        <x:v>RTX (Raytheon) — Missiles: AIM-120D-3 AMRAAM (F3R)
RTX (Raytheon) — Missiles: AMRAAM AIM-120
RTX (Raytheon) — Missiles: AMRAAM-ER</x:v>
      </x:c>
    </x:row>
    <x:row r="1069">
      <x:c r="A1069" s="30" t="str">
        <x:v>https://www.rtx.com/raytheon/what-we-do/air/stormbreaker-smart-weapon</x:v>
      </x:c>
      <x:c r="B1069" s="30" t="str">
        <x:v>RTX (Raytheon)</x:v>
      </x:c>
      <x:c r="C1069" s="30" t="str">
        <x:v>B8</x:v>
      </x:c>
      <x:c r="D1069" s="30" t="str">
        <x:v>RTX (Raytheon) — Missiles: StormBreaker Smart Weapon</x:v>
      </x:c>
    </x:row>
    <x:row r="1070">
      <x:c r="A1070" s="30" t="str">
        <x:v>https://www.rtx.com/raytheon/what-we-do/integrated-air-and-missile-defense/coyote</x:v>
      </x:c>
      <x:c r="B1070" s="30" t="str">
        <x:v>RTX (Raytheon)</x:v>
      </x:c>
      <x:c r="C1070" s="30" t="str">
        <x:v>B8</x:v>
      </x:c>
      <x:c r="D1070" s="30" t="str">
        <x:v>RTX (Raytheon) — UAVs/Drones: Coyote Block 3NK
RTX (Raytheon) — Missiles: Coyote Block 2 C-UAS</x:v>
      </x:c>
    </x:row>
    <x:row r="1071">
      <x:c r="A1071" s="30" t="str">
        <x:v>https://www.rtx.com/raytheon/what-we-do/integrated-air-and-missile-defense/coyote-launched-effects</x:v>
      </x:c>
      <x:c r="B1071" s="30" t="str">
        <x:v>RTX (Raytheon)</x:v>
      </x:c>
      <x:c r="C1071" s="30" t="str">
        <x:v>B8</x:v>
      </x:c>
      <x:c r="D1071" s="30" t="str">
        <x:v>RTX (Raytheon) — UAVs/Drones: Coyote LE MR
RTX (Raytheon) — UAVs/Drones: Coyote LE SR</x:v>
      </x:c>
    </x:row>
    <x:row r="1072">
      <x:c r="A1072" s="30" t="str">
        <x:v>https://www.rtx.com/raytheon/what-we-do/land/javelin</x:v>
      </x:c>
      <x:c r="B1072" s="30" t="str">
        <x:v>Tata Advanced Systems, RTX (Raytheon)</x:v>
      </x:c>
      <x:c r="C1072" s="30" t="str">
        <x:v>B3, B8</x:v>
      </x:c>
      <x:c r="D1072" s="30" t="str">
        <x:v>RTX (Raytheon) — Missiles: Javelin FGM-148 — Raytheon/Lockheed JV
Tata Advanced Systems — appendix: Javelin Anti-Tank Guided Missile — India Co-production Portfolio</x:v>
      </x:c>
    </x:row>
    <x:row r="1073">
      <x:c r="A1073" s="30" t="str">
        <x:v>https://www.rtx.com/raytheon/what-we-do/land/tow-weapon-system</x:v>
      </x:c>
      <x:c r="B1073" s="30" t="str">
        <x:v>RTX (Raytheon)</x:v>
      </x:c>
      <x:c r="C1073" s="30" t="str">
        <x:v>B8</x:v>
      </x:c>
      <x:c r="D1073" s="30" t="str">
        <x:v>RTX (Raytheon) — Missiles: TOW 2B / TOW 2A Family</x:v>
      </x:c>
    </x:row>
    <x:row r="1074">
      <x:c r="A1074" s="30" t="str">
        <x:v>https://www.rtx.com/raytheon/what-we-do/sea/ram-missile</x:v>
      </x:c>
      <x:c r="B1074" s="30" t="str">
        <x:v>RTX (Raytheon)</x:v>
      </x:c>
      <x:c r="C1074" s="30" t="str">
        <x:v>B8</x:v>
      </x:c>
      <x:c r="D1074" s="30" t="str">
        <x:v>RTX (Raytheon) — Missiles: RAM Rolling Airframe Missile</x:v>
      </x:c>
    </x:row>
    <x:row r="1075">
      <x:c r="A1075" s="30" t="str">
        <x:v>https://www.rtx.com/raytheon/what-we-do/sea/searam-ship-defense-system</x:v>
      </x:c>
      <x:c r="B1075" s="30" t="str">
        <x:v>RTX (Raytheon)</x:v>
      </x:c>
      <x:c r="C1075" s="30" t="str">
        <x:v>B8</x:v>
      </x:c>
      <x:c r="D1075" s="30" t="str">
        <x:v>RTX (Raytheon) — Marine/Naval: SeaRAM</x:v>
      </x:c>
    </x:row>
    <x:row r="1076">
      <x:c r="A1076" s="30" t="str">
        <x:v>https://www.rtx.com/raytheon/what-we-do/sea/sm-3-interceptor</x:v>
      </x:c>
      <x:c r="B1076" s="30" t="str">
        <x:v>RTX (Raytheon)</x:v>
      </x:c>
      <x:c r="C1076" s="30" t="str">
        <x:v>B8</x:v>
      </x:c>
      <x:c r="D1076" s="30" t="str">
        <x:v>RTX (Raytheon) — Missiles: SM-3 Block IB
RTX (Raytheon) — Missiles: SM-3 Block IIA</x:v>
      </x:c>
    </x:row>
    <x:row r="1077">
      <x:c r="A1077" s="30" t="str">
        <x:v>https://www.rtx.com/raytheon/what-we-do/sea/sm-6-missile</x:v>
      </x:c>
      <x:c r="B1077" s="30" t="str">
        <x:v>RTX (Raytheon)</x:v>
      </x:c>
      <x:c r="C1077" s="30" t="str">
        <x:v>B8</x:v>
      </x:c>
      <x:c r="D1077" s="30" t="str">
        <x:v>RTX (Raytheon) — Missiles: SM-6</x:v>
      </x:c>
    </x:row>
    <x:row r="1078">
      <x:c r="A1078" s="30" t="str">
        <x:v>https://www.rtx.com/raytheon/what-we-do/sea/standard-missile-2</x:v>
      </x:c>
      <x:c r="B1078" s="30" t="str">
        <x:v>RTX (Raytheon)</x:v>
      </x:c>
      <x:c r="C1078" s="30" t="str">
        <x:v>B8</x:v>
      </x:c>
      <x:c r="D1078" s="30" t="str">
        <x:v>RTX (Raytheon) — Missiles: SM-2 Standard Missile</x:v>
      </x:c>
    </x:row>
    <x:row r="1079">
      <x:c r="A1079" s="30" t="str">
        <x:v>https://www.rtx.com/raytheon/what-we-do/sea/tomahawk-cruise-missile</x:v>
      </x:c>
      <x:c r="B1079" s="30" t="str">
        <x:v>RTX (Raytheon)</x:v>
      </x:c>
      <x:c r="C1079" s="30" t="str">
        <x:v>B8</x:v>
      </x:c>
      <x:c r="D1079" s="30" t="str">
        <x:v>RTX (Raytheon) — Missiles: Tomahawk Block V / Va / Vb</x:v>
      </x:c>
    </x:row>
    <x:row r="1080">
      <x:c r="A1080" s="30" t="str">
        <x:v>https://www.rtx.com/who-we-are/our-leadership</x:v>
      </x:c>
      <x:c r="B1080" s="30" t="str">
        <x:v>RTX (Raytheon)</x:v>
      </x:c>
      <x:c r="C1080" s="30" t="str">
        <x:v>B8</x:v>
      </x:c>
      <x:c r="D1080" s="30" t="str">
        <x:v>RTX (Raytheon) — company details</x:v>
      </x:c>
    </x:row>
    <x:row r="1081">
      <x:c r="A1081" s="30" t="str">
        <x:v>https://www.saab.com/about/corporate-governance/board-of-directors</x:v>
      </x:c>
      <x:c r="B1081" s="30" t="str">
        <x:v>SAAB</x:v>
      </x:c>
      <x:c r="C1081" s="30" t="str">
        <x:v>B8</x:v>
      </x:c>
      <x:c r="D1081" s="30" t="str">
        <x:v>SAAB — company details</x:v>
      </x:c>
    </x:row>
    <x:row r="1082">
      <x:c r="A1082" s="30" t="str">
        <x:v>https://www.saab.com/about/locations</x:v>
      </x:c>
      <x:c r="B1082" s="30" t="str">
        <x:v>SAAB</x:v>
      </x:c>
      <x:c r="C1082" s="30" t="str">
        <x:v>B8</x:v>
      </x:c>
      <x:c r="D1082" s="30" t="str">
        <x:v>SAAB — company details</x:v>
      </x:c>
    </x:row>
    <x:row r="1083">
      <x:c r="A1083" s="30" t="str">
        <x:v>https://www.saab.com/investors/annual-report-2025</x:v>
      </x:c>
      <x:c r="B1083" s="30" t="str">
        <x:v>SAAB</x:v>
      </x:c>
      <x:c r="C1083" s="30" t="str">
        <x:v>B8</x:v>
      </x:c>
      <x:c r="D1083" s="30" t="str">
        <x:v>SAAB — company details</x:v>
      </x:c>
    </x:row>
    <x:row r="1084">
      <x:c r="A1084" s="30" t="str">
        <x:v>https://www.saab.com/newsroom/press-releases/2018/sea-trials-commence-of-upgraded-gotland-submarine</x:v>
      </x:c>
      <x:c r="B1084" s="30" t="str">
        <x:v>SAAB</x:v>
      </x:c>
      <x:c r="C1084" s="30" t="str">
        <x:v>B8</x:v>
      </x:c>
      <x:c r="D1084" s="30" t="str">
        <x:v>SAAB — Marine/Naval: Gotland-class Submarine MLU</x:v>
      </x:c>
    </x:row>
    <x:row r="1085">
      <x:c r="A1085" s="30" t="str">
        <x:v>https://www.saab.com/newsroom/press-releases/2026/saab-publishes-its-2025-annual-report</x:v>
      </x:c>
      <x:c r="B1085" s="30" t="str">
        <x:v>SAAB</x:v>
      </x:c>
      <x:c r="C1085" s="30" t="str">
        <x:v>B8</x:v>
      </x:c>
      <x:c r="D1085" s="30" t="str">
        <x:v>SAAB — company details</x:v>
      </x:c>
    </x:row>
    <x:row r="1086">
      <x:c r="A1086" s="30" t="str">
        <x:v>https://www.saab.com/newsroom/stories/2020/april/a-battleground-hero</x:v>
      </x:c>
      <x:c r="B1086" s="30" t="str">
        <x:v>SAAB</x:v>
      </x:c>
      <x:c r="C1086" s="30" t="str">
        <x:v>B8</x:v>
      </x:c>
      <x:c r="D1086" s="30" t="str">
        <x:v>SAAB — Ammunition: Carl-Gustaf HE 441D / 441D RS</x:v>
      </x:c>
    </x:row>
    <x:row r="1087">
      <x:c r="A1087" s="30" t="str">
        <x:v>https://www.saab.com/newsroom/stories/2022/june/keel-laying-ceremony-for-the-first-blekinge-class-submarine</x:v>
      </x:c>
      <x:c r="B1087" s="30" t="str">
        <x:v>SAAB</x:v>
      </x:c>
      <x:c r="C1087" s="30" t="str">
        <x:v>B8</x:v>
      </x:c>
      <x:c r="D1087" s="30" t="str">
        <x:v>SAAB — Marine/Naval: Blekinge-class / A26 Submarine</x:v>
      </x:c>
    </x:row>
    <x:row r="1088">
      <x:c r="A1088" s="30" t="str">
        <x:v>https://www.saab.com/products/at4</x:v>
      </x:c>
      <x:c r="B1088" s="30" t="str">
        <x:v>SAAB</x:v>
      </x:c>
      <x:c r="C1088" s="30" t="str">
        <x:v>B8</x:v>
      </x:c>
      <x:c r="D1088" s="30" t="str">
        <x:v>SAAB — Ammunition: AT4CS AST
SAAB — Ammunition: AT4CS ER
SAAB — Ammunition: AT4CS HE</x:v>
      </x:c>
    </x:row>
    <x:row r="1089">
      <x:c r="A1089" s="30" t="str">
        <x:v>https://www.saab.com/products/carl-gustaf-m4</x:v>
      </x:c>
      <x:c r="B1089" s="30" t="str">
        <x:v>SAAB</x:v>
      </x:c>
      <x:c r="C1089" s="30" t="str">
        <x:v>B8</x:v>
      </x:c>
      <x:c r="D1089" s="30" t="str">
        <x:v>SAAB — Small Arms: Carl-Gustaf M4 Recoilless Rifle</x:v>
      </x:c>
    </x:row>
    <x:row r="1090">
      <x:c r="A1090" s="30" t="str">
        <x:v>https://www.saab.com/products/docksta-cb90</x:v>
      </x:c>
      <x:c r="B1090" s="30" t="str">
        <x:v>SAAB</x:v>
      </x:c>
      <x:c r="C1090" s="30" t="str">
        <x:v>B8</x:v>
      </x:c>
      <x:c r="D1090" s="30" t="str">
        <x:v>SAAB — Marine/Naval: CB90 Next Generation / CB90HSM</x:v>
      </x:c>
    </x:row>
    <x:row r="1091">
      <x:c r="A1091" s="30" t="str">
        <x:v>https://www.saab.com/products/nlaw</x:v>
      </x:c>
      <x:c r="B1091" s="30" t="str">
        <x:v>SAAB</x:v>
      </x:c>
      <x:c r="C1091" s="30" t="str">
        <x:v>B8</x:v>
      </x:c>
      <x:c r="D1091" s="30" t="str">
        <x:v>SAAB — Missiles: NLAW</x:v>
      </x:c>
    </x:row>
    <x:row r="1092">
      <x:c r="A1092" s="30" t="str">
        <x:v>https://www.saab.com/products/rbs-70-ng</x:v>
      </x:c>
      <x:c r="B1092" s="30" t="str">
        <x:v>SAAB</x:v>
      </x:c>
      <x:c r="C1092" s="30" t="str">
        <x:v>B8</x:v>
      </x:c>
      <x:c r="D1092" s="30" t="str">
        <x:v>SAAB — Missiles: RBS 70 NG / BOLIDE</x:v>
      </x:c>
    </x:row>
    <x:row r="1093">
      <x:c r="A1093" s="30" t="str">
        <x:v>https://www.saab.com/products/skeldar-v-200</x:v>
      </x:c>
      <x:c r="B1093" s="30" t="str">
        <x:v>SAAB</x:v>
      </x:c>
      <x:c r="C1093" s="30" t="str">
        <x:v>B8</x:v>
      </x:c>
      <x:c r="D1093" s="30" t="str">
        <x:v>SAAB — UAVs/Drones: SKELDAR V-200</x:v>
      </x:c>
    </x:row>
    <x:row r="1094">
      <x:c r="A1094" s="30" t="str">
        <x:v>https://www.saab.com/products/the-rbs15-family</x:v>
      </x:c>
      <x:c r="B1094" s="30" t="str">
        <x:v>SAAB</x:v>
      </x:c>
      <x:c r="C1094" s="30" t="str">
        <x:v>B8</x:v>
      </x:c>
      <x:c r="D1094" s="30" t="str">
        <x:v>SAAB — Missiles: RBS15 Gungnir / Mk4
SAAB — Missiles: RBS15 Mk3</x:v>
      </x:c>
    </x:row>
    <x:row r="1095">
      <x:c r="A1095" s="30" t="str">
        <x:v>https://www.saab.com/products/torpedo-47</x:v>
      </x:c>
      <x:c r="B1095" s="30" t="str">
        <x:v>SAAB</x:v>
      </x:c>
      <x:c r="C1095" s="30" t="str">
        <x:v>B8</x:v>
      </x:c>
      <x:c r="D1095" s="30" t="str">
        <x:v>SAAB — Marine/Naval: Saab Lightweight Torpedo (Torpedo 47)</x:v>
      </x:c>
    </x:row>
    <x:row r="1096">
      <x:c r="A1096" s="30" t="str">
        <x:v>https://www.saab.com/products/trackfire-remote-weapon-station</x:v>
      </x:c>
      <x:c r="B1096" s="30" t="str">
        <x:v>SAAB</x:v>
      </x:c>
      <x:c r="C1096" s="30" t="str">
        <x:v>B8</x:v>
      </x:c>
      <x:c r="D1096" s="30" t="str">
        <x:v>SAAB — appendix: Trackfire Remote Weapon Station</x:v>
      </x:c>
    </x:row>
    <x:row r="1097">
      <x:c r="A1097" s="30" t="str">
        <x:v>https://www.saab.com/products/visby-class-corvette</x:v>
      </x:c>
      <x:c r="B1097" s="30" t="str">
        <x:v>SAAB</x:v>
      </x:c>
      <x:c r="C1097" s="30" t="str">
        <x:v>B8</x:v>
      </x:c>
      <x:c r="D1097" s="30" t="str">
        <x:v>SAAB — Marine/Naval: Saab Lightweight Torpedo (Torpedo 47)
SAAB — Marine/Naval: Visby-class Corvette</x:v>
      </x:c>
    </x:row>
    <x:row r="1098">
      <x:c r="A1098" s="30" t="str">
        <x:v>https://www.saab.com/site-settings/html5/cg-ammo/index.html</x:v>
      </x:c>
      <x:c r="B1098" s="30" t="str">
        <x:v>SAAB</x:v>
      </x:c>
      <x:c r="C1098" s="30" t="str">
        <x:v>B8</x:v>
      </x:c>
      <x:c r="D1098" s="30" t="str">
        <x:v>SAAB — Ammunition: Carl-Gustaf ADM 401
SAAB — Ammunition: Carl-Gustaf HE 441D / 441D RS
SAAB — Ammunition: Carl-Gustaf HEAT 551 / 551C RS
SAAB — Ammunition: Carl-Gustaf HEDP 502 / 502 RS
SAAB — Ammunition: Carl-Gustaf SMOKE 469C</x:v>
      </x:c>
    </x:row>
    <x:row r="1099">
      <x:c r="A1099" s="30" t="str">
        <x:v>https://www.saab.com/site-settings/html5/gungnir/index.html</x:v>
      </x:c>
      <x:c r="B1099" s="30" t="str">
        <x:v>SAAB</x:v>
      </x:c>
      <x:c r="C1099" s="30" t="str">
        <x:v>B8</x:v>
      </x:c>
      <x:c r="D1099" s="30" t="str">
        <x:v>SAAB — Missiles: RBS15 Gungnir / Mk4</x:v>
      </x:c>
    </x:row>
    <x:row r="1100">
      <x:c r="A1100" s="30" t="str">
        <x:v>https://www.sambuz.com/doc/premier-explosives-limited-ppt-presentation-76138</x:v>
      </x:c>
      <x:c r="B1100" s="30" t="str">
        <x:v>Premier Explosives</x:v>
      </x:c>
      <x:c r="C1100" s="30" t="str">
        <x:v>B10</x:v>
      </x:c>
      <x:c r="D1100" s="30" t="str">
        <x:v>Premier Explosives — Ammunition: Agni Strategic Pyrogen Igniter / Daisy-II Motor
Premier Explosives — Ammunition: Air Target Imitator Rocket / Motor
Premier Explosives — Ammunition: Akash Booster &amp; Sustainer Grains
Premier Explosives — Ammunition: Astra Solid Propellant
Premier Explosives — Ammunition: BrahMos Solid-Propellant Booster Material
Premier Explosives — Ammunition: Chaff &amp; IR Flare Countermeasure Ammunition
Premier Explosives — Ammunition: LRSAM Solid Propellant
Premier Explosives — Ammunition: MRSAM Solid Propellant
Premier Explosives — Ammunition: Pinaka Mk-I Rocket
Premier Explosives — Ammunition: Pinaka Mk-II Rocket
Premier Explosives — Ammunition: QRSAM / NGARM Solid Propellant Family
Premier Explosives — Ammunition: Sledge Rocket Motor</x:v>
      </x:c>
    </x:row>
    <x:row r="1101">
      <x:c r="A1101" s="30" t="str">
        <x:v>https://www.scribd.com/document/1057338167/Defence-and-Aerospace-Apr26-IC</x:v>
      </x:c>
      <x:c r="B1101" s="30" t="str">
        <x:v>Solar Industries</x:v>
      </x:c>
      <x:c r="C1101" s="30" t="str">
        <x:v>B10</x:v>
      </x:c>
      <x:c r="D1101" s="30" t="str">
        <x:v>Solar Industries — Ammunition: 155 mm Artillery Shell Family
Solar Industries — Ammunition: High-Energy Naval Explosives / Torpedo Warheads
Solar Industries — Ammunition: HMX / RDX / TNT High-Energy Materials
Solar Industries — Ammunition: Pinaka ER Rocket</x:v>
      </x:c>
    </x:row>
    <x:row r="1102">
      <x:c r="A1102" s="30" t="str">
        <x:v>https://www.scribd.com/document/366074442/Poongsan-Ammo-Catalogue</x:v>
      </x:c>
      <x:c r="B1102" s="30" t="str">
        <x:v>Poongsan</x:v>
      </x:c>
      <x:c r="C1102" s="30" t="str">
        <x:v>B6</x:v>
      </x:c>
      <x:c r="D1102" s="30" t="str">
        <x:v>Poongsan — Ammunition: 105 mm APFSDS-T K274
Poongsan — Ammunition: 105 mm Blank M395
Poongsan — Ammunition: 105 mm HE M1
Poongsan — Ammunition: 105 mm HEAT-T M456A1 / TP-T M490
Poongsan — Ammunition: 12.7×99 mm
Poongsan — Ammunition: 120 mm APFSDS-T K276
Poongsan — Ammunition: 120 mm APFSDS-T K279
Poongsan — Ammunition: 120 mm HEAT-MP-T K277 / TP-T K282
Poongsan — Ammunition: 120 mm HEAT-MP-T K280
Poongsan — Ammunition: 127 mm/54 cal K300/K301
Poongsan — Ammunition: 155 mm Base-Bleed HE K307
Poongsan — Ammunition: 155 mm HE M107</x:v>
      </x:c>
    </x:row>
    <x:row r="1103">
      <x:c r="A1103" s="30" t="str">
        <x:v>https://www.scribd.com/document/632408518/modN-pdf</x:v>
      </x:c>
      <x:c r="B1103" s="30" t="str">
        <x:v>Mahindra Defence</x:v>
      </x:c>
      <x:c r="C1103" s="30" t="str">
        <x:v>B3</x:v>
      </x:c>
      <x:c r="D1103" s="30" t="str">
        <x:v>Mahindra Defence — Protected Vehicles: Armado / Armoured Light Specialist Vehicle (ALSV)
Mahindra Defence — Protected Vehicles: Mine Protected Armoured Personnel Carrier 4×4</x:v>
      </x:c>
    </x:row>
    <x:row r="1104">
      <x:c r="A1104" s="30" t="str">
        <x:v>https://www.scribd.com/document/749295860/MIL-Brochure</x:v>
      </x:c>
      <x:c r="B1104" s="30" t="str">
        <x:v>Munitions India Ltd (MIL)</x:v>
      </x:c>
      <x:c r="C1104" s="30" t="str">
        <x:v>B5</x:v>
      </x:c>
      <x:c r="D1104" s="30" t="str">
        <x:v>Munitions India Ltd (MIL) — Ammunition: 105 mm IFG HE
Munitions India Ltd (MIL) — Ammunition: 105 mm IFG Illuminating
Munitions India Ltd (MIL) — Ammunition: 120 mm Mortar Bomb Family
Munitions India Ltd (MIL) — Ammunition: 125 mm HE Tank Ammunition
Munitions India Ltd (MIL) — Ammunition: 130 mm HE
Munitions India Ltd (MIL) — Ammunition: 155 mm HE ERFB-BB
Munitions India Ltd (MIL) — Ammunition: 155 mm HE ERFB-BT
Munitions India Ltd (MIL) — Ammunition: 155 mm HE M107
Munitions India Ltd (MIL) — Ammunition: 155 mm Illuminating ERFB
Munitions India Ltd (MIL) — Ammunition: 155 mm Screening Smoke ERFB
Munitions India Ltd (MIL) — Ammunition: 5.56×45 mm
Munitions India Ltd (MIL) — Ammunition: 68 mm Air-to-Ground Rocket Family</x:v>
      </x:c>
    </x:row>
    <x:row r="1105">
      <x:c r="A1105" s="30" t="str">
        <x:v>https://www.scribd.com/document/891439543/munitions-india</x:v>
      </x:c>
      <x:c r="B1105" s="30" t="str">
        <x:v>Munitions India Ltd (MIL)</x:v>
      </x:c>
      <x:c r="C1105" s="30" t="str">
        <x:v>B5</x:v>
      </x:c>
      <x:c r="D1105" s="30" t="str">
        <x:v>Munitions India Ltd (MIL) — Ammunition: 120 mm Mortar Bomb Family
Munitions India Ltd (MIL) — Ammunition: 125 mm FSAPDS-T
Munitions India Ltd (MIL) — Ammunition: 155 mm HE ERFB-BB
Munitions India Ltd (MIL) — Ammunition: 500 kg General Purpose Bomb
Munitions India Ltd (MIL) — Ammunition: 7.62×39 mm
Munitions India Ltd (MIL) — Ammunition: 7.62×54R PKT
Munitions India Ltd (MIL) — Ammunition: 9×19 mm
Munitions India Ltd (MIL) — Ammunition: MIL-17 30 mm Grenade
Munitions India Ltd (MIL) — Ammunition: MIL-25 40 mm Grenade
Munitions India Ltd (MIL) — Ammunition: Multi-Mode Hand Grenade
Munitions India Ltd (MIL) — Ammunition: Pinaka Enhanced
Munitions India Ltd (MIL) — Ammunition: Pinaka Guided</x:v>
      </x:c>
    </x:row>
    <x:row r="1106">
      <x:c r="A1106" s="30" t="str">
        <x:v>https://www.scribd.com/document/981484408/HMT-Armoured-Closed-Cab-Platform</x:v>
      </x:c>
      <x:c r="B1106" s="30" t="str">
        <x:v>Supacat</x:v>
      </x:c>
      <x:c r="C1106" s="30" t="str">
        <x:v>B3</x:v>
      </x:c>
      <x:c r="D1106" s="30" t="str">
        <x:v>Supacat — Protected Vehicles: HMT Armoured Closed Cab</x:v>
      </x:c>
    </x:row>
    <x:row r="1107">
      <x:c r="A1107" s="30" t="str">
        <x:v>https://www.sec.gov/Archives/edgar/data/101829/000010182926000006/rtx-20251231.htm</x:v>
      </x:c>
      <x:c r="B1107" s="30" t="str">
        <x:v>RTX (Raytheon)</x:v>
      </x:c>
      <x:c r="C1107" s="30" t="str">
        <x:v>B8</x:v>
      </x:c>
      <x:c r="D1107" s="30" t="str">
        <x:v>RTX (Raytheon) — company details</x:v>
      </x:c>
    </x:row>
    <x:row r="1108">
      <x:c r="A1108" s="30" t="str">
        <x:v>https://www.sec.gov/Archives/edgar/data/1133421/000113342126000003/noc-20251231.htm</x:v>
      </x:c>
      <x:c r="B1108" s="30" t="str">
        <x:v>Northrop Grumman</x:v>
      </x:c>
      <x:c r="C1108" s="30" t="str">
        <x:v>B7</x:v>
      </x:c>
      <x:c r="D1108" s="30" t="str">
        <x:v>Northrop Grumman — Ammunition: 120 mm Tactical Ammunition
Northrop Grumman — Ammunition: 20 mm Tactical Ammunition
Northrop Grumman — Ammunition: 30 mm Tactical Ammunition
Northrop Grumman — Ammunition: Advanced Fuzes
Northrop Grumman — UAVs/Drones: Bat UAS
Northrop Grumman — UAVs/Drones: Fire Scout MQ-8C
Northrop Grumman — UAVs/Drones: MQ-4C Triton
Northrop Grumman — UAVs/Drones: RQ-4 Global Hawk
Northrop Grumman — Missiles: AARGM AGM-88E
Northrop Grumman — Missiles: AARGM-ER
Northrop Grumman — Missiles: GMLRS Propulsion &amp; Warhead Subsystems
Northrop Grumman — Missiles: HACM</x:v>
      </x:c>
    </x:row>
    <x:row r="1109">
      <x:c r="A1109" s="30" t="str">
        <x:v>https://www.sec.gov/Archives/edgar/data/1368622/000110465926078906/avav-20260430x10k.htm</x:v>
      </x:c>
      <x:c r="B1109" s="30" t="str">
        <x:v>AeroVironment</x:v>
      </x:c>
      <x:c r="C1109" s="30" t="str">
        <x:v>B9</x:v>
      </x:c>
      <x:c r="D1109" s="30" t="str">
        <x:v>AeroVironment — company details</x:v>
      </x:c>
    </x:row>
    <x:row r="1110">
      <x:c r="A1110" s="30" t="str">
        <x:v>https://www.sec.gov/Archives/edgar/data/1501585/000150158526000006/hii-20251231.htm</x:v>
      </x:c>
      <x:c r="B1110" s="30" t="str">
        <x:v>Huntington Ingalls Industries</x:v>
      </x:c>
      <x:c r="C1110" s="30" t="str">
        <x:v>B9</x:v>
      </x:c>
      <x:c r="D1110" s="30" t="str">
        <x:v>Huntington Ingalls Industries — company details</x:v>
      </x:c>
    </x:row>
    <x:row r="1111">
      <x:c r="A1111" s="30" t="str">
        <x:v>https://www.sec.gov/Archives/edgar/data/202058/000020205826000015/hrs-20260102.htm</x:v>
      </x:c>
      <x:c r="B1111" s="30" t="str">
        <x:v>L3Harris</x:v>
      </x:c>
      <x:c r="C1111" s="30" t="str">
        <x:v>B7</x:v>
      </x:c>
      <x:c r="D1111" s="30" t="str">
        <x:v>L3Harris — company details</x:v>
      </x:c>
    </x:row>
    <x:row r="1112">
      <x:c r="A1112" s="30" t="str">
        <x:v>https://www.sec.gov/Archives/edgar/data/775158/000119312526054061/osk-20251231.htm</x:v>
      </x:c>
      <x:c r="B1112" s="30" t="str">
        <x:v>Oshkosh Defense</x:v>
      </x:c>
      <x:c r="C1112" s="30" t="str">
        <x:v>B5</x:v>
      </x:c>
      <x:c r="D1112" s="30" t="str">
        <x:v>Oshkosh Defense — company details</x:v>
      </x:c>
    </x:row>
    <x:row r="1113">
      <x:c r="A1113" s="30" t="str">
        <x:v>https://www.sec.gov/Archives/edgar/data/936468/000162828026004195/lmt-20251231.htm</x:v>
      </x:c>
      <x:c r="B1113" s="30" t="str">
        <x:v>Lockheed Martin</x:v>
      </x:c>
      <x:c r="C1113" s="30" t="str">
        <x:v>B8</x:v>
      </x:c>
      <x:c r="D1113" s="30" t="str">
        <x:v>Lockheed Martin — company details</x:v>
      </x:c>
    </x:row>
    <x:row r="1114">
      <x:c r="A1114" s="30" t="str">
        <x:v>https://www.sensibook.com/companies/2580167/U74999GJ2013PTC123466/PLR-SYSTEMS-PRIVATE-LIMITED</x:v>
      </x:c>
      <x:c r="B1114" s="30" t="str">
        <x:v>PLR Systems (IWI+Adani)</x:v>
      </x:c>
      <x:c r="C1114" s="30" t="str">
        <x:v>B4</x:v>
      </x:c>
      <x:c r="D1114" s="30" t="str">
        <x:v>PLR Systems (IWI+Adani) — company details</x:v>
      </x:c>
    </x:row>
    <x:row r="1115">
      <x:c r="A1115" s="30" t="str">
        <x:v>https://www.sidm.in/files/SIDM%20Members%20Directory%202020-21.pdf</x:v>
      </x:c>
      <x:c r="B1115" s="30" t="str">
        <x:v>SSS Defence</x:v>
      </x:c>
      <x:c r="C1115" s="30" t="str">
        <x:v>B6</x:v>
      </x:c>
      <x:c r="D1115" s="30" t="str">
        <x:v>SSS Defence — company details</x:v>
      </x:c>
    </x:row>
    <x:row r="1116">
      <x:c r="A1116" s="30" t="str">
        <x:v>https://www.sigsauer.com/blog/celebrating-americas-250th-new-film-features-sig-sauers-world-class-american-manufacturing</x:v>
      </x:c>
      <x:c r="B1116" s="30" t="str">
        <x:v>SIG Sauer</x:v>
      </x:c>
      <x:c r="C1116" s="30" t="str">
        <x:v>B6</x:v>
      </x:c>
      <x:c r="D1116" s="30" t="str">
        <x:v>SIG Sauer — company details</x:v>
      </x:c>
    </x:row>
    <x:row r="1117">
      <x:c r="A1117" s="30" t="str">
        <x:v>https://www.sigsauer.com/blog/sig-sauer-celebrates-major-milestone-100-million-round-annual-68mm-ammunition-capacity</x:v>
      </x:c>
      <x:c r="B1117" s="30" t="str">
        <x:v>SIG Sauer</x:v>
      </x:c>
      <x:c r="C1117" s="30" t="str">
        <x:v>B6</x:v>
      </x:c>
      <x:c r="D1117" s="30" t="str">
        <x:v>SIG Sauer — Ammunition: HYBRID AMMO
SIG Sauer — company details</x:v>
      </x:c>
    </x:row>
    <x:row r="1118">
      <x:c r="A1118" s="30" t="str">
        <x:v>https://www.sigsauer.com/blog/sig-sauer-opens-jacksonville-arkansas-ammunition-center-</x:v>
      </x:c>
      <x:c r="B1118" s="30" t="str">
        <x:v>SIG Sauer</x:v>
      </x:c>
      <x:c r="C1118" s="30" t="str">
        <x:v>B6</x:v>
      </x:c>
      <x:c r="D1118" s="30" t="str">
        <x:v>SIG Sauer — Ammunition: HYBRID AMMO
SIG Sauer — company details</x:v>
      </x:c>
    </x:row>
    <x:row r="1119">
      <x:c r="A1119" s="30" t="str">
        <x:v>https://www.sigsauer.com/blog/the-objective-by-sig-sauer-the-official-go-to-resource-on-military-small-arms</x:v>
      </x:c>
      <x:c r="B1119" s="30" t="str">
        <x:v>SIG Sauer</x:v>
      </x:c>
      <x:c r="C1119" s="30" t="str">
        <x:v>B6</x:v>
      </x:c>
      <x:c r="D1119" s="30" t="str">
        <x:v>SIG Sauer — Small Arms: 1911X / SP2022
SIG Sauer — Small Arms: 516 G3
SIG Sauer — Small Arms: Classic Line
SIG Sauer — Small Arms: CROSS TACOPS
SIG Sauer — Small Arms: M17 / M18
SIG Sauer — Small Arms: M17 / M18 AAL
SIG Sauer — Small Arms: M17 / M18 PRO
SIG Sauer — Small Arms: M250 / SIG LMG (6.8 mm)
SIG Sauer — Small Arms: M400 PRO
SIG Sauer — Small Arms: MCX LT 300 BLK
SIG Sauer — Small Arms: MCX LT 5.56
SIG Sauer — Small Arms: MCX LT 7.62×39</x:v>
      </x:c>
    </x:row>
    <x:row r="1120">
      <x:c r="A1120" s="30" t="str">
        <x:v>https://www.sigsauer.com/blog/the-objective-the-sig-mmg-338-program-tested-and-delivered-part-2</x:v>
      </x:c>
      <x:c r="B1120" s="30" t="str">
        <x:v>SIG Sauer</x:v>
      </x:c>
      <x:c r="C1120" s="30" t="str">
        <x:v>B6</x:v>
      </x:c>
      <x:c r="D1120" s="30" t="str">
        <x:v>SIG Sauer — Ammunition: .300 BLACKOUT
SIG Sauer — Ammunition: .338 NM
SIG Sauer — Ammunition: .338 NM TRACER
SIG Sauer — Ammunition: HYBRID AMMO
SIG Sauer — Ammunition: PISTOL
SIG Sauer — Ammunition: PRECISION
SIG Sauer — Small Arms: Classic Line
SIG Sauer — Small Arms: M250 / SIG LMG (6.8 mm)
SIG Sauer — Small Arms: MCX LT 300 BLK
SIG Sauer — Small Arms: MCX LT 7.62×39
SIG Sauer — Small Arms: MCX SPEAR / M7
SIG Sauer — Small Arms: P226X Carry PRO</x:v>
      </x:c>
    </x:row>
    <x:row r="1121">
      <x:c r="A1121" s="30" t="str">
        <x:v>https://www.sigsauer.com/blog/the-sig-mmg-338-program-conception-to-reality-part-1</x:v>
      </x:c>
      <x:c r="B1121" s="30" t="str">
        <x:v>SIG Sauer</x:v>
      </x:c>
      <x:c r="C1121" s="30" t="str">
        <x:v>B6</x:v>
      </x:c>
      <x:c r="D1121" s="30" t="str">
        <x:v>SIG Sauer — Small Arms: SIG MMG 338</x:v>
      </x:c>
    </x:row>
    <x:row r="1122">
      <x:c r="A1122" s="30" t="str">
        <x:v>https://www.sigsauer.com/blog/ussocom-purchases-mg-338-machine-guns</x:v>
      </x:c>
      <x:c r="B1122" s="30" t="str">
        <x:v>SIG Sauer</x:v>
      </x:c>
      <x:c r="C1122" s="30" t="str">
        <x:v>B6</x:v>
      </x:c>
      <x:c r="D1122" s="30" t="str">
        <x:v>SIG Sauer — Ammunition: .338 NM
SIG Sauer — Small Arms: SIG MMG 338</x:v>
      </x:c>
    </x:row>
    <x:row r="1123">
      <x:c r="A1123" s="30" t="str">
        <x:v>https://www.sigsauer.com/careers-at-sig-sauer</x:v>
      </x:c>
      <x:c r="B1123" s="30" t="str">
        <x:v>SIG Sauer</x:v>
      </x:c>
      <x:c r="C1123" s="30" t="str">
        <x:v>B6</x:v>
      </x:c>
      <x:c r="D1123" s="30" t="str">
        <x:v>SIG Sauer — company details</x:v>
      </x:c>
    </x:row>
    <x:row r="1124">
      <x:c r="A1124" s="30" t="str">
        <x:v>https://www.sigsauer.com/company</x:v>
      </x:c>
      <x:c r="B1124" s="30" t="str">
        <x:v>SIG Sauer</x:v>
      </x:c>
      <x:c r="C1124" s="30" t="str">
        <x:v>B6</x:v>
      </x:c>
      <x:c r="D1124" s="30" t="str">
        <x:v>SIG Sauer — company details</x:v>
      </x:c>
    </x:row>
    <x:row r="1125">
      <x:c r="A1125" s="30" t="str">
        <x:v>https://www.sigsauer.com/defense-rifles</x:v>
      </x:c>
      <x:c r="B1125" s="30" t="str">
        <x:v>SIG Sauer</x:v>
      </x:c>
      <x:c r="C1125" s="30" t="str">
        <x:v>B6</x:v>
      </x:c>
      <x:c r="D1125" s="30" t="str">
        <x:v>SIG Sauer — Small Arms: 1911X / SP2022
SIG Sauer — Small Arms: 516 G3
SIG Sauer — Small Arms: Classic Line
SIG Sauer — Small Arms: CROSS TACOPS
SIG Sauer — Small Arms: M17 / M18
SIG Sauer — Small Arms: M17 / M18 AAL
SIG Sauer — Small Arms: M17 / M18 PRO
SIG Sauer — Small Arms: M250 / SIG LMG (6.8 mm)
SIG Sauer — Small Arms: M400 PRO
SIG Sauer — Small Arms: MCX LT 300 BLK
SIG Sauer — Small Arms: MCX LT 5.56
SIG Sauer — Small Arms: MCX LT 7.62×39</x:v>
      </x:c>
    </x:row>
    <x:row r="1126">
      <x:c r="A1126" s="30" t="str">
        <x:v>https://www.sigsauer.com/defensecatalog</x:v>
      </x:c>
      <x:c r="B1126" s="30" t="str">
        <x:v>SIG Sauer</x:v>
      </x:c>
      <x:c r="C1126" s="30" t="str">
        <x:v>B6</x:v>
      </x:c>
      <x:c r="D1126" s="30" t="str">
        <x:v>SIG Sauer — Ammunition: .300 BLACKOUT
SIG Sauer — Ammunition: .338 NM
SIG Sauer — Ammunition: .338 NM TRACER
SIG Sauer — Ammunition: HYBRID AMMO
SIG Sauer — Ammunition: PISTOL
SIG Sauer — Ammunition: PRECISION
SIG Sauer — Small Arms: Classic Line
SIG Sauer — Small Arms: M250 / SIG LMG (6.8 mm)
SIG Sauer — Small Arms: MCX LT 300 BLK
SIG Sauer — Small Arms: MCX LT 7.62×39
SIG Sauer — Small Arms: MCX SPEAR / M7
SIG Sauer — Small Arms: P226X Carry PRO</x:v>
      </x:c>
    </x:row>
    <x:row r="1127">
      <x:c r="A1127" s="30" t="str">
        <x:v>https://www.sigsauer.com/media/sigsauer/resources/FULL_DEFENSE_CAT_26_PRINT.pdf</x:v>
      </x:c>
      <x:c r="B1127" s="30" t="str">
        <x:v>SIG Sauer</x:v>
      </x:c>
      <x:c r="C1127" s="30" t="str">
        <x:v>B6</x:v>
      </x:c>
      <x:c r="D1127" s="30" t="str">
        <x:v>SIG Sauer — Ammunition: .300 BLACKOUT
SIG Sauer — Ammunition: .338 NM
SIG Sauer — Ammunition: .338 NM TRACER
SIG Sauer — Ammunition: HYBRID AMMO
SIG Sauer — Ammunition: PISTOL
SIG Sauer — Ammunition: PRECISION
SIG Sauer — Small Arms: 1911X / SP2022
SIG Sauer — Small Arms: 516 G3
SIG Sauer — Small Arms: Classic Line
SIG Sauer — Small Arms: CROSS TACOPS
SIG Sauer — Small Arms: M17 / M18
SIG Sauer — Small Arms: M17 / M18 AAL</x:v>
      </x:c>
    </x:row>
    <x:row r="1128">
      <x:c r="A1128" s="30" t="str">
        <x:v>https://www.sigsauer.com/media/sigsauer/resources/OPERATOR_MANUAL_M17_M18_COMMERCIAL_1302517-01_REV05_WEB_FILE.pdf</x:v>
      </x:c>
      <x:c r="B1128" s="30" t="str">
        <x:v>SIG Sauer</x:v>
      </x:c>
      <x:c r="C1128" s="30" t="str">
        <x:v>B6</x:v>
      </x:c>
      <x:c r="D1128" s="30" t="str">
        <x:v>SIG Sauer — Small Arms: M17 / M18</x:v>
      </x:c>
    </x:row>
    <x:row r="1129">
      <x:c r="A1129" s="30" t="str">
        <x:v>https://www.sigsauer.com/p320-safety-technical-standards</x:v>
      </x:c>
      <x:c r="B1129" s="30" t="str">
        <x:v>SIG Sauer</x:v>
      </x:c>
      <x:c r="C1129" s="30" t="str">
        <x:v>B6</x:v>
      </x:c>
      <x:c r="D1129" s="30" t="str">
        <x:v>SIG Sauer — Small Arms: P320</x:v>
      </x:c>
    </x:row>
    <x:row r="1130">
      <x:c r="A1130" s="30" t="str">
        <x:v>https://www.solargroup.com/about.html</x:v>
      </x:c>
      <x:c r="B1130" s="30" t="str">
        <x:v>Solar Industries</x:v>
      </x:c>
      <x:c r="C1130" s="30" t="str">
        <x:v>B10</x:v>
      </x:c>
      <x:c r="D1130" s="30" t="str">
        <x:v>Solar Industries — UAVs/Drones: NAGASTRA-1
Solar Industries — UAVs/Drones: NAGASTRA-1R
Solar Industries — company details</x:v>
      </x:c>
    </x:row>
    <x:row r="1131">
      <x:c r="A1131" s="30" t="str">
        <x:v>https://www.sssdefence.com/</x:v>
      </x:c>
      <x:c r="B1131" s="30" t="str">
        <x:v>SSS Defence</x:v>
      </x:c>
      <x:c r="C1131" s="30" t="str">
        <x:v>B6</x:v>
      </x:c>
      <x:c r="D1131" s="30" t="str">
        <x:v>SSS Defence — Small Arms: 300 RAPTOR
SSS Defence — Small Arms: 308 Viper
SSS Defence — Small Arms: 338 Saber
SSS Defence — Small Arms: G72 CSMG
SSS Defence — Small Arms: G72 P
SSS Defence — Small Arms: G72 SMG
SSS Defence — Small Arms: M72
SSS Defence — Small Arms: M72-I
SSS Defence — Small Arms: P72 AR
SSS Defence — Small Arms: T12
SSS Defence — Small Arms: T72 AR
SSS Defence — Small Arms: T72 DMR</x:v>
      </x:c>
    </x:row>
    <x:row r="1132">
      <x:c r="A1132" s="30" t="str">
        <x:v>https://www.sssdefence.com/about</x:v>
      </x:c>
      <x:c r="B1132" s="30" t="str">
        <x:v>SSS Defence</x:v>
      </x:c>
      <x:c r="C1132" s="30" t="str">
        <x:v>B6</x:v>
      </x:c>
      <x:c r="D1132" s="30" t="str">
        <x:v>SSS Defence — Small Arms: 300 RAPTOR
SSS Defence — Small Arms: 308 Viper
SSS Defence — Small Arms: 338 Saber
SSS Defence — Small Arms: G72 CSMG
SSS Defence — Small Arms: G72 P
SSS Defence — Small Arms: G72 SMG
SSS Defence — Small Arms: M72
SSS Defence — Small Arms: M72-I
SSS Defence — Small Arms: P72 AR
SSS Defence — Small Arms: T12
SSS Defence — Small Arms: T72 AR
SSS Defence — Small Arms: T72 DMR</x:v>
      </x:c>
    </x:row>
    <x:row r="1133">
      <x:c r="A1133" s="30" t="str">
        <x:v>https://www.sssdefence.com/ammunition</x:v>
      </x:c>
      <x:c r="B1133" s="30" t="str">
        <x:v>SSS Defence</x:v>
      </x:c>
      <x:c r="C1133" s="30" t="str">
        <x:v>B6</x:v>
      </x:c>
      <x:c r="D1133" s="30" t="str">
        <x:v>SSS Defence — Ammunition: .338 Lapua Magnum HPBT 250 gr
SSS Defence — Ammunition: .338 Lapua Magnum HPBT 300 gr
SSS Defence — Ammunition: .338 Lapua Magnum Match 250 gr
SSS Defence — Ammunition: 12.7×99 mm Armor Piercing M2
SSS Defence — Ammunition: 12.7×99 mm Ball M33
SSS Defence — Ammunition: 12.7×99 mm Tracer M17
SSS Defence — Ammunition: 5.56×45 mm NATO Ball M193
SSS Defence — Ammunition: 5.56×45 mm NATO Ball SS109
SSS Defence — Ammunition: 7.62×51 mm NATO Armor Piercing
SSS Defence — Ammunition: 7.62×51 mm NATO Ball
SSS Defence — Ammunition: 7.62×51 mm NATO Linked
SSS Defence — Ammunition: 7.62×51 mm NATO Match</x:v>
      </x:c>
    </x:row>
    <x:row r="1134">
      <x:c r="A1134" s="30" t="str">
        <x:v>https://www.sssdefence.com/products/assault-rifles/300raptor</x:v>
      </x:c>
      <x:c r="B1134" s="30" t="str">
        <x:v>SSS Defence</x:v>
      </x:c>
      <x:c r="C1134" s="30" t="str">
        <x:v>B6</x:v>
      </x:c>
      <x:c r="D1134" s="30" t="str">
        <x:v>SSS Defence — Small Arms: 300 RAPTOR</x:v>
      </x:c>
    </x:row>
    <x:row r="1135">
      <x:c r="A1135" s="30" t="str">
        <x:v>https://www.tata.com/business/tata-advanced-systems-ltd-tasl</x:v>
      </x:c>
      <x:c r="B1135" s="30" t="str">
        <x:v>Tata Advanced Systems</x:v>
      </x:c>
      <x:c r="C1135" s="30" t="str">
        <x:v>B3</x:v>
      </x:c>
      <x:c r="D1135" s="30" t="str">
        <x:v>Tata Advanced Systems — UAVs/Drones: Small tactical UAV family
Tata Advanced Systems — company details</x:v>
      </x:c>
    </x:row>
    <x:row r="1136">
      <x:c r="A1136" s="30" t="str">
        <x:v>https://www.tata.com/newsroom/business/tata-advanced-systems-serve-defend</x:v>
      </x:c>
      <x:c r="B1136" s="30" t="str">
        <x:v>Tata Advanced Systems</x:v>
      </x:c>
      <x:c r="C1136" s="30" t="str">
        <x:v>B3</x:v>
      </x:c>
      <x:c r="D1136" s="30" t="str">
        <x:v>Tata Advanced Systems — UAVs/Drones: ALS-50 Loitering Munition</x:v>
      </x:c>
    </x:row>
    <x:row r="1137">
      <x:c r="A1137" s="30" t="str">
        <x:v>https://www.tataadvancedsystems.com/</x:v>
      </x:c>
      <x:c r="B1137" s="30" t="str">
        <x:v>Tata Advanced Systems</x:v>
      </x:c>
      <x:c r="C1137" s="30" t="str">
        <x:v>B3</x:v>
      </x:c>
      <x:c r="D1137" s="30" t="str">
        <x:v>Tata Advanced Systems — Artillery: ATAGS — Advanced Towed Artillery Gun System
Tata Advanced Systems — Artillery: Pinaka Multi Barrel Rocket Launcher
Tata Advanced Systems — Protected Vehicles: Advanced Armoured Tracked Platform (AATP)
Tata Advanced Systems — Protected Vehicles: QRFV Medium
Tata Advanced Systems — Protected Vehicles: WhAP / Kestrel 8×8
Tata Advanced Systems — UAVs/Drones: ALS-50M / larger ALS UAV family
Tata Advanced Systems — appendix: Javelin Anti-Tank Guided Missile — India Co-production Portfolio</x:v>
      </x:c>
    </x:row>
    <x:row r="1138">
      <x:c r="A1138" s="30" t="str">
        <x:v>https://www.tataadvancedsystems.com/aad-mls</x:v>
      </x:c>
      <x:c r="B1138" s="30" t="str">
        <x:v>Tata Advanced Systems</x:v>
      </x:c>
      <x:c r="C1138" s="30" t="str">
        <x:v>B3</x:v>
      </x:c>
      <x:c r="D1138" s="30" t="str">
        <x:v>Tata Advanced Systems — Missiles: Advanced Air Defence (AAD) Mobile Launcher System</x:v>
      </x:c>
    </x:row>
    <x:row r="1139">
      <x:c r="A1139" s="30" t="str">
        <x:v>https://www.tataadvancedsystems.com/advanced-towed-ags</x:v>
      </x:c>
      <x:c r="B1139" s="30" t="str">
        <x:v>Tata Advanced Systems</x:v>
      </x:c>
      <x:c r="C1139" s="30" t="str">
        <x:v>B3</x:v>
      </x:c>
      <x:c r="D1139" s="30" t="str">
        <x:v>Tata Advanced Systems — Artillery: ATAGS — Advanced Towed Artillery Gun System</x:v>
      </x:c>
    </x:row>
    <x:row r="1140">
      <x:c r="A1140" s="30" t="str">
        <x:v>https://www.tataadvancedsystems.com/air-defence-gun40mm</x:v>
      </x:c>
      <x:c r="B1140" s="30" t="str">
        <x:v>Tata Advanced Systems</x:v>
      </x:c>
      <x:c r="C1140" s="30" t="str">
        <x:v>B3</x:v>
      </x:c>
      <x:c r="D1140" s="30" t="str">
        <x:v>Tata Advanced Systems — Artillery: 40 mm L70 Air-Defence Gun Upgrade</x:v>
      </x:c>
    </x:row>
    <x:row r="1141">
      <x:c r="A1141" s="30" t="str">
        <x:v>https://www.tataadvancedsystems.com/akash-air-force-launcher</x:v>
      </x:c>
      <x:c r="B1141" s="30" t="str">
        <x:v>Tata Advanced Systems</x:v>
      </x:c>
      <x:c r="C1141" s="30" t="str">
        <x:v>B3</x:v>
      </x:c>
      <x:c r="D1141" s="30" t="str">
        <x:v>Tata Advanced Systems — Missiles: Akash Air Force Launcher</x:v>
      </x:c>
    </x:row>
    <x:row r="1142">
      <x:c r="A1142" s="30" t="str">
        <x:v>https://www.tataadvancedsystems.com/akash-army-launcher</x:v>
      </x:c>
      <x:c r="B1142" s="30" t="str">
        <x:v>Tata Advanced Systems</x:v>
      </x:c>
      <x:c r="C1142" s="30" t="str">
        <x:v>B3</x:v>
      </x:c>
      <x:c r="D1142" s="30" t="str">
        <x:v>Tata Advanced Systems — Missiles: Akash Army Launcher</x:v>
      </x:c>
    </x:row>
    <x:row r="1143">
      <x:c r="A1143" s="30" t="str">
        <x:v>https://www.tataadvancedsystems.com/index</x:v>
      </x:c>
      <x:c r="B1143" s="30" t="str">
        <x:v>Tata Advanced Systems</x:v>
      </x:c>
      <x:c r="C1143" s="30" t="str">
        <x:v>B3</x:v>
      </x:c>
      <x:c r="D1143" s="30" t="str">
        <x:v>Tata Advanced Systems — Protected Vehicles: Tata HMV 3138 8x8
Tata Advanced Systems — UAVs/Drones: ALS-50 Loitering Munition</x:v>
      </x:c>
    </x:row>
    <x:row r="1144">
      <x:c r="A1144" s="30" t="str">
        <x:v>https://www.tataadvancedsystems.com/index.php</x:v>
      </x:c>
      <x:c r="B1144" s="30" t="str">
        <x:v>Tata Advanced Systems</x:v>
      </x:c>
      <x:c r="C1144" s="30" t="str">
        <x:v>B3</x:v>
      </x:c>
      <x:c r="D1144" s="30" t="str">
        <x:v>Tata Advanced Systems — Protected Vehicles: WhAP / Kestrel 8×8</x:v>
      </x:c>
    </x:row>
    <x:row r="1145">
      <x:c r="A1145" s="30" t="str">
        <x:v>https://www.tataadvancedsystems.com/mounted-gun-system105</x:v>
      </x:c>
      <x:c r="B1145" s="30" t="str">
        <x:v>Tata Advanced Systems</x:v>
      </x:c>
      <x:c r="C1145" s="30" t="str">
        <x:v>B3</x:v>
      </x:c>
      <x:c r="D1145" s="30" t="str">
        <x:v>Tata Advanced Systems — Artillery: 105 mm Mounted Gun System</x:v>
      </x:c>
    </x:row>
    <x:row r="1146">
      <x:c r="A1146" s="30" t="str">
        <x:v>https://www.tataadvancedsystems.com/mounted-gun-system155</x:v>
      </x:c>
      <x:c r="B1146" s="30" t="str">
        <x:v>Tata Advanced Systems</x:v>
      </x:c>
      <x:c r="C1146" s="30" t="str">
        <x:v>B3</x:v>
      </x:c>
      <x:c r="D1146" s="30" t="str">
        <x:v>Tata Advanced Systems — Artillery: 155/52 mm Mounted Gun System</x:v>
      </x:c>
    </x:row>
    <x:row r="1147">
      <x:c r="A1147" s="30" t="str">
        <x:v>https://www.tataadvancedsystems.com/mrsam-mls</x:v>
      </x:c>
      <x:c r="B1147" s="30" t="str">
        <x:v>Tata Advanced Systems</x:v>
      </x:c>
      <x:c r="C1147" s="30" t="str">
        <x:v>B3</x:v>
      </x:c>
      <x:c r="D1147" s="30" t="str">
        <x:v>Tata Advanced Systems — Missiles: MRSAM Mobile Launcher System</x:v>
      </x:c>
    </x:row>
    <x:row r="1148">
      <x:c r="A1148" s="30" t="str">
        <x:v>https://www.tataadvancedsystems.com/pdf/new_policy/Annual%20Return%20FY25.pdf</x:v>
      </x:c>
      <x:c r="B1148" s="30" t="str">
        <x:v>Tata Advanced Systems</x:v>
      </x:c>
      <x:c r="C1148" s="30" t="str">
        <x:v>B3</x:v>
      </x:c>
      <x:c r="D1148" s="30" t="str">
        <x:v>Tata Advanced Systems — company details</x:v>
      </x:c>
    </x:row>
    <x:row r="1149">
      <x:c r="A1149" s="30" t="str">
        <x:v>https://www.tataadvancedsystems.com/people-culture</x:v>
      </x:c>
      <x:c r="B1149" s="30" t="str">
        <x:v>Tata Advanced Systems</x:v>
      </x:c>
      <x:c r="C1149" s="30" t="str">
        <x:v>B3</x:v>
      </x:c>
      <x:c r="D1149" s="30" t="str">
        <x:v>Tata Advanced Systems — company details</x:v>
      </x:c>
    </x:row>
    <x:row r="1150">
      <x:c r="A1150" s="30" t="str">
        <x:v>https://www.tataadvancedsystems.com/pinaka-multi-barrel-rocket-launcher</x:v>
      </x:c>
      <x:c r="B1150" s="30" t="str">
        <x:v>Tata Advanced Systems</x:v>
      </x:c>
      <x:c r="C1150" s="30" t="str">
        <x:v>B3</x:v>
      </x:c>
      <x:c r="D1150" s="30" t="str">
        <x:v>Tata Advanced Systems — Artillery: Pinaka Multi Barrel Rocket Launcher</x:v>
      </x:c>
    </x:row>
    <x:row r="1151">
      <x:c r="A1151" s="30" t="str">
        <x:v>https://www.tataadvancedsystems.com/policies-and-documents</x:v>
      </x:c>
      <x:c r="B1151" s="30" t="str">
        <x:v>Tata Advanced Systems</x:v>
      </x:c>
      <x:c r="C1151" s="30" t="str">
        <x:v>B3</x:v>
      </x:c>
      <x:c r="D1151" s="30" t="str">
        <x:v>Tata Advanced Systems — company details</x:v>
      </x:c>
    </x:row>
    <x:row r="1152">
      <x:c r="A1152" s="30" t="str">
        <x:v>https://www.tataadvancedsystems.com/public/</x:v>
      </x:c>
      <x:c r="B1152" s="30" t="str">
        <x:v>Tata Advanced Systems</x:v>
      </x:c>
      <x:c r="C1152" s="30" t="str">
        <x:v>B3</x:v>
      </x:c>
      <x:c r="D1152" s="30" t="str">
        <x:v>Tata Advanced Systems — Protected Vehicles: Light Armoured Multi-Role Vehicle (LAMV) 4×4
Tata Advanced Systems — Protected Vehicles: Tata High Mobility Vehicles
Tata Advanced Systems — Protected Vehicles: Tata Mine Protected Vehicle family
Tata Advanced Systems — Protected Vehicles: WhAP / Kestrel 8×8
Tata Advanced Systems — company details</x:v>
      </x:c>
    </x:row>
    <x:row r="1153">
      <x:c r="A1153" s="30" t="str">
        <x:v>https://www.tataadvancedsystems.com/public/about</x:v>
      </x:c>
      <x:c r="B1153" s="30" t="str">
        <x:v>Tata Advanced Systems</x:v>
      </x:c>
      <x:c r="C1153" s="30" t="str">
        <x:v>B3</x:v>
      </x:c>
      <x:c r="D1153" s="30" t="str">
        <x:v>Tata Advanced Systems — company details</x:v>
      </x:c>
    </x:row>
    <x:row r="1154">
      <x:c r="A1154" s="30" t="str">
        <x:v>https://www.tataadvancedsystems.com/public/index</x:v>
      </x:c>
      <x:c r="B1154" s="30" t="str">
        <x:v>Tata Advanced Systems</x:v>
      </x:c>
      <x:c r="C1154" s="30" t="str">
        <x:v>B3</x:v>
      </x:c>
      <x:c r="D1154" s="30" t="str">
        <x:v>Tata Advanced Systems — Protected Vehicles: Light Armoured Multi-Role Vehicle (LAMV) 4×4
Tata Advanced Systems — appendix: Javelin Anti-Tank Guided Missile — India Co-production Portfolio</x:v>
      </x:c>
    </x:row>
    <x:row r="1155">
      <x:c r="A1155" s="30" t="str">
        <x:v>https://www.tataadvancedsystems.com/tactical-and-combat-support-vehicles</x:v>
      </x:c>
      <x:c r="B1155" s="30" t="str">
        <x:v>Tata Advanced Systems</x:v>
      </x:c>
      <x:c r="C1155" s="30" t="str">
        <x:v>B3</x:v>
      </x:c>
      <x:c r="D1155" s="30" t="str">
        <x:v>Tata Advanced Systems — Protected Vehicles: Tata HMV 3138 8x8</x:v>
      </x:c>
    </x:row>
    <x:row r="1156">
      <x:c r="A1156" s="30" t="str">
        <x:v>https://www.tataadvancedsystems.com/uav</x:v>
      </x:c>
      <x:c r="B1156" s="30" t="str">
        <x:v>Tata Advanced Systems</x:v>
      </x:c>
      <x:c r="C1156" s="30" t="str">
        <x:v>B3</x:v>
      </x:c>
      <x:c r="D1156" s="30" t="str">
        <x:v>Tata Advanced Systems — UAVs/Drones: Rakshak VTOL / IVTOL UAV
Tata Advanced Systems — UAVs/Drones: SKY-I Small UAV</x:v>
      </x:c>
    </x:row>
    <x:row r="1157">
      <x:c r="A1157" s="30" t="str">
        <x:v>https://www.tataadvancedsystems.com/weapon-systems</x:v>
      </x:c>
      <x:c r="B1157" s="30" t="str">
        <x:v>Tata Advanced Systems</x:v>
      </x:c>
      <x:c r="C1157" s="30" t="str">
        <x:v>B3</x:v>
      </x:c>
      <x:c r="D1157" s="30" t="str">
        <x:v>Tata Advanced Systems — Artillery: ATAGS — Advanced Towed Artillery Gun System
Tata Advanced Systems — Artillery: Pinaka Multi Barrel Rocket Launcher
Tata Advanced Systems — Missiles: Akash Launcher / Weapon-System Hardware (Family)
Tata Advanced Systems — Missiles: MRSAM Mobile Launcher System</x:v>
      </x:c>
    </x:row>
    <x:row r="1158">
      <x:c r="A1158" s="30" t="str">
        <x:v>https://www.tatamotors.com/press-releases/tata-motors-to-showcase-its-indigenously-build-combat-vehicles-at-the-bimstec-nations-summit-2018/</x:v>
      </x:c>
      <x:c r="B1158" s="30" t="str">
        <x:v>Tata Advanced Systems</x:v>
      </x:c>
      <x:c r="C1158" s="30" t="str">
        <x:v>B3</x:v>
      </x:c>
      <x:c r="D1158" s="30" t="str">
        <x:v>Tata Advanced Systems — Protected Vehicles: WhAP / Kestrel 8×8</x:v>
      </x:c>
    </x:row>
    <x:row r="1159">
      <x:c r="A1159" s="30" t="str">
        <x:v>https://www.team-bhp.com/forum/commercial-vehicles/118353-details-tata-range-defence-vehicles.html</x:v>
      </x:c>
      <x:c r="B1159" s="30" t="str">
        <x:v>Tata Advanced Systems</x:v>
      </x:c>
      <x:c r="C1159" s="30" t="str">
        <x:v>B3</x:v>
      </x:c>
      <x:c r="D1159" s="30" t="str">
        <x:v>Tata Advanced Systems — Protected Vehicles: Tata Armoured Personnel Carrier 4x4 / Mine Protected Vehicle</x:v>
      </x:c>
    </x:row>
    <x:row r="1160">
      <x:c r="A1160" s="30" t="str">
        <x:v>https://www.thedefensenews.com/Solar-Industries-Bhargavastra-Counter-Drone-System-Enters-Final-Trial-Phase-Completion-Expected-by-End-of-2026/</x:v>
      </x:c>
      <x:c r="B1160" s="30" t="str">
        <x:v>Solar Industries</x:v>
      </x:c>
      <x:c r="C1160" s="30" t="str">
        <x:v>B10</x:v>
      </x:c>
      <x:c r="D1160" s="30" t="str">
        <x:v>Solar Industries — Missiles: Bhargavastra Counter-Drone Micro-Missile System</x:v>
      </x:c>
    </x:row>
    <x:row r="1161">
      <x:c r="A1161" s="30" t="str">
        <x:v>https://www.theprint.in/defence/sss-defence-introduces-tyto-the-urban-sniper-and-varaha-an-acoustic-based-anti-drone-system/2026/</x:v>
      </x:c>
      <x:c r="B1161" s="30" t="str">
        <x:v>SSS Defence</x:v>
      </x:c>
      <x:c r="C1161" s="30" t="str">
        <x:v>B6</x:v>
      </x:c>
      <x:c r="D1161" s="30" t="str">
        <x:v>SSS Defence — Small Arms: TYTO / .300 Blackout Sniper</x:v>
      </x:c>
    </x:row>
    <x:row r="1162">
      <x:c r="A1162" s="30" t="str">
        <x:v>https://www.theweek.in/news/defence/2026/05/25/indias-viper-sniper-rifle-to-enter-service-with-two-police-forces-in-big-self-reliance-milestone.html</x:v>
      </x:c>
      <x:c r="B1162" s="30" t="str">
        <x:v>SSS Defence</x:v>
      </x:c>
      <x:c r="C1162" s="30" t="str">
        <x:v>B6</x:v>
      </x:c>
      <x:c r="D1162" s="30" t="str">
        <x:v>SSS Defence — Small Arms: 308 Viper</x:v>
      </x:c>
    </x:row>
    <x:row r="1163">
      <x:c r="A1163" s="30" t="str">
        <x:v>https://www.thyssenkrupp.com/en/company/corporate-structure/marine-systems</x:v>
      </x:c>
      <x:c r="B1163" s="30" t="str">
        <x:v>Thyssenkrupp Marine Systems</x:v>
      </x:c>
      <x:c r="C1163" s="30" t="str">
        <x:v>B8</x:v>
      </x:c>
      <x:c r="D1163" s="30" t="str">
        <x:v>Thyssenkrupp Marine Systems — company details</x:v>
      </x:c>
    </x:row>
    <x:row r="1164">
      <x:c r="A1164" s="30" t="str">
        <x:v>https://www.tkmsgroup.com/</x:v>
      </x:c>
      <x:c r="B1164" s="30" t="str">
        <x:v>Thyssenkrupp Marine Systems</x:v>
      </x:c>
      <x:c r="C1164" s="30" t="str">
        <x:v>B8</x:v>
      </x:c>
      <x:c r="D1164" s="30" t="str">
        <x:v>Thyssenkrupp Marine Systems — Marine/Naval: HDW Class 212CD Submarine
Thyssenkrupp Marine Systems — Marine/Naval: MEKO A-400 AMD Frigate</x:v>
      </x:c>
    </x:row>
    <x:row r="1165">
      <x:c r="A1165" s="30" t="str">
        <x:v>https://www.tkmsgroup.com/en/products-services/our-digital-training-solutions/crew-optimization-and-manning-training</x:v>
      </x:c>
      <x:c r="B1165" s="30" t="str">
        <x:v>Thyssenkrupp Marine Systems</x:v>
      </x:c>
      <x:c r="C1165" s="30" t="str">
        <x:v>B8</x:v>
      </x:c>
      <x:c r="D1165" s="30" t="str">
        <x:v>Thyssenkrupp Marine Systems — Marine/Naval: HDW Class 212CD Submarine</x:v>
      </x:c>
    </x:row>
    <x:row r="1166">
      <x:c r="A1166" s="30" t="str">
        <x:v>https://www.tkmsgroup.com/fileadmin/website/downloads/20250929_TKMS_CMD_Presentation_UPLOAD_vF.pdf</x:v>
      </x:c>
      <x:c r="B1166" s="30" t="str">
        <x:v>Thyssenkrupp Marine Systems</x:v>
      </x:c>
      <x:c r="C1166" s="30" t="str">
        <x:v>B8</x:v>
      </x:c>
      <x:c r="D1166" s="30" t="str">
        <x:v>Thyssenkrupp Marine Systems — Marine/Naval: MEKO A-400 AMD Frigate
Thyssenkrupp Marine Systems — Marine/Naval: MEKO S-X Semi-Submersible
Thyssenkrupp Marine Systems — Marine/Naval: SeaSpider Anti-Torpedo Torpedo
Thyssenkrupp Marine Systems — Marine/Naval: Stargazer AUV</x:v>
      </x:c>
    </x:row>
    <x:row r="1167">
      <x:c r="A1167" s="30" t="str">
        <x:v>https://www.tkmsgroup.com/news/article/supervisory-board-appoints-dr-andreas-goergen-as-a-new-member-of-the-executive-board-and-chief-operations-officer-of-the-tkms-group-effective-may-15-2026</x:v>
      </x:c>
      <x:c r="B1167" s="30" t="str">
        <x:v>Thyssenkrupp Marine Systems</x:v>
      </x:c>
      <x:c r="C1167" s="30" t="str">
        <x:v>B8</x:v>
      </x:c>
      <x:c r="D1167" s="30" t="str">
        <x:v>Thyssenkrupp Marine Systems — company details</x:v>
      </x:c>
    </x:row>
    <x:row r="1168">
      <x:c r="A1168" s="30" t="str">
        <x:v>https://www.tkmsgroup.com/news/article/tkms-remains-on-course-for-growth-order-backlog-reaches-new-high-in-the-first-quarter</x:v>
      </x:c>
      <x:c r="B1168" s="30" t="str">
        <x:v>Thyssenkrupp Marine Systems</x:v>
      </x:c>
      <x:c r="C1168" s="30" t="str">
        <x:v>B8</x:v>
      </x:c>
      <x:c r="D1168" s="30" t="str">
        <x:v>Thyssenkrupp Marine Systems — Marine/Naval: HDW Class 218SG Submarine</x:v>
      </x:c>
    </x:row>
    <x:row r="1169">
      <x:c r="A1169" s="30" t="str">
        <x:v>https://www.tkmsgroup.com/submarines</x:v>
      </x:c>
      <x:c r="B1169" s="30" t="str">
        <x:v>Thyssenkrupp Marine Systems</x:v>
      </x:c>
      <x:c r="C1169" s="30" t="str">
        <x:v>B8</x:v>
      </x:c>
      <x:c r="D1169" s="30" t="str">
        <x:v>Thyssenkrupp Marine Systems — Marine/Naval: HDW Class 209 / 1400mod
Thyssenkrupp Marine Systems — Marine/Naval: HDW Class 212A Submarine
Thyssenkrupp Marine Systems — Marine/Naval: HDW Class 214 Submarine</x:v>
      </x:c>
    </x:row>
    <x:row r="1170">
      <x:c r="A1170" s="30" t="str">
        <x:v>https://www.tkmsgroup.com/surface-vessels/corvettes</x:v>
      </x:c>
      <x:c r="B1170" s="30" t="str">
        <x:v>Thyssenkrupp Marine Systems</x:v>
      </x:c>
      <x:c r="C1170" s="30" t="str">
        <x:v>B8</x:v>
      </x:c>
      <x:c r="D1170" s="30" t="str">
        <x:v>Thyssenkrupp Marine Systems — Marine/Naval: MEKO A-100 Corvette</x:v>
      </x:c>
    </x:row>
    <x:row r="1171">
      <x:c r="A1171" s="30" t="str">
        <x:v>https://www.tkmsgroup.com/surface-vessels/frigates/meko-a-200</x:v>
      </x:c>
      <x:c r="B1171" s="30" t="str">
        <x:v>Thyssenkrupp Marine Systems</x:v>
      </x:c>
      <x:c r="C1171" s="30" t="str">
        <x:v>B8</x:v>
      </x:c>
      <x:c r="D1171" s="30" t="str">
        <x:v>Thyssenkrupp Marine Systems — Marine/Naval: MEKO A-200 Frigate</x:v>
      </x:c>
    </x:row>
    <x:row r="1172">
      <x:c r="A1172" s="30" t="str">
        <x:v>https://www.tribuneindia.com/news/business/adani-defence-delivers-first-batch-of-indigenously-manufactured-light-machine-guns-to-indian-army-11-months-ahead-of-schedule/amp</x:v>
      </x:c>
      <x:c r="B1172" s="30" t="str">
        <x:v>Adani Defence</x:v>
      </x:c>
      <x:c r="C1172" s="30" t="str">
        <x:v>B10</x:v>
      </x:c>
      <x:c r="D1172" s="30" t="str">
        <x:v>Adani Defence — appendix: PRAHAR / NEGEV NG-7 LMG</x:v>
      </x:c>
    </x:row>
    <x:row r="1173">
      <x:c r="A1173" s="30" t="str">
        <x:v>https://www.weaponspecs.com/</x:v>
      </x:c>
      <x:c r="B1173" s="30" t="str">
        <x:v>Kalashnikov Concern</x:v>
      </x:c>
      <x:c r="C1173" s="30" t="str">
        <x:v>B5</x:v>
      </x:c>
      <x:c r="D1173" s="30" t="str">
        <x:v>Kalashnikov Concern — Small Arms: AK-308</x:v>
      </x:c>
    </x:row>
    <x:row r="1174">
      <x:c r="A1174" s="30" t="str">
        <x:v>https://www.weaponspecs.com/systems/huta-stalowa-wola/borsuk-ifv/</x:v>
      </x:c>
      <x:c r="B1174" s="30" t="str">
        <x:v>Huta Stalowa Wola (HSW)</x:v>
      </x:c>
      <x:c r="C1174" s="30" t="str">
        <x:v>B5</x:v>
      </x:c>
      <x:c r="D1174" s="30" t="str">
        <x:v>Huta Stalowa Wola (HSW) — Protected Vehicles: Borsuk Amphibious IFV</x:v>
      </x:c>
    </x:row>
    <x:row r="1175">
      <x:c r="A1175" s="30" t="str">
        <x:v>https://www.weaponspecs.com/systems/kalashnikov-concern/ak-12/</x:v>
      </x:c>
      <x:c r="B1175" s="30" t="str">
        <x:v>Kalashnikov Concern</x:v>
      </x:c>
      <x:c r="C1175" s="30" t="str">
        <x:v>B5</x:v>
      </x:c>
      <x:c r="D1175" s="30" t="str">
        <x:v>Kalashnikov Concern — Small Arms: AK-12</x:v>
      </x:c>
    </x:row>
    <x:row r="1176">
      <x:c r="A1176" s="30" t="str">
        <x:v>https://www.weaponspecs.com/systems/kalashnikov-concern/ak-15/</x:v>
      </x:c>
      <x:c r="B1176" s="30" t="str">
        <x:v>Kalashnikov Concern</x:v>
      </x:c>
      <x:c r="C1176" s="30" t="str">
        <x:v>B5</x:v>
      </x:c>
      <x:c r="D1176" s="30" t="str">
        <x:v>Kalashnikov Concern — Small Arms: AK-15</x:v>
      </x:c>
    </x:row>
    <x:row r="1177">
      <x:c r="A1177" s="30" t="str">
        <x:v>https://www.weaponspecs.com/systems/kalashnikov-concern/ak-19/</x:v>
      </x:c>
      <x:c r="B1177" s="30" t="str">
        <x:v>Kalashnikov Concern</x:v>
      </x:c>
      <x:c r="C1177" s="30" t="str">
        <x:v>B5</x:v>
      </x:c>
      <x:c r="D1177" s="30" t="str">
        <x:v>Kalashnikov Concern — Small Arms: AK-19</x:v>
      </x:c>
    </x:row>
    <x:row r="1178">
      <x:c r="A1178" s="30" t="str">
        <x:v>https://www.weaponspecs.com/systems/kalashnikov-concern/rpk-16/</x:v>
      </x:c>
      <x:c r="B1178" s="30" t="str">
        <x:v>Kalashnikov Concern</x:v>
      </x:c>
      <x:c r="C1178" s="30" t="str">
        <x:v>B5</x:v>
      </x:c>
      <x:c r="D1178" s="30" t="str">
        <x:v>Kalashnikov Concern — Small Arms: RPK-16</x:v>
      </x:c>
    </x:row>
    <x:row r="1179">
      <x:c r="A1179" s="30" t="str">
        <x:v>https://www.weaponspecs.com/systems/oshkosh-defense/oshkosh-hemtt-m977/</x:v>
      </x:c>
      <x:c r="B1179" s="30" t="str">
        <x:v>Oshkosh Defense</x:v>
      </x:c>
      <x:c r="C1179" s="30" t="str">
        <x:v>B5</x:v>
      </x:c>
      <x:c r="D1179" s="30" t="str">
        <x:v>Oshkosh Defense — Protected Vehicles: HEMTT A4</x:v>
      </x:c>
    </x:row>
    <x:row r="1180">
      <x:c r="A1180" s="30" t="str">
        <x:v>https://www.weaponspecs.com/systems/patria/patria-nemo/</x:v>
      </x:c>
      <x:c r="B1180" s="30" t="str">
        <x:v>Patria</x:v>
      </x:c>
      <x:c r="C1180" s="30" t="str">
        <x:v>B3</x:v>
      </x:c>
      <x:c r="D1180" s="30" t="str">
        <x:v>Patria — Artillery: Patria NEMO 120 mm Mortar System</x:v>
      </x:c>
    </x:row>
    <x:row r="1181">
      <x:c r="A1181" s="30" t="str">
        <x:v>https://www.wired.com/story/andurils-real-war-is-with-itself/</x:v>
      </x:c>
      <x:c r="B1181" s="30" t="str">
        <x:v>Anduril</x:v>
      </x:c>
      <x:c r="C1181" s="30" t="str">
        <x:v>B9</x:v>
      </x:c>
      <x:c r="D1181" s="30" t="str">
        <x:v>Anduril — UAVs/Drones: Fury</x:v>
      </x:c>
    </x:row>
    <x:row r="1182">
      <x:c r="A1182" s="30" t="str">
        <x:v>https://www.ynetnews.com/business/article/skxp001xj11x</x:v>
      </x:c>
      <x:c r="B1182" s="30" t="str">
        <x:v>Rafael Advanced Defense Systems</x:v>
      </x:c>
      <x:c r="C1182" s="30" t="str">
        <x:v>B6</x:v>
      </x:c>
      <x:c r="D1182" s="30" t="str">
        <x:v>Rafael Advanced Defense Systems — company details</x:v>
      </x:c>
    </x:row>
    <x:row r="1183">
      <x:c r="A1183" s="30" t="str">
        <x:v>https://www.zaubacorp.com/MAHINDRA-DEFENCE-SYSTEMS-LIMITED-U75220MH2012PLC233889</x:v>
      </x:c>
      <x:c r="B1183" s="30" t="str">
        <x:v>Mahindra Defence</x:v>
      </x:c>
      <x:c r="C1183" s="30" t="str">
        <x:v>B3</x:v>
      </x:c>
      <x:c r="D1183" s="30" t="str">
        <x:v>Mahindra Defence — company details</x:v>
      </x:c>
    </x:row>
    <x:row r="1184">
      <x:c r="A1184" s="30" t="str">
        <x:v>https://www.zaubacorp.com/PLR-SYSTEMS-PRIVATE-LIMITED-U74999GJ2013PTC123466</x:v>
      </x:c>
      <x:c r="B1184" s="30" t="str">
        <x:v>PLR Systems (IWI+Adani)</x:v>
      </x:c>
      <x:c r="C1184" s="30" t="str">
        <x:v>B4</x:v>
      </x:c>
      <x:c r="D1184" s="30" t="str">
        <x:v>PLR Systems (IWI+Adani) — company details</x:v>
      </x:c>
    </x:row>
  </x:sheetData>
  <x:pageMargins left="0.7" right="0.7" top="0.75" bottom="0.75" header="0.3" footer="0.3"/>
  <x:tableParts count="1">
    <x:tablePart xmlns:r="http://schemas.openxmlformats.org/officeDocument/2006/relationships" r:id="Re7d15813a43744f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22" hidden="0" customWidth="1"/>
    <x:col min="4" max="4" width="62" hidden="0" customWidth="1"/>
    <x:col min="5" max="5" width="96" hidden="0" customWidth="1"/>
  </x:cols>
  <x:sheetData>
    <x:row r="1">
      <x:c r="A1" s="5" t="str">
        <x:v>AUDITED DATA QUALITY &amp; CROSS-CHECK</x:v>
      </x:c>
      <x:c r="B1" s="5"/>
      <x:c r="C1" s="5"/>
      <x:c r="D1" s="5"/>
      <x:c r="E1" s="5"/>
    </x:row>
    <x:row r="3">
      <x:c r="A3" s="24" t="str">
        <x:v>Metric</x:v>
      </x:c>
      <x:c r="B3" s="24" t="str">
        <x:v>Result</x:v>
      </x:c>
    </x:row>
    <x:row r="4">
      <x:c r="A4" t="str">
        <x:v>Strict product rows</x:v>
      </x:c>
      <x:c r="B4" t="n">
        <x:v>1083</x:v>
      </x:c>
    </x:row>
    <x:row r="5">
      <x:c r="A5" t="str">
        <x:v>Subsystem/workshare appendix rows</x:v>
      </x:c>
      <x:c r="B5" t="n">
        <x:v>55</x:v>
      </x:c>
    </x:row>
    <x:row r="6">
      <x:c r="A6" t="str">
        <x:v>QA-flagged strict rows</x:v>
      </x:c>
      <x:c r="B6" t="n">
        <x:v>189</x:v>
      </x:c>
    </x:row>
    <x:row r="7">
      <x:c r="A7" t="str">
        <x:v>Non-standard categories</x:v>
      </x:c>
      <x:c r="B7" t="n">
        <x:v>0</x:v>
      </x:c>
    </x:row>
    <x:row r="8">
      <x:c r="A8" t="str">
        <x:v>Missing source cells</x:v>
      </x:c>
      <x:c r="B8" t="n">
        <x:v>0</x:v>
      </x:c>
    </x:row>
    <x:row r="9">
      <x:c r="A9" t="str">
        <x:v>Wikipedia/Facebook source rows</x:v>
      </x:c>
      <x:c r="B9" t="n">
        <x:v>0</x:v>
      </x:c>
    </x:row>
    <x:row r="10">
      <x:c r="A10" t="str">
        <x:v>Exact duplicate company+product keys</x:v>
      </x:c>
      <x:c r="B10" t="n">
        <x:v>0</x:v>
      </x:c>
    </x:row>
    <x:row r="12">
      <x:c r="A12" s="24" t="str">
        <x:v>Batch</x:v>
      </x:c>
      <x:c r="B12" s="24" t="str">
        <x:v>Company</x:v>
      </x:c>
      <x:c r="C12" s="24" t="str">
        <x:v>Category</x:v>
      </x:c>
      <x:c r="D12" s="24" t="str">
        <x:v>Product</x:v>
      </x:c>
      <x:c r="E12" s="24" t="str">
        <x:v>Review Flag</x:v>
      </x:c>
    </x:row>
    <x:row r="13">
      <x:c r="A13" s="30" t="n">
        <x:v>1</x:v>
      </x:c>
      <x:c r="B13" s="30" t="str">
        <x:v>AWEIL</x:v>
      </x:c>
      <x:c r="C13" s="30" t="str">
        <x:v>Artillery</x:v>
      </x:c>
      <x:c r="D13" s="30" t="str">
        <x:v>155 mm × 52 Cal Mounted Gun System (MGS)</x:v>
      </x:c>
      <x:c r="E13" s="30" t="str">
        <x:v>Family/system/component-level entry — review if exact-model-only view is needed</x:v>
      </x:c>
    </x:row>
    <x:row r="14">
      <x:c r="A14" s="30" t="n">
        <x:v>1</x:v>
      </x:c>
      <x:c r="B14" s="30" t="str">
        <x:v>AWEIL</x:v>
      </x:c>
      <x:c r="C14" s="30" t="str">
        <x:v>Artillery</x:v>
      </x:c>
      <x:c r="D14" s="30" t="str">
        <x:v>155 mm × 52 Cal Towed Gun System (TGS)</x:v>
      </x:c>
      <x:c r="E14" s="30" t="str">
        <x:v>Family/system/component-level entry — review if exact-model-only view is needed</x:v>
      </x:c>
    </x:row>
    <x:row r="15">
      <x:c r="A15" s="30" t="n">
        <x:v>1</x:v>
      </x:c>
      <x:c r="B15" s="30" t="str">
        <x:v>AWEIL</x:v>
      </x:c>
      <x:c r="C15" s="30" t="str">
        <x:v>Artillery</x:v>
      </x:c>
      <x:c r="D15" s="30" t="str">
        <x:v>Dhanush 155 mm × 45 Cal Artillery Gun System</x:v>
      </x:c>
      <x:c r="E15" s="30" t="str">
        <x:v>Family/system/component-level entry — review if exact-model-only view is needed</x:v>
      </x:c>
    </x:row>
    <x:row r="16">
      <x:c r="A16" s="30" t="n">
        <x:v>1</x:v>
      </x:c>
      <x:c r="B16" s="30" t="str">
        <x:v>AWEIL</x:v>
      </x:c>
      <x:c r="C16" s="30" t="str">
        <x:v>Artillery</x:v>
      </x:c>
      <x:c r="D16" s="30" t="str">
        <x:v>Sharang 155 mm × 45 Cal Up-Gunned Artillery System</x:v>
      </x:c>
      <x:c r="E16" s="30" t="str">
        <x:v>Family/system/component-level entry — review if exact-model-only view is needed</x:v>
      </x:c>
    </x:row>
    <x:row r="17">
      <x:c r="A17" s="30" t="n">
        <x:v>1</x:v>
      </x:c>
      <x:c r="B17" s="30" t="str">
        <x:v>AWEIL</x:v>
      </x:c>
      <x:c r="C17" s="30" t="str">
        <x:v>Small Arms</x:v>
      </x:c>
      <x:c r="D17" s="30" t="str">
        <x:v>14.5 mm Field Artillery Training System</x:v>
      </x:c>
      <x:c r="E17" s="30" t="str">
        <x:v>Family/system/component-level entry — review if exact-model-only view is needed</x:v>
      </x:c>
    </x:row>
    <x:row r="18">
      <x:c r="A18" s="30" t="n">
        <x:v>1</x:v>
      </x:c>
      <x:c r="B18" s="30" t="str">
        <x:v>BAE Systems</x:v>
      </x:c>
      <x:c r="C18" s="30" t="str">
        <x:v>Ammunition</x:v>
      </x:c>
      <x:c r="D18" s="30" t="str">
        <x:v>BlackThorn Mission-Configurable Warheads</x:v>
      </x:c>
      <x:c r="E18" s="30" t="str">
        <x:v>Family/system/component-level entry — review if exact-model-only view is needed</x:v>
      </x:c>
    </x:row>
    <x:row r="19">
      <x:c r="A19" s="30" t="n">
        <x:v>1</x:v>
      </x:c>
      <x:c r="B19" s="30" t="str">
        <x:v>BAE Systems</x:v>
      </x:c>
      <x:c r="C19" s="30" t="str">
        <x:v>Protected Vehicles</x:v>
      </x:c>
      <x:c r="D19" s="30" t="str">
        <x:v>M113 Family</x:v>
      </x:c>
      <x:c r="E19" s="30" t="str">
        <x:v>Family/system/component-level entry — review if exact-model-only view is needed</x:v>
      </x:c>
    </x:row>
    <x:row r="20">
      <x:c r="A20" s="30" t="n">
        <x:v>1</x:v>
      </x:c>
      <x:c r="B20" s="30" t="str">
        <x:v>BAE Systems</x:v>
      </x:c>
      <x:c r="C20" s="30" t="str">
        <x:v>Marine/Naval</x:v>
      </x:c>
      <x:c r="D20" s="30" t="str">
        <x:v>57 mm Naval Gun System / Bofors 57 Mk3</x:v>
      </x:c>
      <x:c r="E20" s="30" t="str">
        <x:v>Family/system/component-level entry — review if exact-model-only view is needed</x:v>
      </x:c>
    </x:row>
    <x:row r="21">
      <x:c r="A21" s="30" t="n">
        <x:v>1</x:v>
      </x:c>
      <x:c r="B21" s="30" t="str">
        <x:v>BAE Systems</x:v>
      </x:c>
      <x:c r="C21" s="30" t="str">
        <x:v>Marine/Naval</x:v>
      </x:c>
      <x:c r="D21" s="30" t="str">
        <x:v>Adaptable Deck Launching System (ADLS)</x:v>
      </x:c>
      <x:c r="E21" s="30" t="str">
        <x:v>Family/system/component-level entry — review if exact-model-only view is needed</x:v>
      </x:c>
    </x:row>
    <x:row r="22">
      <x:c r="A22" s="30" t="n">
        <x:v>1</x:v>
      </x:c>
      <x:c r="B22" s="30" t="str">
        <x:v>BAE Systems</x:v>
      </x:c>
      <x:c r="C22" s="30" t="str">
        <x:v>Marine/Naval</x:v>
      </x:c>
      <x:c r="D22" s="30" t="str">
        <x:v>Archerfish Mine Disposal System</x:v>
      </x:c>
      <x:c r="E22" s="30" t="str">
        <x:v>Family/system/component-level entry — review if exact-model-only view is needed</x:v>
      </x:c>
    </x:row>
    <x:row r="23">
      <x:c r="A23" s="30" t="n">
        <x:v>1</x:v>
      </x:c>
      <x:c r="B23" s="30" t="str">
        <x:v>BAE Systems</x:v>
      </x:c>
      <x:c r="C23" s="30" t="str">
        <x:v>Marine/Naval</x:v>
      </x:c>
      <x:c r="D23" s="30" t="str">
        <x:v>Mk38 Mod 3 Machine Gun System</x:v>
      </x:c>
      <x:c r="E23" s="30" t="str">
        <x:v>Family/system/component-level entry — review if exact-model-only view is needed</x:v>
      </x:c>
    </x:row>
    <x:row r="24">
      <x:c r="A24" s="30" t="n">
        <x:v>1</x:v>
      </x:c>
      <x:c r="B24" s="30" t="str">
        <x:v>BAE Systems</x:v>
      </x:c>
      <x:c r="C24" s="30" t="str">
        <x:v>Marine/Naval</x:v>
      </x:c>
      <x:c r="D24" s="30" t="str">
        <x:v>Mk45 Mod 4 Naval Gun System</x:v>
      </x:c>
      <x:c r="E24" s="30" t="str">
        <x:v>Family/system/component-level entry — review if exact-model-only view is needed</x:v>
      </x:c>
    </x:row>
    <x:row r="25">
      <x:c r="A25" s="30" t="n">
        <x:v>1</x:v>
      </x:c>
      <x:c r="B25" s="30" t="str">
        <x:v>BAE Systems</x:v>
      </x:c>
      <x:c r="C25" s="30" t="str">
        <x:v>UAVs/Drones</x:v>
      </x:c>
      <x:c r="D25" s="30" t="str">
        <x:v>DEMON</x:v>
      </x:c>
      <x:c r="E25" s="30" t="str">
        <x:v>Limited/configuration-dependent public specifications</x:v>
      </x:c>
    </x:row>
    <x:row r="26">
      <x:c r="A26" s="30" t="n">
        <x:v>1</x:v>
      </x:c>
      <x:c r="B26" s="30" t="str">
        <x:v>BAE Systems</x:v>
      </x:c>
      <x:c r="C26" s="30" t="str">
        <x:v>UAVs/Drones</x:v>
      </x:c>
      <x:c r="D26" s="30" t="str">
        <x:v>Taranis</x:v>
      </x:c>
      <x:c r="E26" s="30" t="str">
        <x:v>Limited/configuration-dependent public specifications</x:v>
      </x:c>
    </x:row>
    <x:row r="27">
      <x:c r="A27" s="30" t="n">
        <x:v>1</x:v>
      </x:c>
      <x:c r="B27" s="30" t="str">
        <x:v>Leonardo</x:v>
      </x:c>
      <x:c r="C27" s="30" t="str">
        <x:v>Ammunition</x:v>
      </x:c>
      <x:c r="D27" s="30" t="str">
        <x:v>4AP Fuze</x:v>
      </x:c>
      <x:c r="E27" s="30" t="str">
        <x:v>Family/system/component-level entry — review if exact-model-only view is needed</x:v>
      </x:c>
    </x:row>
    <x:row r="28">
      <x:c r="A28" s="30" t="n">
        <x:v>1</x:v>
      </x:c>
      <x:c r="B28" s="30" t="str">
        <x:v>Leonardo</x:v>
      </x:c>
      <x:c r="C28" s="30" t="str">
        <x:v>Marine/Naval</x:v>
      </x:c>
      <x:c r="D28" s="30" t="str">
        <x:v>LIONFISH 20/30 Family</x:v>
      </x:c>
      <x:c r="E28" s="30" t="str">
        <x:v>Family/system/component-level entry — review if exact-model-only view is needed</x:v>
      </x:c>
    </x:row>
    <x:row r="29">
      <x:c r="A29" s="30" t="n">
        <x:v>1</x:v>
      </x:c>
      <x:c r="B29" s="30" t="str">
        <x:v>Leonardo</x:v>
      </x:c>
      <x:c r="C29" s="30" t="str">
        <x:v>Marine/Naval</x:v>
      </x:c>
      <x:c r="D29" s="30" t="str">
        <x:v>OTO 76/62 Compact / family</x:v>
      </x:c>
      <x:c r="E29" s="30" t="str">
        <x:v>Family/system/component-level entry — review if exact-model-only view is needed</x:v>
      </x:c>
    </x:row>
    <x:row r="30">
      <x:c r="A30" s="30" t="n">
        <x:v>2</x:v>
      </x:c>
      <x:c r="B30" s="30" t="str">
        <x:v>Rheinmetall</x:v>
      </x:c>
      <x:c r="C30" s="30" t="str">
        <x:v>Artillery</x:v>
      </x:c>
      <x:c r="D30" s="30" t="str">
        <x:v>Skyranger 30 Mobile Air Defence System</x:v>
      </x:c>
      <x:c r="E30" s="30" t="str">
        <x:v>Family/system/component-level entry — review if exact-model-only view is needed</x:v>
      </x:c>
    </x:row>
    <x:row r="31">
      <x:c r="A31" s="30" t="n">
        <x:v>2</x:v>
      </x:c>
      <x:c r="B31" s="30" t="str">
        <x:v>Rheinmetall</x:v>
      </x:c>
      <x:c r="C31" s="30" t="str">
        <x:v>Artillery</x:v>
      </x:c>
      <x:c r="D31" s="30" t="str">
        <x:v>Skyranger 35 Mobile Air Defence System</x:v>
      </x:c>
      <x:c r="E31" s="30" t="str">
        <x:v>Family/system/component-level entry — review if exact-model-only view is needed</x:v>
      </x:c>
    </x:row>
    <x:row r="32">
      <x:c r="A32" s="30" t="n">
        <x:v>2</x:v>
      </x:c>
      <x:c r="B32" s="30" t="str">
        <x:v>Rheinmetall</x:v>
      </x:c>
      <x:c r="C32" s="30" t="str">
        <x:v>Ammunition</x:v>
      </x:c>
      <x:c r="D32" s="30" t="str">
        <x:v>Assegai 155 mm Projectile Family</x:v>
      </x:c>
      <x:c r="E32" s="30" t="str">
        <x:v>Family/system/component-level entry — review if exact-model-only view is needed</x:v>
      </x:c>
    </x:row>
    <x:row r="33">
      <x:c r="A33" s="30" t="n">
        <x:v>2</x:v>
      </x:c>
      <x:c r="B33" s="30" t="str">
        <x:v>Rheinmetall</x:v>
      </x:c>
      <x:c r="C33" s="30" t="str">
        <x:v>Marine/Naval</x:v>
      </x:c>
      <x:c r="D33" s="30" t="str">
        <x:v>Oerlikon Millennium Gun System</x:v>
      </x:c>
      <x:c r="E33" s="30" t="str">
        <x:v>Family/system/component-level entry — review if exact-model-only view is needed</x:v>
      </x:c>
    </x:row>
    <x:row r="34">
      <x:c r="A34" s="30" t="n">
        <x:v>2</x:v>
      </x:c>
      <x:c r="B34" s="30" t="str">
        <x:v>Hanwha (Aerospace/Group)</x:v>
      </x:c>
      <x:c r="C34" s="30" t="str">
        <x:v>Ammunition</x:v>
      </x:c>
      <x:c r="D34" s="30" t="str">
        <x:v>155 mm Artillery Ammunition Family</x:v>
      </x:c>
      <x:c r="E34" s="30" t="str">
        <x:v>Family/system/component-level entry — review if exact-model-only view is needed</x:v>
      </x:c>
    </x:row>
    <x:row r="35">
      <x:c r="A35" s="30" t="n">
        <x:v>2</x:v>
      </x:c>
      <x:c r="B35" s="30" t="str">
        <x:v>Elbit Systems</x:v>
      </x:c>
      <x:c r="C35" s="30" t="str">
        <x:v>Artillery</x:v>
      </x:c>
      <x:c r="D35" s="30" t="str">
        <x:v>CARDOM 120/81 mm Mortar System</x:v>
      </x:c>
      <x:c r="E35" s="30" t="str">
        <x:v>Family/system/component-level entry — review if exact-model-only view is needed</x:v>
      </x:c>
    </x:row>
    <x:row r="36">
      <x:c r="A36" s="30" t="n">
        <x:v>2</x:v>
      </x:c>
      <x:c r="B36" s="30" t="str">
        <x:v>Elbit Systems</x:v>
      </x:c>
      <x:c r="C36" s="30" t="str">
        <x:v>Artillery</x:v>
      </x:c>
      <x:c r="D36" s="30" t="str">
        <x:v>PULS — Precise &amp; Universal Launching System</x:v>
      </x:c>
      <x:c r="E36" s="30" t="str">
        <x:v>Family/system/component-level entry — review if exact-model-only view is needed</x:v>
      </x:c>
    </x:row>
    <x:row r="37">
      <x:c r="A37" s="30" t="n">
        <x:v>2</x:v>
      </x:c>
      <x:c r="B37" s="30" t="str">
        <x:v>Elbit Systems</x:v>
      </x:c>
      <x:c r="C37" s="30" t="str">
        <x:v>Artillery</x:v>
      </x:c>
      <x:c r="D37" s="30" t="str">
        <x:v>SPEAR 120 mm Mortar System</x:v>
      </x:c>
      <x:c r="E37" s="30" t="str">
        <x:v>Family/system/component-level entry — review if exact-model-only view is needed</x:v>
      </x:c>
    </x:row>
    <x:row r="38">
      <x:c r="A38" s="30" t="n">
        <x:v>2</x:v>
      </x:c>
      <x:c r="B38" s="30" t="str">
        <x:v>Elbit Systems</x:v>
      </x:c>
      <x:c r="C38" s="30" t="str">
        <x:v>Ammunition</x:v>
      </x:c>
      <x:c r="D38" s="30" t="str">
        <x:v>155 mm Artillery Ammunition Family</x:v>
      </x:c>
      <x:c r="E38" s="30" t="str">
        <x:v>Family/system/component-level entry — review if exact-model-only view is needed</x:v>
      </x:c>
    </x:row>
    <x:row r="39">
      <x:c r="A39" s="30" t="n">
        <x:v>2</x:v>
      </x:c>
      <x:c r="B39" s="30" t="str">
        <x:v>General Dynamics</x:v>
      </x:c>
      <x:c r="C39" s="30" t="str">
        <x:v>Ammunition</x:v>
      </x:c>
      <x:c r="D39" s="30" t="str">
        <x:v>25 mm Bushmaster Ammunition Family</x:v>
      </x:c>
      <x:c r="E39" s="30" t="str">
        <x:v>Family/system/component-level entry — review if exact-model-only view is needed</x:v>
      </x:c>
    </x:row>
    <x:row r="40">
      <x:c r="A40" s="30" t="n">
        <x:v>2</x:v>
      </x:c>
      <x:c r="B40" s="30" t="str">
        <x:v>General Dynamics</x:v>
      </x:c>
      <x:c r="C40" s="30" t="str">
        <x:v>Ammunition</x:v>
      </x:c>
      <x:c r="D40" s="30" t="str">
        <x:v>Medium-Caliber Ammunition Family</x:v>
      </x:c>
      <x:c r="E40" s="30" t="str">
        <x:v>Family/system/component-level entry — review if exact-model-only view is needed</x:v>
      </x:c>
    </x:row>
    <x:row r="41">
      <x:c r="A41" s="30" t="n">
        <x:v>2</x:v>
      </x:c>
      <x:c r="B41" s="30" t="str">
        <x:v>General Dynamics</x:v>
      </x:c>
      <x:c r="C41" s="30" t="str">
        <x:v>Ammunition</x:v>
      </x:c>
      <x:c r="D41" s="30" t="str">
        <x:v>Small-Caliber Ammunition Family</x:v>
      </x:c>
      <x:c r="E41" s="30" t="str">
        <x:v>Family/system/component-level entry — review if exact-model-only view is needed</x:v>
      </x:c>
    </x:row>
    <x:row r="42">
      <x:c r="A42" s="30" t="n">
        <x:v>2</x:v>
      </x:c>
      <x:c r="B42" s="30" t="str">
        <x:v>General Dynamics</x:v>
      </x:c>
      <x:c r="C42" s="30" t="str">
        <x:v>Protected Vehicles</x:v>
      </x:c>
      <x:c r="D42" s="30" t="str">
        <x:v>ASCOD Tracked Vehicle Family</x:v>
      </x:c>
      <x:c r="E42" s="30" t="str">
        <x:v>Family/system/component-level entry — review if exact-model-only view is needed</x:v>
      </x:c>
    </x:row>
    <x:row r="43">
      <x:c r="A43" s="30" t="n">
        <x:v>2</x:v>
      </x:c>
      <x:c r="B43" s="30" t="str">
        <x:v>General Dynamics</x:v>
      </x:c>
      <x:c r="C43" s="30" t="str">
        <x:v>Protected Vehicles</x:v>
      </x:c>
      <x:c r="D43" s="30" t="str">
        <x:v>M1A2 Abrams SEPv3</x:v>
      </x:c>
      <x:c r="E43" s="30" t="str">
        <x:v>Limited/configuration-dependent public specifications</x:v>
      </x:c>
    </x:row>
    <x:row r="44">
      <x:c r="A44" s="30" t="n">
        <x:v>2</x:v>
      </x:c>
      <x:c r="B44" s="30" t="str">
        <x:v>General Dynamics</x:v>
      </x:c>
      <x:c r="C44" s="30" t="str">
        <x:v>Missiles</x:v>
      </x:c>
      <x:c r="D44" s="30" t="str">
        <x:v>Hydra-70 Rocket System</x:v>
      </x:c>
      <x:c r="E44" s="30" t="str">
        <x:v>Family/system/component-level entry — review if exact-model-only view is needed</x:v>
      </x:c>
    </x:row>
    <x:row r="45">
      <x:c r="A45" s="30" t="n">
        <x:v>3</x:v>
      </x:c>
      <x:c r="B45" s="30" t="str">
        <x:v>Tata Advanced Systems</x:v>
      </x:c>
      <x:c r="C45" s="30" t="str">
        <x:v>Artillery</x:v>
      </x:c>
      <x:c r="D45" s="30" t="str">
        <x:v>105 mm Mounted Gun System</x:v>
      </x:c>
      <x:c r="E45" s="30" t="str">
        <x:v>Family/system/component-level entry — review if exact-model-only view is needed</x:v>
      </x:c>
    </x:row>
    <x:row r="46">
      <x:c r="A46" s="30" t="n">
        <x:v>3</x:v>
      </x:c>
      <x:c r="B46" s="30" t="str">
        <x:v>Tata Advanced Systems</x:v>
      </x:c>
      <x:c r="C46" s="30" t="str">
        <x:v>Artillery</x:v>
      </x:c>
      <x:c r="D46" s="30" t="str">
        <x:v>155/52 mm Mounted Gun System</x:v>
      </x:c>
      <x:c r="E46" s="30" t="str">
        <x:v>Family/system/component-level entry — review if exact-model-only view is needed</x:v>
      </x:c>
    </x:row>
    <x:row r="47">
      <x:c r="A47" s="30" t="n">
        <x:v>3</x:v>
      </x:c>
      <x:c r="B47" s="30" t="str">
        <x:v>Tata Advanced Systems</x:v>
      </x:c>
      <x:c r="C47" s="30" t="str">
        <x:v>Artillery</x:v>
      </x:c>
      <x:c r="D47" s="30" t="str">
        <x:v>ATAGS — Advanced Towed Artillery Gun System</x:v>
      </x:c>
      <x:c r="E47" s="30" t="str">
        <x:v>Family/system/component-level entry — review if exact-model-only view is needed</x:v>
      </x:c>
    </x:row>
    <x:row r="48">
      <x:c r="A48" s="30" t="n">
        <x:v>3</x:v>
      </x:c>
      <x:c r="B48" s="30" t="str">
        <x:v>Tata Advanced Systems</x:v>
      </x:c>
      <x:c r="C48" s="30" t="str">
        <x:v>Protected Vehicles</x:v>
      </x:c>
      <x:c r="D48" s="30" t="str">
        <x:v>Advanced Armoured Tracked Platform (AATP)</x:v>
      </x:c>
      <x:c r="E48" s="30" t="str">
        <x:v>Limited/configuration-dependent public specifications</x:v>
      </x:c>
    </x:row>
    <x:row r="49">
      <x:c r="A49" s="30" t="n">
        <x:v>3</x:v>
      </x:c>
      <x:c r="B49" s="30" t="str">
        <x:v>Tata Advanced Systems</x:v>
      </x:c>
      <x:c r="C49" s="30" t="str">
        <x:v>Protected Vehicles</x:v>
      </x:c>
      <x:c r="D49" s="30" t="str">
        <x:v>Light Armoured Multi-Role Vehicle (LAMV) 4×4</x:v>
      </x:c>
      <x:c r="E49" s="30" t="str">
        <x:v>Limited/configuration-dependent public specifications</x:v>
      </x:c>
    </x:row>
    <x:row r="50">
      <x:c r="A50" s="30" t="n">
        <x:v>3</x:v>
      </x:c>
      <x:c r="B50" s="30" t="str">
        <x:v>Tata Advanced Systems</x:v>
      </x:c>
      <x:c r="C50" s="30" t="str">
        <x:v>Protected Vehicles</x:v>
      </x:c>
      <x:c r="D50" s="30" t="str">
        <x:v>Tata Mine Protected Vehicle family</x:v>
      </x:c>
      <x:c r="E50" s="30" t="str">
        <x:v>Limited/configuration-dependent public specifications; Family/system/component-level entry — review if exact-model-only view is needed</x:v>
      </x:c>
    </x:row>
    <x:row r="51">
      <x:c r="A51" s="30" t="n">
        <x:v>3</x:v>
      </x:c>
      <x:c r="B51" s="30" t="str">
        <x:v>Tata Advanced Systems</x:v>
      </x:c>
      <x:c r="C51" s="30" t="str">
        <x:v>UAVs/Drones</x:v>
      </x:c>
      <x:c r="D51" s="30" t="str">
        <x:v>ALS-50M / larger ALS UAV family</x:v>
      </x:c>
      <x:c r="E51" s="30" t="str">
        <x:v>Family/system/component-level entry — review if exact-model-only view is needed</x:v>
      </x:c>
    </x:row>
    <x:row r="52">
      <x:c r="A52" s="30" t="n">
        <x:v>3</x:v>
      </x:c>
      <x:c r="B52" s="30" t="str">
        <x:v>Tata Advanced Systems</x:v>
      </x:c>
      <x:c r="C52" s="30" t="str">
        <x:v>UAVs/Drones</x:v>
      </x:c>
      <x:c r="D52" s="30" t="str">
        <x:v>SKY-I Small UAV</x:v>
      </x:c>
      <x:c r="E52" s="30" t="str">
        <x:v>Limited/configuration-dependent public specifications</x:v>
      </x:c>
    </x:row>
    <x:row r="53">
      <x:c r="A53" s="30" t="n">
        <x:v>3</x:v>
      </x:c>
      <x:c r="B53" s="30" t="str">
        <x:v>Tata Advanced Systems</x:v>
      </x:c>
      <x:c r="C53" s="30" t="str">
        <x:v>UAVs/Drones</x:v>
      </x:c>
      <x:c r="D53" s="30" t="str">
        <x:v>Small tactical UAV family</x:v>
      </x:c>
      <x:c r="E53" s="30" t="str">
        <x:v>Family/system/component-level entry — review if exact-model-only view is needed</x:v>
      </x:c>
    </x:row>
    <x:row r="54">
      <x:c r="A54" s="30" t="n">
        <x:v>3</x:v>
      </x:c>
      <x:c r="B54" s="30" t="str">
        <x:v>Tata Advanced Systems</x:v>
      </x:c>
      <x:c r="C54" s="30" t="str">
        <x:v>Missiles</x:v>
      </x:c>
      <x:c r="D54" s="30" t="str">
        <x:v>Advanced Air Defence (AAD) Mobile Launcher System</x:v>
      </x:c>
      <x:c r="E54" s="30" t="str">
        <x:v>Family/system/component-level entry — review if exact-model-only view is needed</x:v>
      </x:c>
    </x:row>
    <x:row r="55">
      <x:c r="A55" s="30" t="n">
        <x:v>3</x:v>
      </x:c>
      <x:c r="B55" s="30" t="str">
        <x:v>Tata Advanced Systems</x:v>
      </x:c>
      <x:c r="C55" s="30" t="str">
        <x:v>Missiles</x:v>
      </x:c>
      <x:c r="D55" s="30" t="str">
        <x:v>MRSAM Mobile Launcher System</x:v>
      </x:c>
      <x:c r="E55" s="30" t="str">
        <x:v>Family/system/component-level entry — review if exact-model-only view is needed</x:v>
      </x:c>
    </x:row>
    <x:row r="56">
      <x:c r="A56" s="30" t="n">
        <x:v>3</x:v>
      </x:c>
      <x:c r="B56" s="30" t="str">
        <x:v>Mahindra Defence</x:v>
      </x:c>
      <x:c r="C56" s="30" t="str">
        <x:v>Ammunition</x:v>
      </x:c>
      <x:c r="D56" s="30" t="str">
        <x:v>Anti-Submarine Bombs</x:v>
      </x:c>
      <x:c r="E56" s="30" t="str">
        <x:v>Limited/configuration-dependent public specifications</x:v>
      </x:c>
    </x:row>
    <x:row r="57">
      <x:c r="A57" s="30" t="n">
        <x:v>3</x:v>
      </x:c>
      <x:c r="B57" s="30" t="str">
        <x:v>Mahindra Defence</x:v>
      </x:c>
      <x:c r="C57" s="30" t="str">
        <x:v>Ammunition</x:v>
      </x:c>
      <x:c r="D57" s="30" t="str">
        <x:v>Sea Mines</x:v>
      </x:c>
      <x:c r="E57" s="30" t="str">
        <x:v>Limited/configuration-dependent public specifications</x:v>
      </x:c>
    </x:row>
    <x:row r="58">
      <x:c r="A58" s="30" t="n">
        <x:v>3</x:v>
      </x:c>
      <x:c r="B58" s="30" t="str">
        <x:v>Mahindra Defence</x:v>
      </x:c>
      <x:c r="C58" s="30" t="str">
        <x:v>Marine/Naval</x:v>
      </x:c>
      <x:c r="D58" s="30" t="str">
        <x:v>Decoy Launchers</x:v>
      </x:c>
      <x:c r="E58" s="30" t="str">
        <x:v>Limited/configuration-dependent public specifications</x:v>
      </x:c>
    </x:row>
    <x:row r="59">
      <x:c r="A59" s="30" t="n">
        <x:v>3</x:v>
      </x:c>
      <x:c r="B59" s="30" t="str">
        <x:v>Mahindra Defence</x:v>
      </x:c>
      <x:c r="C59" s="30" t="str">
        <x:v>Marine/Naval</x:v>
      </x:c>
      <x:c r="D59" s="30" t="str">
        <x:v>Integrated Anti-Submarine Warfare Defence Suite (IADS)</x:v>
      </x:c>
      <x:c r="E59" s="30" t="str">
        <x:v>Family/system/component-level entry — review if exact-model-only view is needed</x:v>
      </x:c>
    </x:row>
    <x:row r="60">
      <x:c r="A60" s="30" t="n">
        <x:v>3</x:v>
      </x:c>
      <x:c r="B60" s="30" t="str">
        <x:v>Mahindra Defence</x:v>
      </x:c>
      <x:c r="C60" s="30" t="str">
        <x:v>Marine/Naval</x:v>
      </x:c>
      <x:c r="D60" s="30" t="str">
        <x:v>Mahindra Underwater Systems — Torpedo Launchers / Sonar Dome / Naval Loaders</x:v>
      </x:c>
      <x:c r="E60" s="30" t="str">
        <x:v>Family/system/component-level entry — review if exact-model-only view is needed</x:v>
      </x:c>
    </x:row>
    <x:row r="61">
      <x:c r="A61" s="30" t="n">
        <x:v>3</x:v>
      </x:c>
      <x:c r="B61" s="30" t="str">
        <x:v>Mahindra Defence</x:v>
      </x:c>
      <x:c r="C61" s="30" t="str">
        <x:v>Marine/Naval</x:v>
      </x:c>
      <x:c r="D61" s="30" t="str">
        <x:v>Torpedo Launchers</x:v>
      </x:c>
      <x:c r="E61" s="30" t="str">
        <x:v>Limited/configuration-dependent public specifications</x:v>
      </x:c>
    </x:row>
    <x:row r="62">
      <x:c r="A62" s="30" t="n">
        <x:v>3</x:v>
      </x:c>
      <x:c r="B62" s="30" t="str">
        <x:v>Larsen &amp; Toubro (L&amp;T)</x:v>
      </x:c>
      <x:c r="C62" s="30" t="str">
        <x:v>Artillery</x:v>
      </x:c>
      <x:c r="D62" s="30" t="str">
        <x:v>Pinaka Launcher / Launcher System</x:v>
      </x:c>
      <x:c r="E62" s="30" t="str">
        <x:v>Family/system/component-level entry — review if exact-model-only view is needed</x:v>
      </x:c>
    </x:row>
    <x:row r="63">
      <x:c r="A63" s="30" t="n">
        <x:v>3</x:v>
      </x:c>
      <x:c r="B63" s="30" t="str">
        <x:v>Larsen &amp; Toubro (L&amp;T)</x:v>
      </x:c>
      <x:c r="C63" s="30" t="str">
        <x:v>Protected Vehicles</x:v>
      </x:c>
      <x:c r="D63" s="30" t="str">
        <x:v>Zorawar Light Tank</x:v>
      </x:c>
      <x:c r="E63" s="30" t="str">
        <x:v>Limited/configuration-dependent public specifications</x:v>
      </x:c>
    </x:row>
    <x:row r="64">
      <x:c r="A64" s="30" t="n">
        <x:v>3</x:v>
      </x:c>
      <x:c r="B64" s="30" t="str">
        <x:v>Larsen &amp; Toubro (L&amp;T)</x:v>
      </x:c>
      <x:c r="C64" s="30" t="str">
        <x:v>Marine/Naval</x:v>
      </x:c>
      <x:c r="D64" s="30" t="str">
        <x:v>Autonomous Underwater Vehicle / UUV Systems</x:v>
      </x:c>
      <x:c r="E64" s="30" t="str">
        <x:v>Limited/configuration-dependent public specifications; Family/system/component-level entry — review if exact-model-only view is needed</x:v>
      </x:c>
    </x:row>
    <x:row r="65">
      <x:c r="A65" s="30" t="n">
        <x:v>3</x:v>
      </x:c>
      <x:c r="B65" s="30" t="str">
        <x:v>Larsen &amp; Toubro (L&amp;T)</x:v>
      </x:c>
      <x:c r="C65" s="30" t="str">
        <x:v>Marine/Naval</x:v>
      </x:c>
      <x:c r="D65" s="30" t="str">
        <x:v>P7 Heavy Drop Platform System</x:v>
      </x:c>
      <x:c r="E65" s="30" t="str">
        <x:v>Family/system/component-level entry — review if exact-model-only view is needed</x:v>
      </x:c>
    </x:row>
    <x:row r="66">
      <x:c r="A66" s="30" t="n">
        <x:v>3</x:v>
      </x:c>
      <x:c r="B66" s="30" t="str">
        <x:v>Larsen &amp; Toubro (L&amp;T)</x:v>
      </x:c>
      <x:c r="C66" s="30" t="str">
        <x:v>Marine/Naval</x:v>
      </x:c>
      <x:c r="D66" s="30" t="str">
        <x:v>Rail-less Helicopter Traversing System (RHTS)</x:v>
      </x:c>
      <x:c r="E66" s="30" t="str">
        <x:v>Family/system/component-level entry — review if exact-model-only view is needed</x:v>
      </x:c>
    </x:row>
    <x:row r="67">
      <x:c r="A67" s="30" t="n">
        <x:v>3</x:v>
      </x:c>
      <x:c r="B67" s="30" t="str">
        <x:v>Larsen &amp; Toubro (L&amp;T)</x:v>
      </x:c>
      <x:c r="C67" s="30" t="str">
        <x:v>Missiles</x:v>
      </x:c>
      <x:c r="D67" s="30" t="str">
        <x:v>Akash / Surface-to-Air Missile Launcher Systems</x:v>
      </x:c>
      <x:c r="E67" s="30" t="str">
        <x:v>Family/system/component-level entry — review if exact-model-only view is needed</x:v>
      </x:c>
    </x:row>
    <x:row r="68">
      <x:c r="A68" s="30" t="n">
        <x:v>3</x:v>
      </x:c>
      <x:c r="B68" s="30" t="str">
        <x:v>Patria</x:v>
      </x:c>
      <x:c r="C68" s="30" t="str">
        <x:v>Artillery</x:v>
      </x:c>
      <x:c r="D68" s="30" t="str">
        <x:v>Patria NEMO 120 mm Mortar System</x:v>
      </x:c>
      <x:c r="E68" s="30" t="str">
        <x:v>Family/system/component-level entry — review if exact-model-only view is needed</x:v>
      </x:c>
    </x:row>
    <x:row r="69">
      <x:c r="A69" s="30" t="n">
        <x:v>3</x:v>
      </x:c>
      <x:c r="B69" s="30" t="str">
        <x:v>Supacat</x:v>
      </x:c>
      <x:c r="C69" s="30" t="str">
        <x:v>Protected Vehicles</x:v>
      </x:c>
      <x:c r="D69" s="30" t="str">
        <x:v>HMT Mk3 / Jackal 3</x:v>
      </x:c>
      <x:c r="E69" s="30" t="str">
        <x:v>Limited/configuration-dependent public specifications</x:v>
      </x:c>
    </x:row>
    <x:row r="70">
      <x:c r="A70" s="30" t="n">
        <x:v>4</x:v>
      </x:c>
      <x:c r="B70" s="30" t="str">
        <x:v>Roshel</x:v>
      </x:c>
      <x:c r="C70" s="30" t="str">
        <x:v>Protected Vehicles</x:v>
      </x:c>
      <x:c r="D70" s="30" t="str">
        <x:v>Senator MRAP</x:v>
      </x:c>
      <x:c r="E70" s="30" t="str">
        <x:v>Limited/configuration-dependent public specifications</x:v>
      </x:c>
    </x:row>
    <x:row r="71">
      <x:c r="A71" s="30" t="n">
        <x:v>4</x:v>
      </x:c>
      <x:c r="B71" s="30" t="str">
        <x:v>PLR Systems (IWI+Adani)</x:v>
      </x:c>
      <x:c r="C71" s="30" t="str">
        <x:v>Small Arms</x:v>
      </x:c>
      <x:c r="D71" s="30" t="str">
        <x:v>IWI CQB Carbine / PLR Jeet programme</x:v>
      </x:c>
      <x:c r="E71" s="30" t="str">
        <x:v>Limited/configuration-dependent public specifications</x:v>
      </x:c>
    </x:row>
    <x:row r="72">
      <x:c r="A72" s="30" t="n">
        <x:v>5</x:v>
      </x:c>
      <x:c r="B72" s="30" t="str">
        <x:v>Kalashnikov Concern</x:v>
      </x:c>
      <x:c r="C72" s="30" t="str">
        <x:v>Small Arms</x:v>
      </x:c>
      <x:c r="D72" s="30" t="str">
        <x:v>Lebedev PL-15 / PLK Family</x:v>
      </x:c>
      <x:c r="E72" s="30" t="str">
        <x:v>Family/system/component-level entry — review if exact-model-only view is needed</x:v>
      </x:c>
    </x:row>
    <x:row r="73">
      <x:c r="A73" s="30" t="n">
        <x:v>5</x:v>
      </x:c>
      <x:c r="B73" s="30" t="str">
        <x:v>Kalashnikov Concern</x:v>
      </x:c>
      <x:c r="C73" s="30" t="str">
        <x:v>UAVs/Drones</x:v>
      </x:c>
      <x:c r="D73" s="30" t="str">
        <x:v>Lancet-E Loitering-Munition System</x:v>
      </x:c>
      <x:c r="E73" s="30" t="str">
        <x:v>Family/system/component-level entry — review if exact-model-only view is needed</x:v>
      </x:c>
    </x:row>
    <x:row r="74">
      <x:c r="A74" s="30" t="n">
        <x:v>5</x:v>
      </x:c>
      <x:c r="B74" s="30" t="str">
        <x:v>Munitions India Ltd (MIL)</x:v>
      </x:c>
      <x:c r="C74" s="30" t="str">
        <x:v>Ammunition</x:v>
      </x:c>
      <x:c r="D74" s="30" t="str">
        <x:v>120 mm Mortar Bomb Family</x:v>
      </x:c>
      <x:c r="E74" s="30" t="str">
        <x:v>Family/system/component-level entry — review if exact-model-only view is needed</x:v>
      </x:c>
    </x:row>
    <x:row r="75">
      <x:c r="A75" s="30" t="n">
        <x:v>5</x:v>
      </x:c>
      <x:c r="B75" s="30" t="str">
        <x:v>Munitions India Ltd (MIL)</x:v>
      </x:c>
      <x:c r="C75" s="30" t="str">
        <x:v>Ammunition</x:v>
      </x:c>
      <x:c r="D75" s="30" t="str">
        <x:v>155 mm Bi-Modular Charge System M91 / M92</x:v>
      </x:c>
      <x:c r="E75" s="30" t="str">
        <x:v>Family/system/component-level entry — review if exact-model-only view is needed</x:v>
      </x:c>
    </x:row>
    <x:row r="76">
      <x:c r="A76" s="30" t="n">
        <x:v>5</x:v>
      </x:c>
      <x:c r="B76" s="30" t="str">
        <x:v>Munitions India Ltd (MIL)</x:v>
      </x:c>
      <x:c r="C76" s="30" t="str">
        <x:v>Ammunition</x:v>
      </x:c>
      <x:c r="D76" s="30" t="str">
        <x:v>68 mm Air-to-Ground Rocket Family</x:v>
      </x:c>
      <x:c r="E76" s="30" t="str">
        <x:v>Family/system/component-level entry — review if exact-model-only view is needed</x:v>
      </x:c>
    </x:row>
    <x:row r="77">
      <x:c r="A77" s="30" t="n">
        <x:v>5</x:v>
      </x:c>
      <x:c r="B77" s="30" t="str">
        <x:v>Munitions India Ltd (MIL)</x:v>
      </x:c>
      <x:c r="C77" s="30" t="str">
        <x:v>Ammunition</x:v>
      </x:c>
      <x:c r="D77" s="30" t="str">
        <x:v>81 mm Mortar Bomb Family</x:v>
      </x:c>
      <x:c r="E77" s="30" t="str">
        <x:v>Family/system/component-level entry — review if exact-model-only view is needed</x:v>
      </x:c>
    </x:row>
    <x:row r="78">
      <x:c r="A78" s="30" t="n">
        <x:v>5</x:v>
      </x:c>
      <x:c r="B78" s="30" t="str">
        <x:v>Munitions India Ltd (MIL)</x:v>
      </x:c>
      <x:c r="C78" s="30" t="str">
        <x:v>Ammunition</x:v>
      </x:c>
      <x:c r="D78" s="30" t="str">
        <x:v>84 mm Carl-Gustaf Ammunition Family</x:v>
      </x:c>
      <x:c r="E78" s="30" t="str">
        <x:v>Family/system/component-level entry — review if exact-model-only view is needed</x:v>
      </x:c>
    </x:row>
    <x:row r="79">
      <x:c r="A79" s="30" t="n">
        <x:v>5</x:v>
      </x:c>
      <x:c r="B79" s="30" t="str">
        <x:v>Munitions India Ltd (MIL)</x:v>
      </x:c>
      <x:c r="C79" s="30" t="str">
        <x:v>Ammunition</x:v>
      </x:c>
      <x:c r="D79" s="30" t="str">
        <x:v>Mines Family</x:v>
      </x:c>
      <x:c r="E79" s="30" t="str">
        <x:v>Family/system/component-level entry — review if exact-model-only view is needed</x:v>
      </x:c>
    </x:row>
    <x:row r="80">
      <x:c r="A80" s="30" t="n">
        <x:v>5</x:v>
      </x:c>
      <x:c r="B80" s="30" t="str">
        <x:v>Bharat Dynamics Ltd (BDL)</x:v>
      </x:c>
      <x:c r="C80" s="30" t="str">
        <x:v>Marine/Naval</x:v>
      </x:c>
      <x:c r="D80" s="30" t="str">
        <x:v>C-303 / C-303S Anti-Torpedo Decoy Launching System</x:v>
      </x:c>
      <x:c r="E80" s="30" t="str">
        <x:v>Family/system/component-level entry — review if exact-model-only view is needed</x:v>
      </x:c>
    </x:row>
    <x:row r="81">
      <x:c r="A81" s="30" t="n">
        <x:v>5</x:v>
      </x:c>
      <x:c r="B81" s="30" t="str">
        <x:v>Bharat Dynamics Ltd (BDL)</x:v>
      </x:c>
      <x:c r="C81" s="30" t="str">
        <x:v>Missiles</x:v>
      </x:c>
      <x:c r="D81" s="30" t="str">
        <x:v>Akash Weapon System</x:v>
      </x:c>
      <x:c r="E81" s="30" t="str">
        <x:v>Family/system/component-level entry — review if exact-model-only view is needed</x:v>
      </x:c>
    </x:row>
    <x:row r="82">
      <x:c r="A82" s="30" t="n">
        <x:v>5</x:v>
      </x:c>
      <x:c r="B82" s="30" t="str">
        <x:v>Bharat Dynamics Ltd (BDL)</x:v>
      </x:c>
      <x:c r="C82" s="30" t="str">
        <x:v>Missiles</x:v>
      </x:c>
      <x:c r="D82" s="30" t="str">
        <x:v>Astra Mk-I Weapon System</x:v>
      </x:c>
      <x:c r="E82" s="30" t="str">
        <x:v>Family/system/component-level entry — review if exact-model-only view is needed</x:v>
      </x:c>
    </x:row>
    <x:row r="83">
      <x:c r="A83" s="30" t="n">
        <x:v>5</x:v>
      </x:c>
      <x:c r="B83" s="30" t="str">
        <x:v>Oshkosh Defense</x:v>
      </x:c>
      <x:c r="C83" s="30" t="str">
        <x:v>Protected Vehicles</x:v>
      </x:c>
      <x:c r="D83" s="30" t="str">
        <x:v>FMTV A2 Family</x:v>
      </x:c>
      <x:c r="E83" s="30" t="str">
        <x:v>Family/system/component-level entry — review if exact-model-only view is needed</x:v>
      </x:c>
    </x:row>
    <x:row r="84">
      <x:c r="A84" s="30" t="n">
        <x:v>5</x:v>
      </x:c>
      <x:c r="B84" s="30" t="str">
        <x:v>Oshkosh Defense</x:v>
      </x:c>
      <x:c r="C84" s="30" t="str">
        <x:v>Protected Vehicles</x:v>
      </x:c>
      <x:c r="D84" s="30" t="str">
        <x:v>Stryker Medium Caliber Weapon System (MCWS)</x:v>
      </x:c>
      <x:c r="E84" s="30" t="str">
        <x:v>Family/system/component-level entry — review if exact-model-only view is needed</x:v>
      </x:c>
    </x:row>
    <x:row r="85">
      <x:c r="A85" s="30" t="n">
        <x:v>6</x:v>
      </x:c>
      <x:c r="B85" s="30" t="str">
        <x:v>Poongsan</x:v>
      </x:c>
      <x:c r="C85" s="30" t="str">
        <x:v>Ammunition</x:v>
      </x:c>
      <x:c r="D85" s="30" t="str">
        <x:v>155 mm Ramjet / Extended-Range Ammunition R&amp;D</x:v>
      </x:c>
      <x:c r="E85" s="30" t="str">
        <x:v>Limited/configuration-dependent public specifications</x:v>
      </x:c>
    </x:row>
    <x:row r="86">
      <x:c r="A86" s="30" t="n">
        <x:v>6</x:v>
      </x:c>
      <x:c r="B86" s="30" t="str">
        <x:v>Poongsan</x:v>
      </x:c>
      <x:c r="C86" s="30" t="str">
        <x:v>Ammunition</x:v>
      </x:c>
      <x:c r="D86" s="30" t="str">
        <x:v>8-inch / 203 mm Howitzer Projectile Family</x:v>
      </x:c>
      <x:c r="E86" s="30" t="str">
        <x:v>Family/system/component-level entry — review if exact-model-only view is needed</x:v>
      </x:c>
    </x:row>
    <x:row r="87">
      <x:c r="A87" s="30" t="n">
        <x:v>6</x:v>
      </x:c>
      <x:c r="B87" s="30" t="str">
        <x:v>Poongsan</x:v>
      </x:c>
      <x:c r="C87" s="30" t="str">
        <x:v>Ammunition</x:v>
      </x:c>
      <x:c r="D87" s="30" t="str">
        <x:v>MLRS Warhead / Submunition Assemblies</x:v>
      </x:c>
      <x:c r="E87" s="30" t="str">
        <x:v>Family/system/component-level entry — review if exact-model-only view is needed</x:v>
      </x:c>
    </x:row>
    <x:row r="88">
      <x:c r="A88" s="30" t="n">
        <x:v>6</x:v>
      </x:c>
      <x:c r="B88" s="30" t="str">
        <x:v>Nammo</x:v>
      </x:c>
      <x:c r="C88" s="30" t="str">
        <x:v>Ammunition</x:v>
      </x:c>
      <x:c r="D88" s="30" t="str">
        <x:v>155 mm Ramjet Projectile</x:v>
      </x:c>
      <x:c r="E88" s="30" t="str">
        <x:v>Limited/configuration-dependent public specifications</x:v>
      </x:c>
    </x:row>
    <x:row r="89">
      <x:c r="A89" s="30" t="n">
        <x:v>6</x:v>
      </x:c>
      <x:c r="B89" s="30" t="str">
        <x:v>Nammo</x:v>
      </x:c>
      <x:c r="C89" s="30" t="str">
        <x:v>Ammunition</x:v>
      </x:c>
      <x:c r="D89" s="30" t="str">
        <x:v>Anti-Personnel Obstacle Breaching System APOBS</x:v>
      </x:c>
      <x:c r="E89" s="30" t="str">
        <x:v>Family/system/component-level entry — review if exact-model-only view is needed</x:v>
      </x:c>
    </x:row>
    <x:row r="90">
      <x:c r="A90" s="30" t="n">
        <x:v>6</x:v>
      </x:c>
      <x:c r="B90" s="30" t="str">
        <x:v>Nammo</x:v>
      </x:c>
      <x:c r="C90" s="30" t="str">
        <x:v>Ammunition</x:v>
      </x:c>
      <x:c r="D90" s="30" t="str">
        <x:v>M72 Training System</x:v>
      </x:c>
      <x:c r="E90" s="30" t="str">
        <x:v>Family/system/component-level entry — review if exact-model-only view is needed</x:v>
      </x:c>
    </x:row>
    <x:row r="91">
      <x:c r="A91" s="30" t="n">
        <x:v>6</x:v>
      </x:c>
      <x:c r="B91" s="30" t="str">
        <x:v>Nammo</x:v>
      </x:c>
      <x:c r="C91" s="30" t="str">
        <x:v>Ammunition</x:v>
      </x:c>
      <x:c r="D91" s="30" t="str">
        <x:v>Nammo Ignition System NIS</x:v>
      </x:c>
      <x:c r="E91" s="30" t="str">
        <x:v>Family/system/component-level entry — review if exact-model-only view is needed</x:v>
      </x:c>
    </x:row>
    <x:row r="92">
      <x:c r="A92" s="30" t="n">
        <x:v>6</x:v>
      </x:c>
      <x:c r="B92" s="30" t="str">
        <x:v>Nammo</x:v>
      </x:c>
      <x:c r="C92" s="30" t="str">
        <x:v>Missiles</x:v>
      </x:c>
      <x:c r="D92" s="30" t="str">
        <x:v>70 mm Warhead</x:v>
      </x:c>
      <x:c r="E92" s="30" t="str">
        <x:v>Family/system/component-level entry — review if exact-model-only view is needed</x:v>
      </x:c>
    </x:row>
    <x:row r="93">
      <x:c r="A93" s="30" t="n">
        <x:v>6</x:v>
      </x:c>
      <x:c r="B93" s="30" t="str">
        <x:v>Nammo</x:v>
      </x:c>
      <x:c r="C93" s="30" t="str">
        <x:v>Missiles</x:v>
      </x:c>
      <x:c r="D93" s="30" t="str">
        <x:v>Rocket Motors for Missiles, Artillery &amp; Space</x:v>
      </x:c>
      <x:c r="E93" s="30" t="str">
        <x:v>Family/system/component-level entry — review if exact-model-only view is needed</x:v>
      </x:c>
    </x:row>
    <x:row r="94">
      <x:c r="A94" s="30" t="n">
        <x:v>6</x:v>
      </x:c>
      <x:c r="B94" s="30" t="str">
        <x:v>Nammo</x:v>
      </x:c>
      <x:c r="C94" s="30" t="str">
        <x:v>Missiles</x:v>
      </x:c>
      <x:c r="D94" s="30" t="str">
        <x:v>Tactical Rocket Motors / Missile Propulsion</x:v>
      </x:c>
      <x:c r="E94" s="30" t="str">
        <x:v>Family/system/component-level entry — review if exact-model-only view is needed</x:v>
      </x:c>
    </x:row>
    <x:row r="95">
      <x:c r="A95" s="30" t="n">
        <x:v>6</x:v>
      </x:c>
      <x:c r="B95" s="30" t="str">
        <x:v>SSS Defence</x:v>
      </x:c>
      <x:c r="C95" s="30" t="str">
        <x:v>Small Arms</x:v>
      </x:c>
      <x:c r="D95" s="30" t="str">
        <x:v>T12</x:v>
      </x:c>
      <x:c r="E95" s="30" t="str">
        <x:v>Limited/configuration-dependent public specifications</x:v>
      </x:c>
    </x:row>
    <x:row r="96">
      <x:c r="A96" s="30" t="n">
        <x:v>6</x:v>
      </x:c>
      <x:c r="B96" s="30" t="str">
        <x:v>Rafael Advanced Defense Systems</x:v>
      </x:c>
      <x:c r="C96" s="30" t="str">
        <x:v>Protected Vehicles</x:v>
      </x:c>
      <x:c r="D96" s="30" t="str">
        <x:v>REA Reactive Defense System</x:v>
      </x:c>
      <x:c r="E96" s="30" t="str">
        <x:v>Family/system/component-level entry — review if exact-model-only view is needed</x:v>
      </x:c>
    </x:row>
    <x:row r="97">
      <x:c r="A97" s="30" t="n">
        <x:v>6</x:v>
      </x:c>
      <x:c r="B97" s="30" t="str">
        <x:v>Rafael Advanced Defense Systems</x:v>
      </x:c>
      <x:c r="C97" s="30" t="str">
        <x:v>Protected Vehicles</x:v>
      </x:c>
      <x:c r="D97" s="30" t="str">
        <x:v>SAMSON Remote Weapon Station Family</x:v>
      </x:c>
      <x:c r="E97" s="30" t="str">
        <x:v>Family/system/component-level entry — review if exact-model-only view is needed</x:v>
      </x:c>
    </x:row>
    <x:row r="98">
      <x:c r="A98" s="30" t="n">
        <x:v>6</x:v>
      </x:c>
      <x:c r="B98" s="30" t="str">
        <x:v>Rafael Advanced Defense Systems</x:v>
      </x:c>
      <x:c r="C98" s="30" t="str">
        <x:v>Protected Vehicles</x:v>
      </x:c>
      <x:c r="D98" s="30" t="str">
        <x:v>TopLite EOS Family</x:v>
      </x:c>
      <x:c r="E98" s="30" t="str">
        <x:v>Family/system/component-level entry — review if exact-model-only view is needed</x:v>
      </x:c>
    </x:row>
    <x:row r="99">
      <x:c r="A99" s="30" t="n">
        <x:v>6</x:v>
      </x:c>
      <x:c r="B99" s="30" t="str">
        <x:v>Rafael Advanced Defense Systems</x:v>
      </x:c>
      <x:c r="C99" s="30" t="str">
        <x:v>Missiles</x:v>
      </x:c>
      <x:c r="D99" s="30" t="str">
        <x:v>SPYDER SR / ER / MR / LR Family</x:v>
      </x:c>
      <x:c r="E99" s="30" t="str">
        <x:v>Family/system/component-level entry — review if exact-model-only view is needed</x:v>
      </x:c>
    </x:row>
    <x:row r="100">
      <x:c r="A100" s="30" t="n">
        <x:v>7</x:v>
      </x:c>
      <x:c r="B100" s="30" t="str">
        <x:v>KONGSBERG</x:v>
      </x:c>
      <x:c r="C100" s="30" t="str">
        <x:v>Marine/Naval</x:v>
      </x:c>
      <x:c r="D100" s="30" t="str">
        <x:v>MSI-90U / Submarine Combat System</x:v>
      </x:c>
      <x:c r="E100" s="30" t="str">
        <x:v>Family/system/component-level entry — review if exact-model-only view is needed</x:v>
      </x:c>
    </x:row>
    <x:row r="101">
      <x:c r="A101" s="30" t="n">
        <x:v>7</x:v>
      </x:c>
      <x:c r="B101" s="30" t="str">
        <x:v>KONGSBERG</x:v>
      </x:c>
      <x:c r="C101" s="30" t="str">
        <x:v>Marine/Naval</x:v>
      </x:c>
      <x:c r="D101" s="30" t="str">
        <x:v>PHAROX Modular Multisensor System</x:v>
      </x:c>
      <x:c r="E101" s="30" t="str">
        <x:v>Family/system/component-level entry — review if exact-model-only view is needed</x:v>
      </x:c>
    </x:row>
    <x:row r="102">
      <x:c r="A102" s="30" t="n">
        <x:v>7</x:v>
      </x:c>
      <x:c r="B102" s="30" t="str">
        <x:v>KONGSBERG</x:v>
      </x:c>
      <x:c r="C102" s="30" t="str">
        <x:v>Missiles</x:v>
      </x:c>
      <x:c r="D102" s="30" t="str">
        <x:v>Joint Strike Missile (JSM)</x:v>
      </x:c>
      <x:c r="E102" s="30" t="str">
        <x:v>Limited/configuration-dependent public specifications</x:v>
      </x:c>
    </x:row>
    <x:row r="103">
      <x:c r="A103" s="30" t="n">
        <x:v>7</x:v>
      </x:c>
      <x:c r="B103" s="30" t="str">
        <x:v>KONGSBERG</x:v>
      </x:c>
      <x:c r="C103" s="30" t="str">
        <x:v>Missiles</x:v>
      </x:c>
      <x:c r="D103" s="30" t="str">
        <x:v>NASAMS Air Defence System</x:v>
      </x:c>
      <x:c r="E103" s="30" t="str">
        <x:v>Family/system/component-level entry — review if exact-model-only view is needed</x:v>
      </x:c>
    </x:row>
    <x:row r="104">
      <x:c r="A104" s="30" t="n">
        <x:v>7</x:v>
      </x:c>
      <x:c r="B104" s="30" t="str">
        <x:v>KONGSBERG</x:v>
      </x:c>
      <x:c r="C104" s="30" t="str">
        <x:v>Missiles</x:v>
      </x:c>
      <x:c r="D104" s="30" t="str">
        <x:v>NSM Coastal Defence System</x:v>
      </x:c>
      <x:c r="E104" s="30" t="str">
        <x:v>Family/system/component-level entry — review if exact-model-only view is needed</x:v>
      </x:c>
    </x:row>
    <x:row r="105">
      <x:c r="A105" s="30" t="n">
        <x:v>7</x:v>
      </x:c>
      <x:c r="B105" s="30" t="str">
        <x:v>MBDA</x:v>
      </x:c>
      <x:c r="C105" s="30" t="str">
        <x:v>Marine/Naval</x:v>
      </x:c>
      <x:c r="D105" s="30" t="str">
        <x:v>EXOCET Mobile Coastal Defence System</x:v>
      </x:c>
      <x:c r="E105" s="30" t="str">
        <x:v>Family/system/component-level entry — review if exact-model-only view is needed</x:v>
      </x:c>
    </x:row>
    <x:row r="106">
      <x:c r="A106" s="30" t="n">
        <x:v>7</x:v>
      </x:c>
      <x:c r="B106" s="30" t="str">
        <x:v>MBDA</x:v>
      </x:c>
      <x:c r="C106" s="30" t="str">
        <x:v>Missiles</x:v>
      </x:c>
      <x:c r="D106" s="30" t="str">
        <x:v>ASTER 15/30 Family</x:v>
      </x:c>
      <x:c r="E106" s="30" t="str">
        <x:v>Family/system/component-level entry — review if exact-model-only view is needed</x:v>
      </x:c>
    </x:row>
    <x:row r="107">
      <x:c r="A107" s="30" t="n">
        <x:v>7</x:v>
      </x:c>
      <x:c r="B107" s="30" t="str">
        <x:v>MBDA</x:v>
      </x:c>
      <x:c r="C107" s="30" t="str">
        <x:v>Missiles</x:v>
      </x:c>
      <x:c r="D107" s="30" t="str">
        <x:v>MARTE Mobile Coastal Defence System</x:v>
      </x:c>
      <x:c r="E107" s="30" t="str">
        <x:v>Family/system/component-level entry — review if exact-model-only view is needed</x:v>
      </x:c>
    </x:row>
    <x:row r="108">
      <x:c r="A108" s="30" t="n">
        <x:v>7</x:v>
      </x:c>
      <x:c r="B108" s="30" t="str">
        <x:v>MBDA</x:v>
      </x:c>
      <x:c r="C108" s="30" t="str">
        <x:v>Missiles</x:v>
      </x:c>
      <x:c r="D108" s="30" t="str">
        <x:v>MICA Family</x:v>
      </x:c>
      <x:c r="E108" s="30" t="str">
        <x:v>Family/system/component-level entry — review if exact-model-only view is needed</x:v>
      </x:c>
    </x:row>
    <x:row r="109">
      <x:c r="A109" s="30" t="n">
        <x:v>7</x:v>
      </x:c>
      <x:c r="B109" s="30" t="str">
        <x:v>Israel Aerospace Industries (IAI)</x:v>
      </x:c>
      <x:c r="C109" s="30" t="str">
        <x:v>UAVs/Drones</x:v>
      </x:c>
      <x:c r="D109" s="30" t="str">
        <x:v>TAKHIR / Miniature UAS family</x:v>
      </x:c>
      <x:c r="E109" s="30" t="str">
        <x:v>Family/system/component-level entry — review if exact-model-only view is needed</x:v>
      </x:c>
    </x:row>
    <x:row r="110">
      <x:c r="A110" s="30" t="n">
        <x:v>7</x:v>
      </x:c>
      <x:c r="B110" s="30" t="str">
        <x:v>Israel Aerospace Industries (IAI)</x:v>
      </x:c>
      <x:c r="C110" s="30" t="str">
        <x:v>Missiles</x:v>
      </x:c>
      <x:c r="D110" s="30" t="str">
        <x:v>BARAK MX Integrated Air &amp; Missile Defence System</x:v>
      </x:c>
      <x:c r="E110" s="30" t="str">
        <x:v>Family/system/component-level entry — review if exact-model-only view is needed</x:v>
      </x:c>
    </x:row>
    <x:row r="111">
      <x:c r="A111" s="30" t="n">
        <x:v>7</x:v>
      </x:c>
      <x:c r="B111" s="30" t="str">
        <x:v>L3Harris</x:v>
      </x:c>
      <x:c r="C111" s="30" t="str">
        <x:v>Marine/Naval</x:v>
      </x:c>
      <x:c r="D111" s="30" t="str">
        <x:v>Submarine Towed Arrays</x:v>
      </x:c>
      <x:c r="E111" s="30" t="str">
        <x:v>Limited/configuration-dependent public specifications</x:v>
      </x:c>
    </x:row>
    <x:row r="112">
      <x:c r="A112" s="30" t="n">
        <x:v>7</x:v>
      </x:c>
      <x:c r="B112" s="30" t="str">
        <x:v>L3Harris</x:v>
      </x:c>
      <x:c r="C112" s="30" t="str">
        <x:v>Missiles</x:v>
      </x:c>
      <x:c r="D112" s="30" t="str">
        <x:v>VAMPIRE Counter-UAS / Precision Rocket System</x:v>
      </x:c>
      <x:c r="E112" s="30" t="str">
        <x:v>Family/system/component-level entry — review if exact-model-only view is needed</x:v>
      </x:c>
    </x:row>
    <x:row r="113">
      <x:c r="A113" s="30" t="n">
        <x:v>7</x:v>
      </x:c>
      <x:c r="B113" s="30" t="str">
        <x:v>Northrop Grumman</x:v>
      </x:c>
      <x:c r="C113" s="30" t="str">
        <x:v>Ammunition</x:v>
      </x:c>
      <x:c r="D113" s="30" t="str">
        <x:v>30×113 mm LW30 Ammunition Suite</x:v>
      </x:c>
      <x:c r="E113" s="30" t="str">
        <x:v>Family/system/component-level entry — review if exact-model-only view is needed</x:v>
      </x:c>
    </x:row>
    <x:row r="114">
      <x:c r="A114" s="30" t="n">
        <x:v>7</x:v>
      </x:c>
      <x:c r="B114" s="30" t="str">
        <x:v>Northrop Grumman</x:v>
      </x:c>
      <x:c r="C114" s="30" t="str">
        <x:v>Ammunition</x:v>
      </x:c>
      <x:c r="D114" s="30" t="str">
        <x:v>Advanced Fuzes</x:v>
      </x:c>
      <x:c r="E114" s="30" t="str">
        <x:v>Family/system/component-level entry — review if exact-model-only view is needed</x:v>
      </x:c>
    </x:row>
    <x:row r="115">
      <x:c r="A115" s="30" t="n">
        <x:v>7</x:v>
      </x:c>
      <x:c r="B115" s="30" t="str">
        <x:v>Northrop Grumman</x:v>
      </x:c>
      <x:c r="C115" s="30" t="str">
        <x:v>Missiles</x:v>
      </x:c>
      <x:c r="D115" s="30" t="str">
        <x:v>GMLRS Propulsion &amp; Warhead Subsystems</x:v>
      </x:c>
      <x:c r="E115" s="30" t="str">
        <x:v>Family/system/component-level entry — review if exact-model-only view is needed</x:v>
      </x:c>
    </x:row>
    <x:row r="116">
      <x:c r="A116" s="30" t="n">
        <x:v>8</x:v>
      </x:c>
      <x:c r="B116" s="30" t="str">
        <x:v>Lockheed Martin</x:v>
      </x:c>
      <x:c r="C116" s="30" t="str">
        <x:v>Artillery</x:v>
      </x:c>
      <x:c r="D116" s="30" t="str">
        <x:v>M142 HIMARS (High Mobility Artillery Rocket System)</x:v>
      </x:c>
      <x:c r="E116" s="30" t="str">
        <x:v>Family/system/component-level entry — review if exact-model-only view is needed</x:v>
      </x:c>
    </x:row>
    <x:row r="117">
      <x:c r="A117" s="30" t="n">
        <x:v>8</x:v>
      </x:c>
      <x:c r="B117" s="30" t="str">
        <x:v>Lockheed Martin</x:v>
      </x:c>
      <x:c r="C117" s="30" t="str">
        <x:v>Marine/Naval</x:v>
      </x:c>
      <x:c r="D117" s="30" t="str">
        <x:v>Aegis Combat System</x:v>
      </x:c>
      <x:c r="E117" s="30" t="str">
        <x:v>Family/system/component-level entry — review if exact-model-only view is needed</x:v>
      </x:c>
    </x:row>
    <x:row r="118">
      <x:c r="A118" s="30" t="n">
        <x:v>8</x:v>
      </x:c>
      <x:c r="B118" s="30" t="str">
        <x:v>Lockheed Martin</x:v>
      </x:c>
      <x:c r="C118" s="30" t="str">
        <x:v>UAVs/Drones</x:v>
      </x:c>
      <x:c r="D118" s="30" t="str">
        <x:v>Stalker VXE UAS</x:v>
      </x:c>
      <x:c r="E118" s="30" t="str">
        <x:v>Limited/configuration-dependent public specifications</x:v>
      </x:c>
    </x:row>
    <x:row r="119">
      <x:c r="A119" s="30" t="n">
        <x:v>8</x:v>
      </x:c>
      <x:c r="B119" s="30" t="str">
        <x:v>Lockheed Martin</x:v>
      </x:c>
      <x:c r="C119" s="30" t="str">
        <x:v>Missiles</x:v>
      </x:c>
      <x:c r="D119" s="30" t="str">
        <x:v>AGM-114 HELLFIRE Family</x:v>
      </x:c>
      <x:c r="E119" s="30" t="str">
        <x:v>Family/system/component-level entry — review if exact-model-only view is needed</x:v>
      </x:c>
    </x:row>
    <x:row r="120">
      <x:c r="A120" s="30" t="n">
        <x:v>8</x:v>
      </x:c>
      <x:c r="B120" s="30" t="str">
        <x:v>Lockheed Martin</x:v>
      </x:c>
      <x:c r="C120" s="30" t="str">
        <x:v>Missiles</x:v>
      </x:c>
      <x:c r="D120" s="30" t="str">
        <x:v>GMLRS Unitary / Alternative Warhead</x:v>
      </x:c>
      <x:c r="E120" s="30" t="str">
        <x:v>Family/system/component-level entry — review if exact-model-only view is needed</x:v>
      </x:c>
    </x:row>
    <x:row r="121">
      <x:c r="A121" s="30" t="n">
        <x:v>8</x:v>
      </x:c>
      <x:c r="B121" s="30" t="str">
        <x:v>Lockheed Martin</x:v>
      </x:c>
      <x:c r="C121" s="30" t="str">
        <x:v>Missiles</x:v>
      </x:c>
      <x:c r="D121" s="30" t="str">
        <x:v>JAGM AGM-179</x:v>
      </x:c>
      <x:c r="E121" s="30" t="str">
        <x:v>Limited/configuration-dependent public specifications</x:v>
      </x:c>
    </x:row>
    <x:row r="122">
      <x:c r="A122" s="30" t="n">
        <x:v>8</x:v>
      </x:c>
      <x:c r="B122" s="30" t="str">
        <x:v>Lockheed Martin</x:v>
      </x:c>
      <x:c r="C122" s="30" t="str">
        <x:v>Missiles</x:v>
      </x:c>
      <x:c r="D122" s="30" t="str">
        <x:v>Javelin FGM-148</x:v>
      </x:c>
      <x:c r="E122" s="30" t="str">
        <x:v>Limited/configuration-dependent public specifications</x:v>
      </x:c>
    </x:row>
    <x:row r="123">
      <x:c r="A123" s="30" t="n">
        <x:v>8</x:v>
      </x:c>
      <x:c r="B123" s="30" t="str">
        <x:v>RTX (Raytheon)</x:v>
      </x:c>
      <x:c r="C123" s="30" t="str">
        <x:v>Missiles</x:v>
      </x:c>
      <x:c r="D123" s="30" t="str">
        <x:v>SM-6</x:v>
      </x:c>
      <x:c r="E123" s="30" t="str">
        <x:v>Limited/configuration-dependent public specifications</x:v>
      </x:c>
    </x:row>
    <x:row r="124">
      <x:c r="A124" s="30" t="n">
        <x:v>8</x:v>
      </x:c>
      <x:c r="B124" s="30" t="str">
        <x:v>RTX (Raytheon)</x:v>
      </x:c>
      <x:c r="C124" s="30" t="str">
        <x:v>Missiles</x:v>
      </x:c>
      <x:c r="D124" s="30" t="str">
        <x:v>TOW 2B / TOW 2A Family</x:v>
      </x:c>
      <x:c r="E124" s="30" t="str">
        <x:v>Family/system/component-level entry — review if exact-model-only view is needed</x:v>
      </x:c>
    </x:row>
    <x:row r="125">
      <x:c r="A125" s="30" t="n">
        <x:v>8</x:v>
      </x:c>
      <x:c r="B125" s="30" t="str">
        <x:v>SAAB</x:v>
      </x:c>
      <x:c r="C125" s="30" t="str">
        <x:v>Marine/Naval</x:v>
      </x:c>
      <x:c r="D125" s="30" t="str">
        <x:v>Saab Lightweight Torpedo (Torpedo 47)</x:v>
      </x:c>
      <x:c r="E125" s="30" t="str">
        <x:v>Limited/configuration-dependent public specifications</x:v>
      </x:c>
    </x:row>
    <x:row r="126">
      <x:c r="A126" s="30" t="n">
        <x:v>8</x:v>
      </x:c>
      <x:c r="B126" s="30" t="str">
        <x:v>Thyssenkrupp Marine Systems</x:v>
      </x:c>
      <x:c r="C126" s="30" t="str">
        <x:v>Marine/Naval</x:v>
      </x:c>
      <x:c r="D126" s="30" t="str">
        <x:v>ARCIMS Unmanned Surface System</x:v>
      </x:c>
      <x:c r="E126" s="30" t="str">
        <x:v>Family/system/component-level entry — review if exact-model-only view is needed</x:v>
      </x:c>
    </x:row>
    <x:row r="127">
      <x:c r="A127" s="30" t="n">
        <x:v>8</x:v>
      </x:c>
      <x:c r="B127" s="30" t="str">
        <x:v>Thyssenkrupp Marine Systems</x:v>
      </x:c>
      <x:c r="C127" s="30" t="str">
        <x:v>Marine/Naval</x:v>
      </x:c>
      <x:c r="D127" s="30" t="str">
        <x:v>SeaSpider Anti-Torpedo Torpedo</x:v>
      </x:c>
      <x:c r="E127" s="30" t="str">
        <x:v>Limited/configuration-dependent public specifications</x:v>
      </x:c>
    </x:row>
    <x:row r="128">
      <x:c r="A128" s="30" t="n">
        <x:v>8</x:v>
      </x:c>
      <x:c r="B128" s="30" t="str">
        <x:v>Naval Group</x:v>
      </x:c>
      <x:c r="C128" s="30" t="str">
        <x:v>Marine/Naval</x:v>
      </x:c>
      <x:c r="D128" s="30" t="str">
        <x:v>Seagent XL Autonomous Underwater Combat System</x:v>
      </x:c>
      <x:c r="E128" s="30" t="str">
        <x:v>Family/system/component-level entry — review if exact-model-only view is needed</x:v>
      </x:c>
    </x:row>
    <x:row r="129">
      <x:c r="A129" s="30" t="n">
        <x:v>9</x:v>
      </x:c>
      <x:c r="B129" s="30" t="str">
        <x:v>Huntington Ingalls Industries</x:v>
      </x:c>
      <x:c r="C129" s="30" t="str">
        <x:v>Marine/Naval</x:v>
      </x:c>
      <x:c r="D129" s="30" t="str">
        <x:v>Arleigh Burke-class Flight III Destroyer</x:v>
      </x:c>
      <x:c r="E129" s="30" t="str">
        <x:v>Limited/configuration-dependent public specifications</x:v>
      </x:c>
    </x:row>
    <x:row r="130">
      <x:c r="A130" s="30" t="n">
        <x:v>9</x:v>
      </x:c>
      <x:c r="B130" s="30" t="str">
        <x:v>Huntington Ingalls Industries</x:v>
      </x:c>
      <x:c r="C130" s="30" t="str">
        <x:v>Marine/Naval</x:v>
      </x:c>
      <x:c r="D130" s="30" t="str">
        <x:v>ROMULUS family USV</x:v>
      </x:c>
      <x:c r="E130" s="30" t="str">
        <x:v>Limited/configuration-dependent public specifications; Family/system/component-level entry — review if exact-model-only view is needed</x:v>
      </x:c>
    </x:row>
    <x:row r="131">
      <x:c r="A131" s="30" t="n">
        <x:v>9</x:v>
      </x:c>
      <x:c r="B131" s="30" t="str">
        <x:v>Huntington Ingalls Industries</x:v>
      </x:c>
      <x:c r="C131" s="30" t="str">
        <x:v>Marine/Naval</x:v>
      </x:c>
      <x:c r="D131" s="30" t="str">
        <x:v>San Antonio-class LPD Flight II</x:v>
      </x:c>
      <x:c r="E131" s="30" t="str">
        <x:v>Limited/configuration-dependent public specifications</x:v>
      </x:c>
    </x:row>
    <x:row r="132">
      <x:c r="A132" s="30" t="n">
        <x:v>9</x:v>
      </x:c>
      <x:c r="B132" s="30" t="str">
        <x:v>Babcock</x:v>
      </x:c>
      <x:c r="C132" s="30" t="str">
        <x:v>Artillery</x:v>
      </x:c>
      <x:c r="D132" s="30" t="str">
        <x:v>120 mm Ground Deployed Advanced Mortar System (GDAMS)</x:v>
      </x:c>
      <x:c r="E132" s="30" t="str">
        <x:v>Family/system/component-level entry — review if exact-model-only view is needed</x:v>
      </x:c>
    </x:row>
    <x:row r="133">
      <x:c r="A133" s="30" t="n">
        <x:v>9</x:v>
      </x:c>
      <x:c r="B133" s="30" t="str">
        <x:v>Babcock</x:v>
      </x:c>
      <x:c r="C133" s="30" t="str">
        <x:v>Marine/Naval</x:v>
      </x:c>
      <x:c r="D133" s="30" t="str">
        <x:v>Arrowhead 140 Frigate</x:v>
      </x:c>
      <x:c r="E133" s="30" t="str">
        <x:v>Limited/configuration-dependent public specifications</x:v>
      </x:c>
    </x:row>
    <x:row r="134">
      <x:c r="A134" s="30" t="n">
        <x:v>9</x:v>
      </x:c>
      <x:c r="B134" s="30" t="str">
        <x:v>Diehl Defence</x:v>
      </x:c>
      <x:c r="C134" s="30" t="str">
        <x:v>Ammunition</x:v>
      </x:c>
      <x:c r="D134" s="30" t="str">
        <x:v>120 mm Tank Ammunition Portfolio</x:v>
      </x:c>
      <x:c r="E134" s="30" t="str">
        <x:v>Family/system/component-level entry — review if exact-model-only view is needed</x:v>
      </x:c>
    </x:row>
    <x:row r="135">
      <x:c r="A135" s="30" t="n">
        <x:v>9</x:v>
      </x:c>
      <x:c r="B135" s="30" t="str">
        <x:v>Diehl Defence</x:v>
      </x:c>
      <x:c r="C135" s="30" t="str">
        <x:v>Ammunition</x:v>
      </x:c>
      <x:c r="D135" s="30" t="str">
        <x:v>155 mm Artillery Ammunition Portfolio</x:v>
      </x:c>
      <x:c r="E135" s="30" t="str">
        <x:v>Family/system/component-level entry — review if exact-model-only view is needed</x:v>
      </x:c>
    </x:row>
    <x:row r="136">
      <x:c r="A136" s="30" t="n">
        <x:v>9</x:v>
      </x:c>
      <x:c r="B136" s="30" t="str">
        <x:v>Diehl Defence</x:v>
      </x:c>
      <x:c r="C136" s="30" t="str">
        <x:v>Missiles</x:v>
      </x:c>
      <x:c r="D136" s="30" t="str">
        <x:v>IRIS-T SLX</x:v>
      </x:c>
      <x:c r="E136" s="30" t="str">
        <x:v>Limited/configuration-dependent public specifications</x:v>
      </x:c>
    </x:row>
    <x:row r="137">
      <x:c r="A137" s="30" t="n">
        <x:v>9</x:v>
      </x:c>
      <x:c r="B137" s="30" t="str">
        <x:v>AeroVironment</x:v>
      </x:c>
      <x:c r="C137" s="30" t="str">
        <x:v>UAVs/Drones</x:v>
      </x:c>
      <x:c r="D137" s="30" t="str">
        <x:v>Blackwing</x:v>
      </x:c>
      <x:c r="E137" s="30" t="str">
        <x:v>Limited/configuration-dependent public specifications</x:v>
      </x:c>
    </x:row>
    <x:row r="138">
      <x:c r="A138" s="30" t="n">
        <x:v>9</x:v>
      </x:c>
      <x:c r="B138" s="30" t="str">
        <x:v>Anduril</x:v>
      </x:c>
      <x:c r="C138" s="30" t="str">
        <x:v>Marine/Naval</x:v>
      </x:c>
      <x:c r="D138" s="30" t="str">
        <x:v>Copperhead-100 AUV</x:v>
      </x:c>
      <x:c r="E138" s="30" t="str">
        <x:v>Limited/configuration-dependent public specifications</x:v>
      </x:c>
    </x:row>
    <x:row r="139">
      <x:c r="A139" s="30" t="n">
        <x:v>9</x:v>
      </x:c>
      <x:c r="B139" s="30" t="str">
        <x:v>Anduril</x:v>
      </x:c>
      <x:c r="C139" s="30" t="str">
        <x:v>Marine/Naval</x:v>
      </x:c>
      <x:c r="D139" s="30" t="str">
        <x:v>Copperhead-500M</x:v>
      </x:c>
      <x:c r="E139" s="30" t="str">
        <x:v>Limited/configuration-dependent public specifications</x:v>
      </x:c>
    </x:row>
    <x:row r="140">
      <x:c r="A140" s="30" t="n">
        <x:v>9</x:v>
      </x:c>
      <x:c r="B140" s="30" t="str">
        <x:v>Anduril</x:v>
      </x:c>
      <x:c r="C140" s="30" t="str">
        <x:v>Marine/Naval</x:v>
      </x:c>
      <x:c r="D140" s="30" t="str">
        <x:v>Dive-LD AUV</x:v>
      </x:c>
      <x:c r="E140" s="30" t="str">
        <x:v>Limited/configuration-dependent public specifications</x:v>
      </x:c>
    </x:row>
    <x:row r="141">
      <x:c r="A141" s="30" t="n">
        <x:v>9</x:v>
      </x:c>
      <x:c r="B141" s="30" t="str">
        <x:v>Anduril</x:v>
      </x:c>
      <x:c r="C141" s="30" t="str">
        <x:v>Marine/Naval</x:v>
      </x:c>
      <x:c r="D141" s="30" t="str">
        <x:v>Dive-XL</x:v>
      </x:c>
      <x:c r="E141" s="30" t="str">
        <x:v>Limited/configuration-dependent public specifications</x:v>
      </x:c>
    </x:row>
    <x:row r="142">
      <x:c r="A142" s="30" t="n">
        <x:v>9</x:v>
      </x:c>
      <x:c r="B142" s="30" t="str">
        <x:v>Anduril</x:v>
      </x:c>
      <x:c r="C142" s="30" t="str">
        <x:v>Marine/Naval</x:v>
      </x:c>
      <x:c r="D142" s="30" t="str">
        <x:v>Seabed Sentry</x:v>
      </x:c>
      <x:c r="E142" s="30" t="str">
        <x:v>Limited/configuration-dependent public specifications</x:v>
      </x:c>
    </x:row>
    <x:row r="143">
      <x:c r="A143" s="30" t="n">
        <x:v>9</x:v>
      </x:c>
      <x:c r="B143" s="30" t="str">
        <x:v>Anduril</x:v>
      </x:c>
      <x:c r="C143" s="30" t="str">
        <x:v>UAVs/Drones</x:v>
      </x:c>
      <x:c r="D143" s="30" t="str">
        <x:v>ALTIUS 600</x:v>
      </x:c>
      <x:c r="E143" s="30" t="str">
        <x:v>Limited/configuration-dependent public specifications</x:v>
      </x:c>
    </x:row>
    <x:row r="144">
      <x:c r="A144" s="30" t="n">
        <x:v>9</x:v>
      </x:c>
      <x:c r="B144" s="30" t="str">
        <x:v>Anduril</x:v>
      </x:c>
      <x:c r="C144" s="30" t="str">
        <x:v>UAVs/Drones</x:v>
      </x:c>
      <x:c r="D144" s="30" t="str">
        <x:v>Anvil</x:v>
      </x:c>
      <x:c r="E144" s="30" t="str">
        <x:v>Limited/configuration-dependent public specifications</x:v>
      </x:c>
    </x:row>
    <x:row r="145">
      <x:c r="A145" s="30" t="n">
        <x:v>9</x:v>
      </x:c>
      <x:c r="B145" s="30" t="str">
        <x:v>Anduril</x:v>
      </x:c>
      <x:c r="C145" s="30" t="str">
        <x:v>UAVs/Drones</x:v>
      </x:c>
      <x:c r="D145" s="30" t="str">
        <x:v>Fury</x:v>
      </x:c>
      <x:c r="E145" s="30" t="str">
        <x:v>Limited/configuration-dependent public specifications</x:v>
      </x:c>
    </x:row>
    <x:row r="146">
      <x:c r="A146" s="30" t="n">
        <x:v>9</x:v>
      </x:c>
      <x:c r="B146" s="30" t="str">
        <x:v>Anduril</x:v>
      </x:c>
      <x:c r="C146" s="30" t="str">
        <x:v>UAVs/Drones</x:v>
      </x:c>
      <x:c r="D146" s="30" t="str">
        <x:v>Ghost</x:v>
      </x:c>
      <x:c r="E146" s="30" t="str">
        <x:v>Limited/configuration-dependent public specifications</x:v>
      </x:c>
    </x:row>
    <x:row r="147">
      <x:c r="A147" s="30" t="n">
        <x:v>9</x:v>
      </x:c>
      <x:c r="B147" s="30" t="str">
        <x:v>Anduril</x:v>
      </x:c>
      <x:c r="C147" s="30" t="str">
        <x:v>UAVs/Drones</x:v>
      </x:c>
      <x:c r="D147" s="30" t="str">
        <x:v>Roadrunner</x:v>
      </x:c>
      <x:c r="E147" s="30" t="str">
        <x:v>Limited/configuration-dependent public specifications</x:v>
      </x:c>
    </x:row>
    <x:row r="148">
      <x:c r="A148" s="30" t="n">
        <x:v>9</x:v>
      </x:c>
      <x:c r="B148" s="30" t="str">
        <x:v>Anduril</x:v>
      </x:c>
      <x:c r="C148" s="30" t="str">
        <x:v>Missiles</x:v>
      </x:c>
      <x:c r="D148" s="30" t="str">
        <x:v>Barracuda-500</x:v>
      </x:c>
      <x:c r="E148" s="30" t="str">
        <x:v>Limited/configuration-dependent public specifications</x:v>
      </x:c>
    </x:row>
    <x:row r="149">
      <x:c r="A149" s="30" t="n">
        <x:v>10</x:v>
      </x:c>
      <x:c r="B149" s="30" t="str">
        <x:v>UVision Air</x:v>
      </x:c>
      <x:c r="C149" s="30" t="str">
        <x:v>UAVs/Drones</x:v>
      </x:c>
      <x:c r="D149" s="30" t="str">
        <x:v>HERO 2500</x:v>
      </x:c>
      <x:c r="E149" s="30" t="str">
        <x:v>Limited/configuration-dependent public specifications</x:v>
      </x:c>
    </x:row>
    <x:row r="150">
      <x:c r="A150" s="30" t="n">
        <x:v>10</x:v>
      </x:c>
      <x:c r="B150" s="30" t="str">
        <x:v>UVision Air</x:v>
      </x:c>
      <x:c r="C150" s="30" t="str">
        <x:v>UAVs/Drones</x:v>
      </x:c>
      <x:c r="D150" s="30" t="str">
        <x:v>HERO 90</x:v>
      </x:c>
      <x:c r="E150" s="30" t="str">
        <x:v>Limited/configuration-dependent public specifications</x:v>
      </x:c>
    </x:row>
    <x:row r="151">
      <x:c r="A151" s="30" t="n">
        <x:v>10</x:v>
      </x:c>
      <x:c r="B151" s="30" t="str">
        <x:v>Adani Defence</x:v>
      </x:c>
      <x:c r="C151" s="30" t="str">
        <x:v>Artillery</x:v>
      </x:c>
      <x:c r="D151" s="30" t="str">
        <x:v>Aryan 52 Mounted Gun System</x:v>
      </x:c>
      <x:c r="E151" s="30" t="str">
        <x:v>Family/system/component-level entry — review if exact-model-only view is needed</x:v>
      </x:c>
    </x:row>
    <x:row r="152">
      <x:c r="A152" s="30" t="n">
        <x:v>10</x:v>
      </x:c>
      <x:c r="B152" s="30" t="str">
        <x:v>Adani Defence</x:v>
      </x:c>
      <x:c r="C152" s="30" t="str">
        <x:v>Ammunition</x:v>
      </x:c>
      <x:c r="D152" s="30" t="str">
        <x:v>155 mm Artillery Ammunition Family</x:v>
      </x:c>
      <x:c r="E152" s="30" t="str">
        <x:v>Limited/configuration-dependent public specifications; Family/system/component-level entry — review if exact-model-only view is needed</x:v>
      </x:c>
    </x:row>
    <x:row r="153">
      <x:c r="A153" s="30" t="n">
        <x:v>10</x:v>
      </x:c>
      <x:c r="B153" s="30" t="str">
        <x:v>Adani Defence</x:v>
      </x:c>
      <x:c r="C153" s="30" t="str">
        <x:v>Ammunition</x:v>
      </x:c>
      <x:c r="D153" s="30" t="str">
        <x:v>30 mm Medium-Calibre Ammunition</x:v>
      </x:c>
      <x:c r="E153" s="30" t="str">
        <x:v>Limited/configuration-dependent public specifications</x:v>
      </x:c>
    </x:row>
    <x:row r="154">
      <x:c r="A154" s="30" t="n">
        <x:v>10</x:v>
      </x:c>
      <x:c r="B154" s="30" t="str">
        <x:v>Adani Defence</x:v>
      </x:c>
      <x:c r="C154" s="30" t="str">
        <x:v>Ammunition</x:v>
      </x:c>
      <x:c r="D154" s="30" t="str">
        <x:v>5.56×45 mm Small-Arms Ammunition</x:v>
      </x:c>
      <x:c r="E154" s="30" t="str">
        <x:v>Limited/configuration-dependent public specifications</x:v>
      </x:c>
    </x:row>
    <x:row r="155">
      <x:c r="A155" s="30" t="n">
        <x:v>10</x:v>
      </x:c>
      <x:c r="B155" s="30" t="str">
        <x:v>Adani Defence</x:v>
      </x:c>
      <x:c r="C155" s="30" t="str">
        <x:v>Ammunition</x:v>
      </x:c>
      <x:c r="D155" s="30" t="str">
        <x:v>7.62×39 mm Small-Arms Ammunition</x:v>
      </x:c>
      <x:c r="E155" s="30" t="str">
        <x:v>Limited/configuration-dependent public specifications</x:v>
      </x:c>
    </x:row>
    <x:row r="156">
      <x:c r="A156" s="30" t="n">
        <x:v>10</x:v>
      </x:c>
      <x:c r="B156" s="30" t="str">
        <x:v>Adani Defence</x:v>
      </x:c>
      <x:c r="C156" s="30" t="str">
        <x:v>Ammunition</x:v>
      </x:c>
      <x:c r="D156" s="30" t="str">
        <x:v>7.62×51 mm Small-Arms Ammunition</x:v>
      </x:c>
      <x:c r="E156" s="30" t="str">
        <x:v>Limited/configuration-dependent public specifications</x:v>
      </x:c>
    </x:row>
    <x:row r="157">
      <x:c r="A157" s="30" t="n">
        <x:v>10</x:v>
      </x:c>
      <x:c r="B157" s="30" t="str">
        <x:v>Adani Defence</x:v>
      </x:c>
      <x:c r="C157" s="30" t="str">
        <x:v>Ammunition</x:v>
      </x:c>
      <x:c r="D157" s="30" t="str">
        <x:v>9×19 mm Small-Arms Ammunition</x:v>
      </x:c>
      <x:c r="E157" s="30" t="str">
        <x:v>Limited/configuration-dependent public specifications</x:v>
      </x:c>
    </x:row>
    <x:row r="158">
      <x:c r="A158" s="30" t="n">
        <x:v>10</x:v>
      </x:c>
      <x:c r="B158" s="30" t="str">
        <x:v>Adani Defence</x:v>
      </x:c>
      <x:c r="C158" s="30" t="str">
        <x:v>Protected Vehicles</x:v>
      </x:c>
      <x:c r="D158" s="30" t="str">
        <x:v>Vehicle-Mounted Counter-Drone System</x:v>
      </x:c>
      <x:c r="E158" s="30" t="str">
        <x:v>Family/system/component-level entry — review if exact-model-only view is needed</x:v>
      </x:c>
    </x:row>
    <x:row r="159">
      <x:c r="A159" s="30" t="n">
        <x:v>10</x:v>
      </x:c>
      <x:c r="B159" s="30" t="str">
        <x:v>Adani Defence</x:v>
      </x:c>
      <x:c r="C159" s="30" t="str">
        <x:v>Marine/Naval</x:v>
      </x:c>
      <x:c r="D159" s="30" t="str">
        <x:v>Adani autonomous maritime systems</x:v>
      </x:c>
      <x:c r="E159" s="30" t="str">
        <x:v>Limited/configuration-dependent public specifications; Family/system/component-level entry — review if exact-model-only view is needed</x:v>
      </x:c>
    </x:row>
    <x:row r="160">
      <x:c r="A160" s="30" t="n">
        <x:v>10</x:v>
      </x:c>
      <x:c r="B160" s="30" t="str">
        <x:v>Adani Defence</x:v>
      </x:c>
      <x:c r="C160" s="30" t="str">
        <x:v>UAVs/Drones</x:v>
      </x:c>
      <x:c r="D160" s="30" t="str">
        <x:v>Agnikaa</x:v>
      </x:c>
      <x:c r="E160" s="30" t="str">
        <x:v>Limited/configuration-dependent public specifications</x:v>
      </x:c>
    </x:row>
    <x:row r="161">
      <x:c r="A161" s="30" t="n">
        <x:v>10</x:v>
      </x:c>
      <x:c r="B161" s="30" t="str">
        <x:v>Adani Defence</x:v>
      </x:c>
      <x:c r="C161" s="30" t="str">
        <x:v>UAVs/Drones</x:v>
      </x:c>
      <x:c r="D161" s="30" t="str">
        <x:v>ALFA-S</x:v>
      </x:c>
      <x:c r="E161" s="30" t="str">
        <x:v>Limited/configuration-dependent public specifications</x:v>
      </x:c>
    </x:row>
    <x:row r="162">
      <x:c r="A162" s="30" t="n">
        <x:v>10</x:v>
      </x:c>
      <x:c r="B162" s="30" t="str">
        <x:v>Adani Defence</x:v>
      </x:c>
      <x:c r="C162" s="30" t="str">
        <x:v>UAVs/Drones</x:v>
      </x:c>
      <x:c r="D162" s="30" t="str">
        <x:v>SkyStriker Loitering Munition</x:v>
      </x:c>
      <x:c r="E162" s="30" t="str">
        <x:v>Limited/configuration-dependent public specifications</x:v>
      </x:c>
    </x:row>
    <x:row r="163">
      <x:c r="A163" s="30" t="n">
        <x:v>10</x:v>
      </x:c>
      <x:c r="B163" s="30" t="str">
        <x:v>BrahMos Aerospace</x:v>
      </x:c>
      <x:c r="C163" s="30" t="str">
        <x:v>Missiles</x:v>
      </x:c>
      <x:c r="D163" s="30" t="str">
        <x:v>BRAHMOS Land-Based Weapon System</x:v>
      </x:c>
      <x:c r="E163" s="30" t="str">
        <x:v>Family/system/component-level entry — review if exact-model-only view is needed</x:v>
      </x:c>
    </x:row>
    <x:row r="164">
      <x:c r="A164" s="30" t="n">
        <x:v>10</x:v>
      </x:c>
      <x:c r="B164" s="30" t="str">
        <x:v>BrahMos Aerospace</x:v>
      </x:c>
      <x:c r="C164" s="30" t="str">
        <x:v>Missiles</x:v>
      </x:c>
      <x:c r="D164" s="30" t="str">
        <x:v>BRAHMOS Ship-Based Weapon System</x:v>
      </x:c>
      <x:c r="E164" s="30" t="str">
        <x:v>Limited/configuration-dependent public specifications; Family/system/component-level entry — review if exact-model-only view is needed</x:v>
      </x:c>
    </x:row>
    <x:row r="165">
      <x:c r="A165" s="30" t="n">
        <x:v>10</x:v>
      </x:c>
      <x:c r="B165" s="30" t="str">
        <x:v>BrahMos Aerospace</x:v>
      </x:c>
      <x:c r="C165" s="30" t="str">
        <x:v>Missiles</x:v>
      </x:c>
      <x:c r="D165" s="30" t="str">
        <x:v>BRAHMOS Submarine-Launched Cruise Missile (SLCM)</x:v>
      </x:c>
      <x:c r="E165" s="30" t="str">
        <x:v>Limited/configuration-dependent public specifications</x:v>
      </x:c>
    </x:row>
    <x:row r="166">
      <x:c r="A166" s="30" t="n">
        <x:v>10</x:v>
      </x:c>
      <x:c r="B166" s="30" t="str">
        <x:v>BrahMos Aerospace</x:v>
      </x:c>
      <x:c r="C166" s="30" t="str">
        <x:v>Missiles</x:v>
      </x:c>
      <x:c r="D166" s="30" t="str">
        <x:v>BRAHMOS-II Hypersonic Cruise Missile</x:v>
      </x:c>
      <x:c r="E166" s="30" t="str">
        <x:v>Limited/configuration-dependent public specifications</x:v>
      </x:c>
    </x:row>
    <x:row r="167">
      <x:c r="A167" s="30" t="n">
        <x:v>10</x:v>
      </x:c>
      <x:c r="B167" s="30" t="str">
        <x:v>Premier Explosives</x:v>
      </x:c>
      <x:c r="C167" s="30" t="str">
        <x:v>Ammunition</x:v>
      </x:c>
      <x:c r="D167" s="30" t="str">
        <x:v>70 mm Rocket</x:v>
      </x:c>
      <x:c r="E167" s="30" t="str">
        <x:v>Limited/configuration-dependent public specifications</x:v>
      </x:c>
    </x:row>
    <x:row r="168">
      <x:c r="A168" s="30" t="n">
        <x:v>10</x:v>
      </x:c>
      <x:c r="B168" s="30" t="str">
        <x:v>Premier Explosives</x:v>
      </x:c>
      <x:c r="C168" s="30" t="str">
        <x:v>Ammunition</x:v>
      </x:c>
      <x:c r="D168" s="30" t="str">
        <x:v>Agni Strategic Pyrogen Igniter / Daisy-II Motor</x:v>
      </x:c>
      <x:c r="E168" s="30" t="str">
        <x:v>Limited/configuration-dependent public specifications; Family/system/component-level entry — review if exact-model-only view is needed</x:v>
      </x:c>
    </x:row>
    <x:row r="169">
      <x:c r="A169" s="30" t="n">
        <x:v>10</x:v>
      </x:c>
      <x:c r="B169" s="30" t="str">
        <x:v>Premier Explosives</x:v>
      </x:c>
      <x:c r="C169" s="30" t="str">
        <x:v>Ammunition</x:v>
      </x:c>
      <x:c r="D169" s="30" t="str">
        <x:v>Air Target Imitator Rocket / Motor</x:v>
      </x:c>
      <x:c r="E169" s="30" t="str">
        <x:v>Limited/configuration-dependent public specifications; Family/system/component-level entry — review if exact-model-only view is needed</x:v>
      </x:c>
    </x:row>
    <x:row r="170">
      <x:c r="A170" s="30" t="n">
        <x:v>10</x:v>
      </x:c>
      <x:c r="B170" s="30" t="str">
        <x:v>Premier Explosives</x:v>
      </x:c>
      <x:c r="C170" s="30" t="str">
        <x:v>Ammunition</x:v>
      </x:c>
      <x:c r="D170" s="30" t="str">
        <x:v>Akash Booster &amp; Sustainer Grains</x:v>
      </x:c>
      <x:c r="E170" s="30" t="str">
        <x:v>Limited/configuration-dependent public specifications; Family/system/component-level entry — review if exact-model-only view is needed</x:v>
      </x:c>
    </x:row>
    <x:row r="171">
      <x:c r="A171" s="30" t="n">
        <x:v>10</x:v>
      </x:c>
      <x:c r="B171" s="30" t="str">
        <x:v>Premier Explosives</x:v>
      </x:c>
      <x:c r="C171" s="30" t="str">
        <x:v>Ammunition</x:v>
      </x:c>
      <x:c r="D171" s="30" t="str">
        <x:v>Astra Solid Propellant</x:v>
      </x:c>
      <x:c r="E171" s="30" t="str">
        <x:v>Limited/configuration-dependent public specifications; Family/system/component-level entry — review if exact-model-only view is needed</x:v>
      </x:c>
    </x:row>
    <x:row r="172">
      <x:c r="A172" s="30" t="n">
        <x:v>10</x:v>
      </x:c>
      <x:c r="B172" s="30" t="str">
        <x:v>Premier Explosives</x:v>
      </x:c>
      <x:c r="C172" s="30" t="str">
        <x:v>Ammunition</x:v>
      </x:c>
      <x:c r="D172" s="30" t="str">
        <x:v>BrahMos Solid-Propellant Booster Material</x:v>
      </x:c>
      <x:c r="E172" s="30" t="str">
        <x:v>Limited/configuration-dependent public specifications; Family/system/component-level entry — review if exact-model-only view is needed</x:v>
      </x:c>
    </x:row>
    <x:row r="173">
      <x:c r="A173" s="30" t="n">
        <x:v>10</x:v>
      </x:c>
      <x:c r="B173" s="30" t="str">
        <x:v>Premier Explosives</x:v>
      </x:c>
      <x:c r="C173" s="30" t="str">
        <x:v>Ammunition</x:v>
      </x:c>
      <x:c r="D173" s="30" t="str">
        <x:v>Chaff &amp; IR Flare Countermeasure Ammunition</x:v>
      </x:c>
      <x:c r="E173" s="30" t="str">
        <x:v>Limited/configuration-dependent public specifications</x:v>
      </x:c>
    </x:row>
    <x:row r="174">
      <x:c r="A174" s="30" t="n">
        <x:v>10</x:v>
      </x:c>
      <x:c r="B174" s="30" t="str">
        <x:v>Premier Explosives</x:v>
      </x:c>
      <x:c r="C174" s="30" t="str">
        <x:v>Ammunition</x:v>
      </x:c>
      <x:c r="D174" s="30" t="str">
        <x:v>LRSAM Solid Propellant</x:v>
      </x:c>
      <x:c r="E174" s="30" t="str">
        <x:v>Family/system/component-level entry — review if exact-model-only view is needed</x:v>
      </x:c>
    </x:row>
    <x:row r="175">
      <x:c r="A175" s="30" t="n">
        <x:v>10</x:v>
      </x:c>
      <x:c r="B175" s="30" t="str">
        <x:v>Premier Explosives</x:v>
      </x:c>
      <x:c r="C175" s="30" t="str">
        <x:v>Ammunition</x:v>
      </x:c>
      <x:c r="D175" s="30" t="str">
        <x:v>MRSAM Solid Propellant</x:v>
      </x:c>
      <x:c r="E175" s="30" t="str">
        <x:v>Limited/configuration-dependent public specifications; Family/system/component-level entry — review if exact-model-only view is needed</x:v>
      </x:c>
    </x:row>
    <x:row r="176">
      <x:c r="A176" s="30" t="n">
        <x:v>10</x:v>
      </x:c>
      <x:c r="B176" s="30" t="str">
        <x:v>Premier Explosives</x:v>
      </x:c>
      <x:c r="C176" s="30" t="str">
        <x:v>Ammunition</x:v>
      </x:c>
      <x:c r="D176" s="30" t="str">
        <x:v>Pinaka Mk-II Rocket</x:v>
      </x:c>
      <x:c r="E176" s="30" t="str">
        <x:v>Limited/configuration-dependent public specifications</x:v>
      </x:c>
    </x:row>
    <x:row r="177">
      <x:c r="A177" s="30" t="n">
        <x:v>10</x:v>
      </x:c>
      <x:c r="B177" s="30" t="str">
        <x:v>Premier Explosives</x:v>
      </x:c>
      <x:c r="C177" s="30" t="str">
        <x:v>Ammunition</x:v>
      </x:c>
      <x:c r="D177" s="30" t="str">
        <x:v>Pinaka Rocket Propellant</x:v>
      </x:c>
      <x:c r="E177" s="30" t="str">
        <x:v>Limited/configuration-dependent public specifications; Family/system/component-level entry — review if exact-model-only view is needed</x:v>
      </x:c>
    </x:row>
    <x:row r="178">
      <x:c r="A178" s="30" t="n">
        <x:v>10</x:v>
      </x:c>
      <x:c r="B178" s="30" t="str">
        <x:v>Premier Explosives</x:v>
      </x:c>
      <x:c r="C178" s="30" t="str">
        <x:v>Ammunition</x:v>
      </x:c>
      <x:c r="D178" s="30" t="str">
        <x:v>QRSAM / NGARM Solid Propellant Family</x:v>
      </x:c>
      <x:c r="E178" s="30" t="str">
        <x:v>Limited/configuration-dependent public specifications; Family/system/component-level entry — review if exact-model-only view is needed</x:v>
      </x:c>
    </x:row>
    <x:row r="179">
      <x:c r="A179" s="30" t="n">
        <x:v>10</x:v>
      </x:c>
      <x:c r="B179" s="30" t="str">
        <x:v>Premier Explosives</x:v>
      </x:c>
      <x:c r="C179" s="30" t="str">
        <x:v>Ammunition</x:v>
      </x:c>
      <x:c r="D179" s="30" t="str">
        <x:v>Rocket Motor Hardware</x:v>
      </x:c>
      <x:c r="E179" s="30" t="str">
        <x:v>Limited/configuration-dependent public specifications; Family/system/component-level entry — review if exact-model-only view is needed</x:v>
      </x:c>
    </x:row>
    <x:row r="180">
      <x:c r="A180" s="30" t="n">
        <x:v>10</x:v>
      </x:c>
      <x:c r="B180" s="30" t="str">
        <x:v>Premier Explosives</x:v>
      </x:c>
      <x:c r="C180" s="30" t="str">
        <x:v>Ammunition</x:v>
      </x:c>
      <x:c r="D180" s="30" t="str">
        <x:v>Sledge Rocket Motor</x:v>
      </x:c>
      <x:c r="E180" s="30" t="str">
        <x:v>Family/system/component-level entry — review if exact-model-only view is needed</x:v>
      </x:c>
    </x:row>
    <x:row r="181">
      <x:c r="A181" s="30" t="n">
        <x:v>10</x:v>
      </x:c>
      <x:c r="B181" s="30" t="str">
        <x:v>Premier Explosives</x:v>
      </x:c>
      <x:c r="C181" s="30" t="str">
        <x:v>Ammunition</x:v>
      </x:c>
      <x:c r="D181" s="30" t="str">
        <x:v>Solid Propellant Families</x:v>
      </x:c>
      <x:c r="E181" s="30" t="str">
        <x:v>Family/system/component-level entry — review if exact-model-only view is needed</x:v>
      </x:c>
    </x:row>
    <x:row r="182">
      <x:c r="A182" s="30" t="n">
        <x:v>10</x:v>
      </x:c>
      <x:c r="B182" s="30" t="str">
        <x:v>Premier Explosives</x:v>
      </x:c>
      <x:c r="C182" s="30" t="str">
        <x:v>Ammunition</x:v>
      </x:c>
      <x:c r="D182" s="30" t="str">
        <x:v>Warhead / High-Energy Material Products</x:v>
      </x:c>
      <x:c r="E182" s="30" t="str">
        <x:v>Family/system/component-level entry — review if exact-model-only view is needed</x:v>
      </x:c>
    </x:row>
    <x:row r="183">
      <x:c r="A183" s="30" t="n">
        <x:v>10</x:v>
      </x:c>
      <x:c r="B183" s="30" t="str">
        <x:v>Solar Industries</x:v>
      </x:c>
      <x:c r="C183" s="30" t="str">
        <x:v>Ammunition</x:v>
      </x:c>
      <x:c r="D183" s="30" t="str">
        <x:v>155 mm Artillery Shell Family</x:v>
      </x:c>
      <x:c r="E183" s="30" t="str">
        <x:v>Limited/configuration-dependent public specifications; Family/system/component-level entry — review if exact-model-only view is needed</x:v>
      </x:c>
    </x:row>
    <x:row r="184">
      <x:c r="A184" s="30" t="n">
        <x:v>10</x:v>
      </x:c>
      <x:c r="B184" s="30" t="str">
        <x:v>Solar Industries</x:v>
      </x:c>
      <x:c r="C184" s="30" t="str">
        <x:v>Ammunition</x:v>
      </x:c>
      <x:c r="D184" s="30" t="str">
        <x:v>23 mm Ammunition</x:v>
      </x:c>
      <x:c r="E184" s="30" t="str">
        <x:v>Limited/configuration-dependent public specifications</x:v>
      </x:c>
    </x:row>
    <x:row r="185">
      <x:c r="A185" s="30" t="n">
        <x:v>10</x:v>
      </x:c>
      <x:c r="B185" s="30" t="str">
        <x:v>Solar Industries</x:v>
      </x:c>
      <x:c r="C185" s="30" t="str">
        <x:v>Ammunition</x:v>
      </x:c>
      <x:c r="D185" s="30" t="str">
        <x:v>30 mm BMP-II HEI / HE-T Family</x:v>
      </x:c>
      <x:c r="E185" s="30" t="str">
        <x:v>Family/system/component-level entry — review if exact-model-only view is needed</x:v>
      </x:c>
    </x:row>
    <x:row r="186">
      <x:c r="A186" s="30" t="n">
        <x:v>10</x:v>
      </x:c>
      <x:c r="B186" s="30" t="str">
        <x:v>Solar Industries</x:v>
      </x:c>
      <x:c r="C186" s="30" t="str">
        <x:v>Ammunition</x:v>
      </x:c>
      <x:c r="D186" s="30" t="str">
        <x:v>40 mm Ammunition</x:v>
      </x:c>
      <x:c r="E186" s="30" t="str">
        <x:v>Limited/configuration-dependent public specifications</x:v>
      </x:c>
    </x:row>
    <x:row r="187">
      <x:c r="A187" s="30" t="n">
        <x:v>10</x:v>
      </x:c>
      <x:c r="B187" s="30" t="str">
        <x:v>Solar Industries</x:v>
      </x:c>
      <x:c r="C187" s="30" t="str">
        <x:v>Ammunition</x:v>
      </x:c>
      <x:c r="D187" s="30" t="str">
        <x:v>81 mm AT-AL Smoke Grenade</x:v>
      </x:c>
      <x:c r="E187" s="30" t="str">
        <x:v>Limited/configuration-dependent public specifications</x:v>
      </x:c>
    </x:row>
    <x:row r="188">
      <x:c r="A188" s="30" t="n">
        <x:v>10</x:v>
      </x:c>
      <x:c r="B188" s="30" t="str">
        <x:v>Solar Industries</x:v>
      </x:c>
      <x:c r="C188" s="30" t="str">
        <x:v>Ammunition</x:v>
      </x:c>
      <x:c r="D188" s="30" t="str">
        <x:v>Air Bomb Family — 125/250/500/1000 kg</x:v>
      </x:c>
      <x:c r="E188" s="30" t="str">
        <x:v>Limited/configuration-dependent public specifications; Family/system/component-level entry — review if exact-model-only view is needed</x:v>
      </x:c>
    </x:row>
    <x:row r="189">
      <x:c r="A189" s="30" t="n">
        <x:v>10</x:v>
      </x:c>
      <x:c r="B189" s="30" t="str">
        <x:v>Solar Industries</x:v>
      </x:c>
      <x:c r="C189" s="30" t="str">
        <x:v>Ammunition</x:v>
      </x:c>
      <x:c r="D189" s="30" t="str">
        <x:v>Akash Composite Propellant</x:v>
      </x:c>
      <x:c r="E189" s="30" t="str">
        <x:v>Family/system/component-level entry — review if exact-model-only view is needed</x:v>
      </x:c>
    </x:row>
    <x:row r="190">
      <x:c r="A190" s="30" t="n">
        <x:v>10</x:v>
      </x:c>
      <x:c r="B190" s="30" t="str">
        <x:v>Solar Industries</x:v>
      </x:c>
      <x:c r="C190" s="30" t="str">
        <x:v>Ammunition</x:v>
      </x:c>
      <x:c r="D190" s="30" t="str">
        <x:v>BrahMos Composite Propellant / Booster Materials</x:v>
      </x:c>
      <x:c r="E190" s="30" t="str">
        <x:v>Limited/configuration-dependent public specifications; Family/system/component-level entry — review if exact-model-only view is needed</x:v>
      </x:c>
    </x:row>
    <x:row r="191">
      <x:c r="A191" s="30" t="n">
        <x:v>10</x:v>
      </x:c>
      <x:c r="B191" s="30" t="str">
        <x:v>Solar Industries</x:v>
      </x:c>
      <x:c r="C191" s="30" t="str">
        <x:v>Ammunition</x:v>
      </x:c>
      <x:c r="D191" s="30" t="str">
        <x:v>Chaff Rocket 118 — Long Range</x:v>
      </x:c>
      <x:c r="E191" s="30" t="str">
        <x:v>Limited/configuration-dependent public specifications</x:v>
      </x:c>
    </x:row>
    <x:row r="192">
      <x:c r="A192" s="30" t="n">
        <x:v>10</x:v>
      </x:c>
      <x:c r="B192" s="30" t="str">
        <x:v>Solar Industries</x:v>
      </x:c>
      <x:c r="C192" s="30" t="str">
        <x:v>Ammunition</x:v>
      </x:c>
      <x:c r="D192" s="30" t="str">
        <x:v>Chaff Rocket 118 — Medium Range</x:v>
      </x:c>
      <x:c r="E192" s="30" t="str">
        <x:v>Limited/configuration-dependent public specifications</x:v>
      </x:c>
    </x:row>
    <x:row r="193">
      <x:c r="A193" s="30" t="n">
        <x:v>10</x:v>
      </x:c>
      <x:c r="B193" s="30" t="str">
        <x:v>Solar Industries</x:v>
      </x:c>
      <x:c r="C193" s="30" t="str">
        <x:v>Ammunition</x:v>
      </x:c>
      <x:c r="D193" s="30" t="str">
        <x:v>High-Energy Naval Explosives / Torpedo Warheads</x:v>
      </x:c>
      <x:c r="E193" s="30" t="str">
        <x:v>Limited/configuration-dependent public specifications; Family/system/component-level entry — review if exact-model-only view is needed</x:v>
      </x:c>
    </x:row>
    <x:row r="194">
      <x:c r="A194" s="30" t="n">
        <x:v>10</x:v>
      </x:c>
      <x:c r="B194" s="30" t="str">
        <x:v>Solar Industries</x:v>
      </x:c>
      <x:c r="C194" s="30" t="str">
        <x:v>Ammunition</x:v>
      </x:c>
      <x:c r="D194" s="30" t="str">
        <x:v>Mines — Tandav / Adrushi / M55 / M95</x:v>
      </x:c>
      <x:c r="E194" s="30" t="str">
        <x:v>Limited/configuration-dependent public specifications</x:v>
      </x:c>
    </x:row>
    <x:row r="195">
      <x:c r="A195" s="30" t="n">
        <x:v>10</x:v>
      </x:c>
      <x:c r="B195" s="30" t="str">
        <x:v>Solar Industries</x:v>
      </x:c>
      <x:c r="C195" s="30" t="str">
        <x:v>Ammunition</x:v>
      </x:c>
      <x:c r="D195" s="30" t="str">
        <x:v>Multi-Mode Hand Grenade</x:v>
      </x:c>
      <x:c r="E195" s="30" t="str">
        <x:v>Limited/configuration-dependent public specifications</x:v>
      </x:c>
    </x:row>
    <x:row r="196">
      <x:c r="A196" s="30" t="n">
        <x:v>10</x:v>
      </x:c>
      <x:c r="B196" s="30" t="str">
        <x:v>Solar Industries</x:v>
      </x:c>
      <x:c r="C196" s="30" t="str">
        <x:v>Ammunition</x:v>
      </x:c>
      <x:c r="D196" s="30" t="str">
        <x:v>Pinaka ER Rocket</x:v>
      </x:c>
      <x:c r="E196" s="30" t="str">
        <x:v>Limited/configuration-dependent public specifications</x:v>
      </x:c>
    </x:row>
    <x:row r="197">
      <x:c r="A197" s="30" t="n">
        <x:v>10</x:v>
      </x:c>
      <x:c r="B197" s="30" t="str">
        <x:v>Solar Industries</x:v>
      </x:c>
      <x:c r="C197" s="30" t="str">
        <x:v>Ammunition</x:v>
      </x:c>
      <x:c r="D197" s="30" t="str">
        <x:v>Pinaka Rocket Propellant</x:v>
      </x:c>
      <x:c r="E197" s="30" t="str">
        <x:v>Family/system/component-level entry — review if exact-model-only view is needed</x:v>
      </x:c>
    </x:row>
    <x:row r="198">
      <x:c r="A198" s="30" t="n">
        <x:v>10</x:v>
      </x:c>
      <x:c r="B198" s="30" t="str">
        <x:v>Solar Industries</x:v>
      </x:c>
      <x:c r="C198" s="30" t="str">
        <x:v>Ammunition</x:v>
      </x:c>
      <x:c r="D198" s="30" t="str">
        <x:v>YDB-60 Fuze</x:v>
      </x:c>
      <x:c r="E198" s="30" t="str">
        <x:v>Limited/configuration-dependent public specifications; Family/system/component-level entry — review if exact-model-only view is needed</x:v>
      </x:c>
    </x:row>
    <x:row r="199">
      <x:c r="A199" s="30" t="n">
        <x:v>10</x:v>
      </x:c>
      <x:c r="B199" s="30" t="str">
        <x:v>Solar Industries</x:v>
      </x:c>
      <x:c r="C199" s="30" t="str">
        <x:v>UAVs/Drones</x:v>
      </x:c>
      <x:c r="D199" s="30" t="str">
        <x:v>NAGASTRA-3</x:v>
      </x:c>
      <x:c r="E199" s="30" t="str">
        <x:v>Limited/configuration-dependent public specifications</x:v>
      </x:c>
    </x:row>
    <x:row r="200">
      <x:c r="A200" s="30" t="n">
        <x:v>10</x:v>
      </x:c>
      <x:c r="B200" s="30" t="str">
        <x:v>Solar Industries</x:v>
      </x:c>
      <x:c r="C200" s="30" t="str">
        <x:v>UAVs/Drones</x:v>
      </x:c>
      <x:c r="D200" s="30" t="str">
        <x:v>VTOL UAV Family</x:v>
      </x:c>
      <x:c r="E200" s="30" t="str">
        <x:v>Limited/configuration-dependent public specifications; Family/system/component-level entry — review if exact-model-only view is needed</x:v>
      </x:c>
    </x:row>
    <x:row r="201">
      <x:c r="A201" s="30" t="n">
        <x:v>10</x:v>
      </x:c>
      <x:c r="B201" s="30" t="str">
        <x:v>Solar Industries</x:v>
      </x:c>
      <x:c r="C201" s="30" t="str">
        <x:v>Missiles</x:v>
      </x:c>
      <x:c r="D201" s="30" t="str">
        <x:v>Bhargavastra Counter-Drone Micro-Missile System</x:v>
      </x:c>
      <x:c r="E201" s="30" t="str">
        <x:v>Family/system/component-level entry — review if exact-model-only view is needed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64" hidden="0" customWidth="1"/>
    <x:col min="4" max="4" width="44" hidden="0" customWidth="1"/>
    <x:col min="5" max="5" width="100" hidden="0" customWidth="1"/>
  </x:cols>
  <x:sheetData>
    <x:row r="1">
      <x:c r="A1" s="24" t="str">
        <x:v>Change Type</x:v>
      </x:c>
      <x:c r="B1" s="24" t="str">
        <x:v>Company</x:v>
      </x:c>
      <x:c r="C1" s="24" t="str">
        <x:v>Product / Area</x:v>
      </x:c>
      <x:c r="D1" s="24" t="str">
        <x:v>Action</x:v>
      </x:c>
      <x:c r="E1" s="24" t="str">
        <x:v>Reason / Verification Note</x:v>
      </x:c>
    </x:row>
    <x:row r="2">
      <x:c r="A2" s="32" t="str">
        <x:v>Deduplication</x:v>
      </x:c>
      <x:c r="B2" s="32" t="str">
        <x:v>Nexter (KNDS France)</x:v>
      </x:c>
      <x:c r="C2" s="32" t="str">
        <x:v>100 mm Naval Ammunition</x:v>
      </x:c>
      <x:c r="D2" s="32" t="str">
        <x:v>Duplicate removed</x:v>
      </x:c>
      <x:c r="E2" s="32" t="str">
        <x:v>Same product already exists under Ammunition.</x:v>
      </x:c>
    </x:row>
    <x:row r="3">
      <x:c r="A3" s="32" t="str">
        <x:v>Deduplication</x:v>
      </x:c>
      <x:c r="B3" s="32" t="str">
        <x:v>Nexter (KNDS France)</x:v>
      </x:c>
      <x:c r="C3" s="32" t="str">
        <x:v>127 L54 Naval Ammunition</x:v>
      </x:c>
      <x:c r="D3" s="32" t="str">
        <x:v>Duplicate removed</x:v>
      </x:c>
      <x:c r="E3" s="32" t="str">
        <x:v>Same product already exists under Ammunition.</x:v>
      </x:c>
    </x:row>
    <x:row r="4">
      <x:c r="A4" s="32" t="str">
        <x:v>Deduplication</x:v>
      </x:c>
      <x:c r="B4" s="32" t="str">
        <x:v>Nexter (KNDS France)</x:v>
      </x:c>
      <x:c r="C4" s="32" t="str">
        <x:v>76 L62 Naval Ammunition</x:v>
      </x:c>
      <x:c r="D4" s="32" t="str">
        <x:v>Duplicate removed</x:v>
      </x:c>
      <x:c r="E4" s="32" t="str">
        <x:v>Same product already exists under Ammunition.</x:v>
      </x:c>
    </x:row>
    <x:row r="5">
      <x:c r="A5" s="32" t="str">
        <x:v>Taxonomy cleanup</x:v>
      </x:c>
      <x:c r="B5" s="32" t="str">
        <x:v>BAE Systems</x:v>
      </x:c>
      <x:c r="C5" s="32" t="str">
        <x:v>LEMUR</x:v>
      </x:c>
      <x:c r="D5" s="32" t="str">
        <x:v>Moved out of PRODUCT MASTER</x:v>
      </x:c>
      <x:c r="E5" s="32" t="str">
        <x:v>Weapon station/turret/cannon/APS subsystem.</x:v>
      </x:c>
    </x:row>
    <x:row r="6">
      <x:c r="A6" s="32" t="str">
        <x:v>Taxonomy cleanup</x:v>
      </x:c>
      <x:c r="B6" s="32" t="str">
        <x:v>BAE Systems</x:v>
      </x:c>
      <x:c r="C6" s="32" t="str">
        <x:v>Bofors LEMUR</x:v>
      </x:c>
      <x:c r="D6" s="32" t="str">
        <x:v>Moved out of PRODUCT MASTER</x:v>
      </x:c>
      <x:c r="E6" s="32" t="str">
        <x:v>Weapon station/turret/cannon/APS subsystem.</x:v>
      </x:c>
    </x:row>
    <x:row r="7">
      <x:c r="A7" s="32" t="str">
        <x:v>Attribution cleanup</x:v>
      </x:c>
      <x:c r="B7" s="32" t="str">
        <x:v>BAE Systems</x:v>
      </x:c>
      <x:c r="C7" s="32" t="str">
        <x:v>ASRAAM</x:v>
      </x:c>
      <x:c r="D7" s="32" t="str">
        <x:v>Moved out of PRODUCT MASTER</x:v>
      </x:c>
      <x:c r="E7" s="32" t="str">
        <x:v>Retained as industrial workshare, not counted as an independent OEM product.</x:v>
      </x:c>
    </x:row>
    <x:row r="8">
      <x:c r="A8" s="32" t="str">
        <x:v>Attribution cleanup</x:v>
      </x:c>
      <x:c r="B8" s="32" t="str">
        <x:v>BAE Systems</x:v>
      </x:c>
      <x:c r="C8" s="32" t="str">
        <x:v>Brimstone</x:v>
      </x:c>
      <x:c r="D8" s="32" t="str">
        <x:v>Moved out of PRODUCT MASTER</x:v>
      </x:c>
      <x:c r="E8" s="32" t="str">
        <x:v>Retained as industrial workshare, not counted as an independent OEM product.</x:v>
      </x:c>
    </x:row>
    <x:row r="9">
      <x:c r="A9" s="32" t="str">
        <x:v>Attribution cleanup</x:v>
      </x:c>
      <x:c r="B9" s="32" t="str">
        <x:v>BAE Systems</x:v>
      </x:c>
      <x:c r="C9" s="32" t="str">
        <x:v>Meteor</x:v>
      </x:c>
      <x:c r="D9" s="32" t="str">
        <x:v>Moved out of PRODUCT MASTER</x:v>
      </x:c>
      <x:c r="E9" s="32" t="str">
        <x:v>Retained as industrial workshare, not counted as an independent OEM product.</x:v>
      </x:c>
    </x:row>
    <x:row r="10">
      <x:c r="A10" s="32" t="str">
        <x:v>Attribution cleanup</x:v>
      </x:c>
      <x:c r="B10" s="32" t="str">
        <x:v>BAE Systems</x:v>
      </x:c>
      <x:c r="C10" s="32" t="str">
        <x:v>NLAW</x:v>
      </x:c>
      <x:c r="D10" s="32" t="str">
        <x:v>Moved out of PRODUCT MASTER</x:v>
      </x:c>
      <x:c r="E10" s="32" t="str">
        <x:v>Retained as industrial workshare, not counted as an independent OEM product.</x:v>
      </x:c>
    </x:row>
    <x:row r="11">
      <x:c r="A11" s="32" t="str">
        <x:v>Attribution cleanup</x:v>
      </x:c>
      <x:c r="B11" s="32" t="str">
        <x:v>BAE Systems</x:v>
      </x:c>
      <x:c r="C11" s="32" t="str">
        <x:v>SPEAR</x:v>
      </x:c>
      <x:c r="D11" s="32" t="str">
        <x:v>Moved out of PRODUCT MASTER</x:v>
      </x:c>
      <x:c r="E11" s="32" t="str">
        <x:v>Retained as industrial workshare, not counted as an independent OEM product.</x:v>
      </x:c>
    </x:row>
    <x:row r="12">
      <x:c r="A12" s="32" t="str">
        <x:v>Attribution cleanup</x:v>
      </x:c>
      <x:c r="B12" s="32" t="str">
        <x:v>BAE Systems</x:v>
      </x:c>
      <x:c r="C12" s="32" t="str">
        <x:v>Storm Shadow / SCALP</x:v>
      </x:c>
      <x:c r="D12" s="32" t="str">
        <x:v>Moved out of PRODUCT MASTER</x:v>
      </x:c>
      <x:c r="E12" s="32" t="str">
        <x:v>Retained as industrial workshare, not counted as an independent OEM product.</x:v>
      </x:c>
    </x:row>
    <x:row r="13">
      <x:c r="A13" s="32" t="str">
        <x:v>Attribution cleanup</x:v>
      </x:c>
      <x:c r="B13" s="32" t="str">
        <x:v>Leonardo</x:v>
      </x:c>
      <x:c r="C13" s="32" t="str">
        <x:v>ASTER</x:v>
      </x:c>
      <x:c r="D13" s="32" t="str">
        <x:v>Moved out of PRODUCT MASTER</x:v>
      </x:c>
      <x:c r="E13" s="32" t="str">
        <x:v>Retained as industrial workshare, not counted as an independent OEM product.</x:v>
      </x:c>
    </x:row>
    <x:row r="14">
      <x:c r="A14" s="32" t="str">
        <x:v>Attribution cleanup</x:v>
      </x:c>
      <x:c r="B14" s="32" t="str">
        <x:v>Leonardo</x:v>
      </x:c>
      <x:c r="C14" s="32" t="str">
        <x:v>Brimstone</x:v>
      </x:c>
      <x:c r="D14" s="32" t="str">
        <x:v>Moved out of PRODUCT MASTER</x:v>
      </x:c>
      <x:c r="E14" s="32" t="str">
        <x:v>Retained as industrial workshare, not counted as an independent OEM product.</x:v>
      </x:c>
    </x:row>
    <x:row r="15">
      <x:c r="A15" s="32" t="str">
        <x:v>Attribution cleanup</x:v>
      </x:c>
      <x:c r="B15" s="32" t="str">
        <x:v>Leonardo</x:v>
      </x:c>
      <x:c r="C15" s="32" t="str">
        <x:v>CAMM / CAMM-ER</x:v>
      </x:c>
      <x:c r="D15" s="32" t="str">
        <x:v>Moved out of PRODUCT MASTER</x:v>
      </x:c>
      <x:c r="E15" s="32" t="str">
        <x:v>Retained as industrial workshare, not counted as an independent OEM product.</x:v>
      </x:c>
    </x:row>
    <x:row r="16">
      <x:c r="A16" s="32" t="str">
        <x:v>Attribution cleanup</x:v>
      </x:c>
      <x:c r="B16" s="32" t="str">
        <x:v>Leonardo</x:v>
      </x:c>
      <x:c r="C16" s="32" t="str">
        <x:v>MARTE ER</x:v>
      </x:c>
      <x:c r="D16" s="32" t="str">
        <x:v>Moved out of PRODUCT MASTER</x:v>
      </x:c>
      <x:c r="E16" s="32" t="str">
        <x:v>Retained as industrial workshare, not counted as an independent OEM product.</x:v>
      </x:c>
    </x:row>
    <x:row r="17">
      <x:c r="A17" s="32" t="str">
        <x:v>Attribution cleanup</x:v>
      </x:c>
      <x:c r="B17" s="32" t="str">
        <x:v>Leonardo</x:v>
      </x:c>
      <x:c r="C17" s="32" t="str">
        <x:v>Meteor</x:v>
      </x:c>
      <x:c r="D17" s="32" t="str">
        <x:v>Moved out of PRODUCT MASTER</x:v>
      </x:c>
      <x:c r="E17" s="32" t="str">
        <x:v>Retained as industrial workshare, not counted as an independent OEM product.</x:v>
      </x:c>
    </x:row>
    <x:row r="18">
      <x:c r="A18" s="32" t="str">
        <x:v>Attribution cleanup</x:v>
      </x:c>
      <x:c r="B18" s="32" t="str">
        <x:v>Leonardo</x:v>
      </x:c>
      <x:c r="C18" s="32" t="str">
        <x:v>SPEAR</x:v>
      </x:c>
      <x:c r="D18" s="32" t="str">
        <x:v>Moved out of PRODUCT MASTER</x:v>
      </x:c>
      <x:c r="E18" s="32" t="str">
        <x:v>Retained as industrial workshare, not counted as an independent OEM product.</x:v>
      </x:c>
    </x:row>
    <x:row r="19">
      <x:c r="A19" s="32" t="str">
        <x:v>Attribution cleanup</x:v>
      </x:c>
      <x:c r="B19" s="32" t="str">
        <x:v>Leonardo</x:v>
      </x:c>
      <x:c r="C19" s="32" t="str">
        <x:v>Storm Shadow / SCALP</x:v>
      </x:c>
      <x:c r="D19" s="32" t="str">
        <x:v>Moved out of PRODUCT MASTER</x:v>
      </x:c>
      <x:c r="E19" s="32" t="str">
        <x:v>Retained as industrial workshare, not counted as an independent OEM product.</x:v>
      </x:c>
    </x:row>
    <x:row r="20">
      <x:c r="A20" s="32" t="str">
        <x:v>Attribution cleanup</x:v>
      </x:c>
      <x:c r="B20" s="32" t="str">
        <x:v>Rheinmetall</x:v>
      </x:c>
      <x:c r="C20" s="32" t="str">
        <x:v>HERO 120</x:v>
      </x:c>
      <x:c r="D20" s="32" t="str">
        <x:v>Moved out of PRODUCT MASTER</x:v>
      </x:c>
      <x:c r="E20" s="32" t="str">
        <x:v>Retained as industrial workshare, not counted as an independent OEM product.</x:v>
      </x:c>
    </x:row>
    <x:row r="21">
      <x:c r="A21" s="32" t="str">
        <x:v>Attribution cleanup</x:v>
      </x:c>
      <x:c r="B21" s="32" t="str">
        <x:v>Rheinmetall</x:v>
      </x:c>
      <x:c r="C21" s="32" t="str">
        <x:v>HERO 1250</x:v>
      </x:c>
      <x:c r="D21" s="32" t="str">
        <x:v>Moved out of PRODUCT MASTER</x:v>
      </x:c>
      <x:c r="E21" s="32" t="str">
        <x:v>Retained as industrial workshare, not counted as an independent OEM product.</x:v>
      </x:c>
    </x:row>
    <x:row r="22">
      <x:c r="A22" s="32" t="str">
        <x:v>Attribution cleanup</x:v>
      </x:c>
      <x:c r="B22" s="32" t="str">
        <x:v>Rheinmetall</x:v>
      </x:c>
      <x:c r="C22" s="32" t="str">
        <x:v>HERO 30</x:v>
      </x:c>
      <x:c r="D22" s="32" t="str">
        <x:v>Moved out of PRODUCT MASTER</x:v>
      </x:c>
      <x:c r="E22" s="32" t="str">
        <x:v>Retained as industrial workshare, not counted as an independent OEM product.</x:v>
      </x:c>
    </x:row>
    <x:row r="23">
      <x:c r="A23" s="32" t="str">
        <x:v>Attribution cleanup</x:v>
      </x:c>
      <x:c r="B23" s="32" t="str">
        <x:v>Rheinmetall</x:v>
      </x:c>
      <x:c r="C23" s="32" t="str">
        <x:v>HERO 400</x:v>
      </x:c>
      <x:c r="D23" s="32" t="str">
        <x:v>Moved out of PRODUCT MASTER</x:v>
      </x:c>
      <x:c r="E23" s="32" t="str">
        <x:v>Retained as industrial workshare, not counted as an independent OEM product.</x:v>
      </x:c>
    </x:row>
    <x:row r="24">
      <x:c r="A24" s="32" t="str">
        <x:v>Attribution cleanup</x:v>
      </x:c>
      <x:c r="B24" s="32" t="str">
        <x:v>Rheinmetall</x:v>
      </x:c>
      <x:c r="C24" s="32" t="str">
        <x:v>HERO 900</x:v>
      </x:c>
      <x:c r="D24" s="32" t="str">
        <x:v>Moved out of PRODUCT MASTER</x:v>
      </x:c>
      <x:c r="E24" s="32" t="str">
        <x:v>Retained as industrial workshare, not counted as an independent OEM product.</x:v>
      </x:c>
    </x:row>
    <x:row r="25">
      <x:c r="A25" s="32" t="str">
        <x:v>Attribution cleanup</x:v>
      </x:c>
      <x:c r="B25" s="32" t="str">
        <x:v>Rheinmetall</x:v>
      </x:c>
      <x:c r="C25" s="32" t="str">
        <x:v>Barracuda 500M Cruise Missile</x:v>
      </x:c>
      <x:c r="D25" s="32" t="str">
        <x:v>Moved out of PRODUCT MASTER</x:v>
      </x:c>
      <x:c r="E25" s="32" t="str">
        <x:v>Retained as industrial workshare, not counted as an independent OEM product.</x:v>
      </x:c>
    </x:row>
    <x:row r="26">
      <x:c r="A26" s="32" t="str">
        <x:v>Scope cleanup</x:v>
      </x:c>
      <x:c r="B26" s="32" t="str">
        <x:v>Hanwha (Aerospace/Group)</x:v>
      </x:c>
      <x:c r="C26" s="32" t="str">
        <x:v>ARION-SMET / ARION-L</x:v>
      </x:c>
      <x:c r="D26" s="32" t="str">
        <x:v>Removed from PRODUCT MASTER</x:v>
      </x:c>
      <x:c r="E26" s="32" t="str">
        <x:v>Unmanned ground vehicle, not an aerial UAV/Drone.</x:v>
      </x:c>
    </x:row>
    <x:row r="27">
      <x:c r="A27" s="32" t="str">
        <x:v>Attribution cleanup</x:v>
      </x:c>
      <x:c r="B27" s="32" t="str">
        <x:v>Tata Advanced Systems</x:v>
      </x:c>
      <x:c r="C27" s="32" t="str">
        <x:v>Javelin Anti-Tank Guided Missile — India Co-production Portfolio</x:v>
      </x:c>
      <x:c r="D27" s="32" t="str">
        <x:v>Moved out of PRODUCT MASTER</x:v>
      </x:c>
      <x:c r="E27" s="32" t="str">
        <x:v>Retained as industrial workshare, not counted as an independent OEM product.</x:v>
      </x:c>
    </x:row>
    <x:row r="28">
      <x:c r="A28" s="32" t="str">
        <x:v>Scope cleanup</x:v>
      </x:c>
      <x:c r="B28" s="32" t="str">
        <x:v>Supacat</x:v>
      </x:c>
      <x:c r="C28" s="32" t="str">
        <x:v>ATMP / eATMP 6×6</x:v>
      </x:c>
      <x:c r="D28" s="32" t="str">
        <x:v>Removed from PRODUCT MASTER</x:v>
      </x:c>
      <x:c r="E28" s="32" t="str">
        <x:v>Ground mobility/UGV platform; outside the strict aerial UAV/Drone taxonomy.</x:v>
      </x:c>
    </x:row>
    <x:row r="29">
      <x:c r="A29" s="32" t="str">
        <x:v>Scope cleanup</x:v>
      </x:c>
      <x:c r="B29" s="32" t="str">
        <x:v>IDV (Iveco Defence)</x:v>
      </x:c>
      <x:c r="C29" s="32" t="str">
        <x:v>Viking UGV</x:v>
      </x:c>
      <x:c r="D29" s="32" t="str">
        <x:v>Removed from PRODUCT MASTER</x:v>
      </x:c>
      <x:c r="E29" s="32" t="str">
        <x:v>Unmanned ground vehicle, not an aerial UAV/Drone.</x:v>
      </x:c>
    </x:row>
    <x:row r="30">
      <x:c r="A30" s="32" t="str">
        <x:v>Taxonomy cleanup</x:v>
      </x:c>
      <x:c r="B30" s="32" t="str">
        <x:v>Huta Stalowa Wola (HSW)</x:v>
      </x:c>
      <x:c r="C30" s="32" t="str">
        <x:v>ZSSW-30 Remote Turret System</x:v>
      </x:c>
      <x:c r="D30" s="32" t="str">
        <x:v>Moved out of PRODUCT MASTER</x:v>
      </x:c>
      <x:c r="E30" s="32" t="str">
        <x:v>Weapon station/turret/cannon/APS subsystem.</x:v>
      </x:c>
    </x:row>
    <x:row r="31">
      <x:c r="A31" s="32" t="str">
        <x:v>Taxonomy cleanup</x:v>
      </x:c>
      <x:c r="B31" s="32" t="str">
        <x:v>Rafael Advanced Defense Systems</x:v>
      </x:c>
      <x:c r="C31" s="32" t="str">
        <x:v>SAMSON 30 Integrated RWS</x:v>
      </x:c>
      <x:c r="D31" s="32" t="str">
        <x:v>Moved out of PRODUCT MASTER</x:v>
      </x:c>
      <x:c r="E31" s="32" t="str">
        <x:v>Weapon station/turret/cannon/APS subsystem.</x:v>
      </x:c>
    </x:row>
    <x:row r="32">
      <x:c r="A32" s="32" t="str">
        <x:v>Taxonomy cleanup</x:v>
      </x:c>
      <x:c r="B32" s="32" t="str">
        <x:v>Rafael Advanced Defense Systems</x:v>
      </x:c>
      <x:c r="C32" s="32" t="str">
        <x:v>TROPHY / Windbreaker</x:v>
      </x:c>
      <x:c r="D32" s="32" t="str">
        <x:v>Moved out of PRODUCT MASTER</x:v>
      </x:c>
      <x:c r="E32" s="32" t="str">
        <x:v>Weapon station/turret/cannon/APS subsystem.</x:v>
      </x:c>
    </x:row>
    <x:row r="33">
      <x:c r="A33" s="32" t="str">
        <x:v>Taxonomy cleanup</x:v>
      </x:c>
      <x:c r="B33" s="32" t="str">
        <x:v>KONGSBERG</x:v>
      </x:c>
      <x:c r="C33" s="32" t="str">
        <x:v>PROTECTOR CUAS</x:v>
      </x:c>
      <x:c r="D33" s="32" t="str">
        <x:v>Moved out of PRODUCT MASTER</x:v>
      </x:c>
      <x:c r="E33" s="32" t="str">
        <x:v>Weapon station/turret/cannon/APS subsystem.</x:v>
      </x:c>
    </x:row>
    <x:row r="34">
      <x:c r="A34" s="32" t="str">
        <x:v>Taxonomy cleanup</x:v>
      </x:c>
      <x:c r="B34" s="32" t="str">
        <x:v>KONGSBERG</x:v>
      </x:c>
      <x:c r="C34" s="32" t="str">
        <x:v>PROTECTOR MCT Medium Caliber Turret</x:v>
      </x:c>
      <x:c r="D34" s="32" t="str">
        <x:v>Moved out of PRODUCT MASTER</x:v>
      </x:c>
      <x:c r="E34" s="32" t="str">
        <x:v>Weapon station/turret/cannon/APS subsystem.</x:v>
      </x:c>
    </x:row>
    <x:row r="35">
      <x:c r="A35" s="32" t="str">
        <x:v>Taxonomy cleanup</x:v>
      </x:c>
      <x:c r="B35" s="32" t="str">
        <x:v>KONGSBERG</x:v>
      </x:c>
      <x:c r="C35" s="32" t="str">
        <x:v>PROTECTOR RS2</x:v>
      </x:c>
      <x:c r="D35" s="32" t="str">
        <x:v>Moved out of PRODUCT MASTER</x:v>
      </x:c>
      <x:c r="E35" s="32" t="str">
        <x:v>Weapon station/turret/cannon/APS subsystem.</x:v>
      </x:c>
    </x:row>
    <x:row r="36">
      <x:c r="A36" s="32" t="str">
        <x:v>Taxonomy cleanup</x:v>
      </x:c>
      <x:c r="B36" s="32" t="str">
        <x:v>KONGSBERG</x:v>
      </x:c>
      <x:c r="C36" s="32" t="str">
        <x:v>PROTECTOR RS4 Remote Weapon System</x:v>
      </x:c>
      <x:c r="D36" s="32" t="str">
        <x:v>Moved out of PRODUCT MASTER</x:v>
      </x:c>
      <x:c r="E36" s="32" t="str">
        <x:v>Weapon station/turret/cannon/APS subsystem.</x:v>
      </x:c>
    </x:row>
    <x:row r="37">
      <x:c r="A37" s="32" t="str">
        <x:v>Taxonomy cleanup</x:v>
      </x:c>
      <x:c r="B37" s="32" t="str">
        <x:v>KONGSBERG</x:v>
      </x:c>
      <x:c r="C37" s="32" t="str">
        <x:v>PROTECTOR RS6 Remote Weapon System</x:v>
      </x:c>
      <x:c r="D37" s="32" t="str">
        <x:v>Moved out of PRODUCT MASTER</x:v>
      </x:c>
      <x:c r="E37" s="32" t="str">
        <x:v>Weapon station/turret/cannon/APS subsystem.</x:v>
      </x:c>
    </x:row>
    <x:row r="38">
      <x:c r="A38" s="32" t="str">
        <x:v>Taxonomy cleanup</x:v>
      </x:c>
      <x:c r="B38" s="32" t="str">
        <x:v>KONGSBERG</x:v>
      </x:c>
      <x:c r="C38" s="32" t="str">
        <x:v>PROTECTOR RT60</x:v>
      </x:c>
      <x:c r="D38" s="32" t="str">
        <x:v>Moved out of PRODUCT MASTER</x:v>
      </x:c>
      <x:c r="E38" s="32" t="str">
        <x:v>Weapon station/turret/cannon/APS subsystem.</x:v>
      </x:c>
    </x:row>
    <x:row r="39">
      <x:c r="A39" s="32" t="str">
        <x:v>Taxonomy cleanup</x:v>
      </x:c>
      <x:c r="B39" s="32" t="str">
        <x:v>Northrop Grumman</x:v>
      </x:c>
      <x:c r="C39" s="32" t="str">
        <x:v>M230LF 30×113 mm Bushmaster Chain Gun</x:v>
      </x:c>
      <x:c r="D39" s="32" t="str">
        <x:v>Moved out of PRODUCT MASTER</x:v>
      </x:c>
      <x:c r="E39" s="32" t="str">
        <x:v>Weapon station/turret/cannon/APS subsystem.</x:v>
      </x:c>
    </x:row>
    <x:row r="40">
      <x:c r="A40" s="32" t="str">
        <x:v>Taxonomy cleanup</x:v>
      </x:c>
      <x:c r="B40" s="32" t="str">
        <x:v>Northrop Grumman</x:v>
      </x:c>
      <x:c r="C40" s="32" t="str">
        <x:v>Mk44 / Mk44S Bushmaster II Chain Gun</x:v>
      </x:c>
      <x:c r="D40" s="32" t="str">
        <x:v>Moved out of PRODUCT MASTER</x:v>
      </x:c>
      <x:c r="E40" s="32" t="str">
        <x:v>Weapon station/turret/cannon/APS subsystem.</x:v>
      </x:c>
    </x:row>
    <x:row r="41">
      <x:c r="A41" s="32" t="str">
        <x:v>Taxonomy cleanup</x:v>
      </x:c>
      <x:c r="B41" s="32" t="str">
        <x:v>Northrop Grumman</x:v>
      </x:c>
      <x:c r="C41" s="32" t="str">
        <x:v>XM813 30/40 mm Bushmaster Chain Gun</x:v>
      </x:c>
      <x:c r="D41" s="32" t="str">
        <x:v>Moved out of PRODUCT MASTER</x:v>
      </x:c>
      <x:c r="E41" s="32" t="str">
        <x:v>Weapon station/turret/cannon/APS subsystem.</x:v>
      </x:c>
    </x:row>
    <x:row r="42">
      <x:c r="A42" s="32" t="str">
        <x:v>Taxonomy cleanup</x:v>
      </x:c>
      <x:c r="B42" s="32" t="str">
        <x:v>Northrop Grumman</x:v>
      </x:c>
      <x:c r="C42" s="32" t="str">
        <x:v>XM913 50 mm Bushmaster Chain Gun</x:v>
      </x:c>
      <x:c r="D42" s="32" t="str">
        <x:v>Moved out of PRODUCT MASTER</x:v>
      </x:c>
      <x:c r="E42" s="32" t="str">
        <x:v>Weapon station/turret/cannon/APS subsystem.</x:v>
      </x:c>
    </x:row>
    <x:row r="43">
      <x:c r="A43" s="32" t="str">
        <x:v>Taxonomy cleanup</x:v>
      </x:c>
      <x:c r="B43" s="32" t="str">
        <x:v>Northrop Grumman</x:v>
      </x:c>
      <x:c r="C43" s="32" t="str">
        <x:v>XM914 30×113 mm Chain Gun</x:v>
      </x:c>
      <x:c r="D43" s="32" t="str">
        <x:v>Moved out of PRODUCT MASTER</x:v>
      </x:c>
      <x:c r="E43" s="32" t="str">
        <x:v>Weapon station/turret/cannon/APS subsystem.</x:v>
      </x:c>
    </x:row>
    <x:row r="44">
      <x:c r="A44" s="32" t="str">
        <x:v>Taxonomy cleanup</x:v>
      </x:c>
      <x:c r="B44" s="32" t="str">
        <x:v>SAAB</x:v>
      </x:c>
      <x:c r="C44" s="32" t="str">
        <x:v>Trackfire Remote Weapon Station</x:v>
      </x:c>
      <x:c r="D44" s="32" t="str">
        <x:v>Moved out of PRODUCT MASTER</x:v>
      </x:c>
      <x:c r="E44" s="32" t="str">
        <x:v>Weapon station/turret/cannon/APS subsystem.</x:v>
      </x:c>
    </x:row>
    <x:row r="45">
      <x:c r="A45" s="32" t="str">
        <x:v>Attribution cleanup</x:v>
      </x:c>
      <x:c r="B45" s="32" t="str">
        <x:v>Adani Defence</x:v>
      </x:c>
      <x:c r="C45" s="32" t="str">
        <x:v>ARAD Assault Rifle</x:v>
      </x:c>
      <x:c r="D45" s="32" t="str">
        <x:v>Moved out of PRODUCT MASTER</x:v>
      </x:c>
      <x:c r="E45" s="32" t="str">
        <x:v>Retained as industrial workshare, not counted as an independent OEM product.</x:v>
      </x:c>
    </x:row>
    <x:row r="46">
      <x:c r="A46" s="32" t="str">
        <x:v>Attribution cleanup</x:v>
      </x:c>
      <x:c r="B46" s="32" t="str">
        <x:v>Adani Defence</x:v>
      </x:c>
      <x:c r="C46" s="32" t="str">
        <x:v>GALIL ACE 31</x:v>
      </x:c>
      <x:c r="D46" s="32" t="str">
        <x:v>Moved out of PRODUCT MASTER</x:v>
      </x:c>
      <x:c r="E46" s="32" t="str">
        <x:v>Retained as industrial workshare, not counted as an independent OEM product.</x:v>
      </x:c>
    </x:row>
    <x:row r="47">
      <x:c r="A47" s="32" t="str">
        <x:v>Attribution cleanup</x:v>
      </x:c>
      <x:c r="B47" s="32" t="str">
        <x:v>Adani Defence</x:v>
      </x:c>
      <x:c r="C47" s="32" t="str">
        <x:v>GALIL ACE 32</x:v>
      </x:c>
      <x:c r="D47" s="32" t="str">
        <x:v>Moved out of PRODUCT MASTER</x:v>
      </x:c>
      <x:c r="E47" s="32" t="str">
        <x:v>Retained as industrial workshare, not counted as an independent OEM product.</x:v>
      </x:c>
    </x:row>
    <x:row r="48">
      <x:c r="A48" s="32" t="str">
        <x:v>Attribution cleanup</x:v>
      </x:c>
      <x:c r="B48" s="32" t="str">
        <x:v>Adani Defence</x:v>
      </x:c>
      <x:c r="C48" s="32" t="str">
        <x:v>GALIL Sniper S.A.</x:v>
      </x:c>
      <x:c r="D48" s="32" t="str">
        <x:v>Moved out of PRODUCT MASTER</x:v>
      </x:c>
      <x:c r="E48" s="32" t="str">
        <x:v>Retained as industrial workshare, not counted as an independent OEM product.</x:v>
      </x:c>
    </x:row>
    <x:row r="49">
      <x:c r="A49" s="32" t="str">
        <x:v>Attribution cleanup</x:v>
      </x:c>
      <x:c r="B49" s="32" t="str">
        <x:v>Adani Defence</x:v>
      </x:c>
      <x:c r="C49" s="32" t="str">
        <x:v>MASADA Pistol</x:v>
      </x:c>
      <x:c r="D49" s="32" t="str">
        <x:v>Moved out of PRODUCT MASTER</x:v>
      </x:c>
      <x:c r="E49" s="32" t="str">
        <x:v>Retained as industrial workshare, not counted as an independent OEM product.</x:v>
      </x:c>
    </x:row>
    <x:row r="50">
      <x:c r="A50" s="32" t="str">
        <x:v>Attribution cleanup</x:v>
      </x:c>
      <x:c r="B50" s="32" t="str">
        <x:v>Adani Defence</x:v>
      </x:c>
      <x:c r="C50" s="32" t="str">
        <x:v>NEGEV 5.56 LMG</x:v>
      </x:c>
      <x:c r="D50" s="32" t="str">
        <x:v>Moved out of PRODUCT MASTER</x:v>
      </x:c>
      <x:c r="E50" s="32" t="str">
        <x:v>Retained as industrial workshare, not counted as an independent OEM product.</x:v>
      </x:c>
    </x:row>
    <x:row r="51">
      <x:c r="A51" s="32" t="str">
        <x:v>Attribution cleanup</x:v>
      </x:c>
      <x:c r="B51" s="32" t="str">
        <x:v>Adani Defence</x:v>
      </x:c>
      <x:c r="C51" s="32" t="str">
        <x:v>PRAHAR / NEGEV NG-7 LMG</x:v>
      </x:c>
      <x:c r="D51" s="32" t="str">
        <x:v>Moved out of PRODUCT MASTER</x:v>
      </x:c>
      <x:c r="E51" s="32" t="str">
        <x:v>Retained as industrial workshare, not counted as an independent OEM product.</x:v>
      </x:c>
    </x:row>
    <x:row r="52">
      <x:c r="A52" s="32" t="str">
        <x:v>Attribution cleanup</x:v>
      </x:c>
      <x:c r="B52" s="32" t="str">
        <x:v>Adani Defence</x:v>
      </x:c>
      <x:c r="C52" s="32" t="str">
        <x:v>TAVOR 7</x:v>
      </x:c>
      <x:c r="D52" s="32" t="str">
        <x:v>Moved out of PRODUCT MASTER</x:v>
      </x:c>
      <x:c r="E52" s="32" t="str">
        <x:v>Retained as industrial workshare, not counted as an independent OEM product.</x:v>
      </x:c>
    </x:row>
    <x:row r="53">
      <x:c r="A53" s="32" t="str">
        <x:v>Attribution cleanup</x:v>
      </x:c>
      <x:c r="B53" s="32" t="str">
        <x:v>Adani Defence</x:v>
      </x:c>
      <x:c r="C53" s="32" t="str">
        <x:v>TAVOR TAR-21 / TAR Flattop</x:v>
      </x:c>
      <x:c r="D53" s="32" t="str">
        <x:v>Moved out of PRODUCT MASTER</x:v>
      </x:c>
      <x:c r="E53" s="32" t="str">
        <x:v>Retained as industrial workshare, not counted as an independent OEM product.</x:v>
      </x:c>
    </x:row>
    <x:row r="54">
      <x:c r="A54" s="32" t="str">
        <x:v>Attribution cleanup</x:v>
      </x:c>
      <x:c r="B54" s="32" t="str">
        <x:v>Adani Defence</x:v>
      </x:c>
      <x:c r="C54" s="32" t="str">
        <x:v>UZI PRO SMG</x:v>
      </x:c>
      <x:c r="D54" s="32" t="str">
        <x:v>Moved out of PRODUCT MASTER</x:v>
      </x:c>
      <x:c r="E54" s="32" t="str">
        <x:v>Retained as industrial workshare, not counted as an independent OEM product.</x:v>
      </x:c>
    </x:row>
    <x:row r="55">
      <x:c r="A55" s="32" t="str">
        <x:v>Attribution cleanup</x:v>
      </x:c>
      <x:c r="B55" s="32" t="str">
        <x:v>Adani Defence</x:v>
      </x:c>
      <x:c r="C55" s="32" t="str">
        <x:v>X95 Flattop 419</x:v>
      </x:c>
      <x:c r="D55" s="32" t="str">
        <x:v>Moved out of PRODUCT MASTER</x:v>
      </x:c>
      <x:c r="E55" s="32" t="str">
        <x:v>Retained as industrial workshare, not counted as an independent OEM product.</x:v>
      </x:c>
    </x:row>
    <x:row r="56">
      <x:c r="A56" s="32" t="str">
        <x:v>Taxonomy cleanup</x:v>
      </x:c>
      <x:c r="B56" s="32" t="str">
        <x:v>Poongsan</x:v>
      </x:c>
      <x:c r="C56" s="32" t="str">
        <x:v>127 mm/54 cal K300/K301</x:v>
      </x:c>
      <x:c r="D56" s="32" t="str">
        <x:v>Marine/Naval → Ammunition</x:v>
      </x:c>
      <x:c r="E56" s="32" t="str">
        <x:v>Unguided/ballistic munition or ammunition rather than guided missile / naval platform.</x:v>
      </x:c>
    </x:row>
    <x:row r="57">
      <x:c r="A57" s="32" t="str">
        <x:v>Taxonomy cleanup</x:v>
      </x:c>
      <x:c r="B57" s="32" t="str">
        <x:v>Poongsan</x:v>
      </x:c>
      <x:c r="C57" s="32" t="str">
        <x:v>30 mm Goalkeeper MPDS K164 / FMPDS K165</x:v>
      </x:c>
      <x:c r="D57" s="32" t="str">
        <x:v>Marine/Naval → Ammunition</x:v>
      </x:c>
      <x:c r="E57" s="32" t="str">
        <x:v>Unguided/ballistic munition or ammunition rather than guided missile / naval platform.</x:v>
      </x:c>
    </x:row>
    <x:row r="58">
      <x:c r="A58" s="32" t="str">
        <x:v>Taxonomy cleanup</x:v>
      </x:c>
      <x:c r="B58" s="32" t="str">
        <x:v>Poongsan</x:v>
      </x:c>
      <x:c r="C58" s="32" t="str">
        <x:v>40 mm L/70 K216/K217/K218/K219</x:v>
      </x:c>
      <x:c r="D58" s="32" t="str">
        <x:v>Marine/Naval → Ammunition</x:v>
      </x:c>
      <x:c r="E58" s="32" t="str">
        <x:v>Unguided/ballistic munition or ammunition rather than guided missile / naval platform.</x:v>
      </x:c>
    </x:row>
    <x:row r="59">
      <x:c r="A59" s="32" t="str">
        <x:v>Taxonomy cleanup</x:v>
      </x:c>
      <x:c r="B59" s="32" t="str">
        <x:v>Poongsan</x:v>
      </x:c>
      <x:c r="C59" s="32" t="str">
        <x:v>76 mm L/62 PFF-HE K246</x:v>
      </x:c>
      <x:c r="D59" s="32" t="str">
        <x:v>Marine/Naval → Ammunition</x:v>
      </x:c>
      <x:c r="E59" s="32" t="str">
        <x:v>Unguided/ballistic munition or ammunition rather than guided missile / naval platform.</x:v>
      </x:c>
    </x:row>
    <x:row r="60">
      <x:c r="A60" s="32" t="str">
        <x:v>Taxonomy cleanup</x:v>
      </x:c>
      <x:c r="B60" s="32" t="str">
        <x:v>Poongsan</x:v>
      </x:c>
      <x:c r="C60" s="32" t="str">
        <x:v>76 mm/62 cal K243/K244/K245</x:v>
      </x:c>
      <x:c r="D60" s="32" t="str">
        <x:v>Marine/Naval → Ammunition</x:v>
      </x:c>
      <x:c r="E60" s="32" t="str">
        <x:v>Unguided/ballistic munition or ammunition rather than guided missile / naval platform.</x:v>
      </x:c>
    </x:row>
    <x:row r="61">
      <x:c r="A61" s="32" t="str">
        <x:v>Taxonomy cleanup</x:v>
      </x:c>
      <x:c r="B61" s="32" t="str">
        <x:v>Poongsan</x:v>
      </x:c>
      <x:c r="C61" s="32" t="str">
        <x:v>Depth Charge</x:v>
      </x:c>
      <x:c r="D61" s="32" t="str">
        <x:v>Marine/Naval → Ammunition</x:v>
      </x:c>
      <x:c r="E61" s="32" t="str">
        <x:v>Unguided/ballistic munition or ammunition rather than guided missile / naval platform.</x:v>
      </x:c>
    </x:row>
    <x:row r="62">
      <x:c r="A62" s="32" t="str">
        <x:v>Taxonomy cleanup</x:v>
      </x:c>
      <x:c r="B62" s="32" t="str">
        <x:v>Nammo</x:v>
      </x:c>
      <x:c r="C62" s="32" t="str">
        <x:v>Anti-Personnel Obstacle Breaching System APOBS</x:v>
      </x:c>
      <x:c r="D62" s="32" t="str">
        <x:v>Missiles → Ammunition</x:v>
      </x:c>
      <x:c r="E62" s="32" t="str">
        <x:v>Unguided/ballistic munition or ammunition rather than guided missile / naval platform.</x:v>
      </x:c>
    </x:row>
    <x:row r="63">
      <x:c r="A63" s="32" t="str">
        <x:v>Taxonomy cleanup</x:v>
      </x:c>
      <x:c r="B63" s="32" t="str">
        <x:v>Nammo</x:v>
      </x:c>
      <x:c r="C63" s="32" t="str">
        <x:v>M141 Bunker Defeat Munition (BDM)</x:v>
      </x:c>
      <x:c r="D63" s="32" t="str">
        <x:v>Missiles → Ammunition</x:v>
      </x:c>
      <x:c r="E63" s="32" t="str">
        <x:v>Unguided/ballistic munition or ammunition rather than guided missile / naval platform.</x:v>
      </x:c>
    </x:row>
    <x:row r="64">
      <x:c r="A64" s="32" t="str">
        <x:v>Taxonomy cleanup</x:v>
      </x:c>
      <x:c r="B64" s="32" t="str">
        <x:v>Nammo</x:v>
      </x:c>
      <x:c r="C64" s="32" t="str">
        <x:v>M72 Anti-Structure A12</x:v>
      </x:c>
      <x:c r="D64" s="32" t="str">
        <x:v>Missiles → Ammunition</x:v>
      </x:c>
      <x:c r="E64" s="32" t="str">
        <x:v>Unguided/ballistic munition or ammunition rather than guided missile / naval platform.</x:v>
      </x:c>
    </x:row>
    <x:row r="65">
      <x:c r="A65" s="32" t="str">
        <x:v>Taxonomy cleanup</x:v>
      </x:c>
      <x:c r="B65" s="32" t="str">
        <x:v>Nammo</x:v>
      </x:c>
      <x:c r="C65" s="32" t="str">
        <x:v>M72 Anti-Structure Munition Reduced Caliber ASM RC</x:v>
      </x:c>
      <x:c r="D65" s="32" t="str">
        <x:v>Missiles → Ammunition</x:v>
      </x:c>
      <x:c r="E65" s="32" t="str">
        <x:v>Unguided/ballistic munition or ammunition rather than guided missile / naval platform.</x:v>
      </x:c>
    </x:row>
    <x:row r="66">
      <x:c r="A66" s="32" t="str">
        <x:v>Taxonomy cleanup</x:v>
      </x:c>
      <x:c r="B66" s="32" t="str">
        <x:v>Nammo</x:v>
      </x:c>
      <x:c r="C66" s="32" t="str">
        <x:v>M72 Enhanced Capacity EC</x:v>
      </x:c>
      <x:c r="D66" s="32" t="str">
        <x:v>Missiles → Ammunition</x:v>
      </x:c>
      <x:c r="E66" s="32" t="str">
        <x:v>Unguided/ballistic munition or ammunition rather than guided missile / naval platform.</x:v>
      </x:c>
    </x:row>
    <x:row r="67">
      <x:c r="A67" s="32" t="str">
        <x:v>Taxonomy cleanup</x:v>
      </x:c>
      <x:c r="B67" s="32" t="str">
        <x:v>Nammo</x:v>
      </x:c>
      <x:c r="C67" s="32" t="str">
        <x:v>M72 FFE Anti-Armor A8 / Anti-Structure A10</x:v>
      </x:c>
      <x:c r="D67" s="32" t="str">
        <x:v>Missiles → Ammunition</x:v>
      </x:c>
      <x:c r="E67" s="32" t="str">
        <x:v>Unguided/ballistic munition or ammunition rather than guided missile / naval platform.</x:v>
      </x:c>
    </x:row>
    <x:row r="68">
      <x:c r="A68" s="32" t="str">
        <x:v>Taxonomy cleanup</x:v>
      </x:c>
      <x:c r="B68" s="32" t="str">
        <x:v>Nammo</x:v>
      </x:c>
      <x:c r="C68" s="32" t="str">
        <x:v>M72 Training System</x:v>
      </x:c>
      <x:c r="D68" s="32" t="str">
        <x:v>Missiles → Ammunition</x:v>
      </x:c>
      <x:c r="E68" s="32" t="str">
        <x:v>Unguided/ballistic munition or ammunition rather than guided missile / naval platform.</x:v>
      </x:c>
    </x:row>
    <x:row r="69">
      <x:c r="A69" s="32" t="str">
        <x:v>Taxonomy cleanup</x:v>
      </x:c>
      <x:c r="B69" s="32" t="str">
        <x:v>SAAB</x:v>
      </x:c>
      <x:c r="C69" s="32" t="str">
        <x:v>AT4CS AST</x:v>
      </x:c>
      <x:c r="D69" s="32" t="str">
        <x:v>Missiles → Ammunition</x:v>
      </x:c>
      <x:c r="E69" s="32" t="str">
        <x:v>Unguided/ballistic munition or ammunition rather than guided missile / naval platform.</x:v>
      </x:c>
    </x:row>
    <x:row r="70">
      <x:c r="A70" s="32" t="str">
        <x:v>Taxonomy cleanup</x:v>
      </x:c>
      <x:c r="B70" s="32" t="str">
        <x:v>SAAB</x:v>
      </x:c>
      <x:c r="C70" s="32" t="str">
        <x:v>AT4CS ER</x:v>
      </x:c>
      <x:c r="D70" s="32" t="str">
        <x:v>Missiles → Ammunition</x:v>
      </x:c>
      <x:c r="E70" s="32" t="str">
        <x:v>Unguided/ballistic munition or ammunition rather than guided missile / naval platform.</x:v>
      </x:c>
    </x:row>
    <x:row r="71">
      <x:c r="A71" s="32" t="str">
        <x:v>Taxonomy cleanup</x:v>
      </x:c>
      <x:c r="B71" s="32" t="str">
        <x:v>SAAB</x:v>
      </x:c>
      <x:c r="C71" s="32" t="str">
        <x:v>AT4CS HE</x:v>
      </x:c>
      <x:c r="D71" s="32" t="str">
        <x:v>Missiles → Ammunition</x:v>
      </x:c>
      <x:c r="E71" s="32" t="str">
        <x:v>Unguided/ballistic munition or ammunition rather than guided missile / naval platform.</x:v>
      </x:c>
    </x:row>
    <x:row r="72">
      <x:c r="A72" s="32" t="str">
        <x:v>Technical correction</x:v>
      </x:c>
      <x:c r="B72" s="32" t="str">
        <x:v>AWEIL</x:v>
      </x:c>
      <x:c r="C72" s="32" t="str">
        <x:v>Ishapore Assault Rifle</x:v>
      </x:c>
      <x:c r="D72" s="32" t="str">
        <x:v>Split into two products</x:v>
      </x:c>
      <x:c r="E72" s="32" t="str">
        <x:v>Former row mixed 5.56×45 and 7.62×51 specifications.</x:v>
      </x:c>
    </x:row>
    <x:row r="73">
      <x:c r="A73" s="32" t="str">
        <x:v>Technical correction</x:v>
      </x:c>
      <x:c r="B73" s="32" t="str">
        <x:v>AWEIL</x:v>
      </x:c>
      <x:c r="C73" s="32" t="str">
        <x:v>Dhanush 155 mm × 45 Cal Artillery Gun System</x:v>
      </x:c>
      <x:c r="D73" s="32" t="str">
        <x:v>Weight clarified</x:v>
      </x:c>
      <x:c r="E73" s="32" t="str">
        <x:v>Metric operational weight separated from earlier sub-13-tonne requirement.</x:v>
      </x:c>
    </x:row>
    <x:row r="74">
      <x:c r="A74" s="32" t="str">
        <x:v>Technical correction</x:v>
      </x:c>
      <x:c r="B74" s="32" t="str">
        <x:v>AWEIL</x:v>
      </x:c>
      <x:c r="C74" s="32" t="str">
        <x:v>Sharang 155 mm × 45 Cal Up-Gunned Artillery System</x:v>
      </x:c>
      <x:c r="D74" s="32" t="str">
        <x:v>Range/weight/velocity updated</x:v>
      </x:c>
      <x:c r="E74" s="32" t="str">
        <x:v>39 km acceptance-trial range replaces the earlier &gt;36 km shorthand.</x:v>
      </x:c>
    </x:row>
    <x:row r="75">
      <x:c r="A75" s="32" t="str">
        <x:v>Technical enrichment</x:v>
      </x:c>
      <x:c r="B75" s="32" t="str">
        <x:v>Nexter (KNDS France)</x:v>
      </x:c>
      <x:c r="C75" s="32" t="str">
        <x:v>CAESAR Mk2</x:v>
      </x:c>
      <x:c r="D75" s="32" t="str">
        <x:v>Automotive/protection specs added</x:v>
      </x:c>
      <x:c r="E75" s="32" t="str">
        <x:v>Added Mk2 baseline powerpack and protected-cabin details from audit.</x:v>
      </x:c>
    </x:row>
    <x:row r="76">
      <x:c r="A76" s="32" t="str">
        <x:v>Technical enrichment</x:v>
      </x:c>
      <x:c r="B76" s="32" t="str">
        <x:v>Hanwha (Aerospace/Group)</x:v>
      </x:c>
      <x:c r="C76" s="32" t="str">
        <x:v>K9A2</x:v>
      </x:c>
      <x:c r="D76" s="32" t="str">
        <x:v>Autoloader mechanism clarified</x:v>
      </x:c>
      <x:c r="E76" s="32" t="str">
        <x:v>Mechanical basis for crew/rate improvement added.</x:v>
      </x:c>
    </x:row>
    <x:row r="77">
      <x:c r="A77" s="32" t="str">
        <x:v>Technical correction</x:v>
      </x:c>
      <x:c r="B77" s="32" t="str">
        <x:v>General Dynamics</x:v>
      </x:c>
      <x:c r="C77" s="32" t="str">
        <x:v>M1A2 Abrams SEPv3</x:v>
      </x:c>
      <x:c r="D77" s="32" t="str">
        <x:v>Weight units corrected</x:v>
      </x:c>
      <x:c r="E77" s="32" t="str">
        <x:v>Distinguishes metric tonnes from U.S. short tons and configuration-dependent gross weight.</x:v>
      </x:c>
    </x:row>
    <x:row r="78">
      <x:c r="A78" s="32" t="str">
        <x:v>Technical enrichment</x:v>
      </x:c>
      <x:c r="B78" s="32" t="str">
        <x:v>SIG Sauer</x:v>
      </x:c>
      <x:c r="C78" s="32" t="str">
        <x:v>M250 / SIG LMG (6.8 mm)</x:v>
      </x:c>
      <x:c r="D78" s="32" t="str">
        <x:v>6.8×51 ammunition pressure/construction added</x:v>
      </x:c>
      <x:c r="E78" s="32" t="str">
        <x:v>Clarifies the NGSW cartridge architecture.</x:v>
      </x:c>
    </x:row>
    <x:row r="79">
      <x:c r="A79" s="32" t="str">
        <x:v>Technical correction</x:v>
      </x:c>
      <x:c r="B79" s="32" t="str">
        <x:v>BrahMos Aerospace</x:v>
      </x:c>
      <x:c r="C79" s="32" t="str">
        <x:v>BRAHMOS family</x:v>
      </x:c>
      <x:c r="D79" s="32" t="str">
        <x:v>Range qualification updated</x:v>
      </x:c>
      <x:c r="E79" s="32" t="str">
        <x:v>Avoids treating the legacy/export 290 km baseline as the only domestic in-service performance figure.</x:v>
      </x:c>
    </x:row>
    <x:row r="80">
      <x:c r="A80" s="32" t="str">
        <x:v>Verified addition</x:v>
      </x:c>
      <x:c r="B80" s="32" t="str">
        <x:v>Rheinmetall</x:v>
      </x:c>
      <x:c r="C80" s="32" t="str">
        <x:v>Skyranger 30 Mobile Air Defence System</x:v>
      </x:c>
      <x:c r="D80" s="32" t="str">
        <x:v>Added to PRODUCT MASTER</x:v>
      </x:c>
      <x:c r="E80" s="32" t="str">
        <x:v>Verified against current official/OEM source.</x:v>
      </x:c>
    </x:row>
    <x:row r="81">
      <x:c r="A81" s="32" t="str">
        <x:v>Verified addition</x:v>
      </x:c>
      <x:c r="B81" s="32" t="str">
        <x:v>Rheinmetall</x:v>
      </x:c>
      <x:c r="C81" s="32" t="str">
        <x:v>Skyranger 35 Mobile Air Defence System</x:v>
      </x:c>
      <x:c r="D81" s="32" t="str">
        <x:v>Added to PRODUCT MASTER</x:v>
      </x:c>
      <x:c r="E81" s="32" t="str">
        <x:v>Verified against current official/OEM source.</x:v>
      </x:c>
    </x:row>
    <x:row r="82">
      <x:c r="A82" s="32" t="str">
        <x:v>Verified addition</x:v>
      </x:c>
      <x:c r="B82" s="32" t="str">
        <x:v>KNDS Germany</x:v>
      </x:c>
      <x:c r="C82" s="32" t="str">
        <x:v>LEOPARD 2 A-RC 3.0</x:v>
      </x:c>
      <x:c r="D82" s="32" t="str">
        <x:v>Added to PRODUCT MASTER</x:v>
      </x:c>
      <x:c r="E82" s="32" t="str">
        <x:v>Verified against current official/OEM source.</x:v>
      </x:c>
    </x:row>
    <x:row r="83">
      <x:c r="A83" s="32" t="str">
        <x:v>Verified addition</x:v>
      </x:c>
      <x:c r="B83" s="32" t="str">
        <x:v>KNDS Germany</x:v>
      </x:c>
      <x:c r="C83" s="32" t="str">
        <x:v>EMBT ADT 140 Demonstrator</x:v>
      </x:c>
      <x:c r="D83" s="32" t="str">
        <x:v>Added to PRODUCT MASTER</x:v>
      </x:c>
      <x:c r="E83" s="32" t="str">
        <x:v>Verified against current official/OEM source.</x:v>
      </x:c>
    </x:row>
    <x:row r="84">
      <x:c r="A84" s="32" t="str">
        <x:v>Verified addition</x:v>
      </x:c>
      <x:c r="B84" s="32" t="str">
        <x:v>Nexter (KNDS France)</x:v>
      </x:c>
      <x:c r="C84" s="32" t="str">
        <x:v>COLIBRI Loitering Munition</x:v>
      </x:c>
      <x:c r="D84" s="32" t="str">
        <x:v>Added to PRODUCT MASTER</x:v>
      </x:c>
      <x:c r="E84" s="32" t="str">
        <x:v>Verified against current official/OEM source.</x:v>
      </x:c>
    </x:row>
    <x:row r="85">
      <x:c r="A85" s="32" t="str">
        <x:v>Verified addition</x:v>
      </x:c>
      <x:c r="B85" s="32" t="str">
        <x:v>BAE Systems</x:v>
      </x:c>
      <x:c r="C85" s="32" t="str">
        <x:v>Type 45 Daring-class Air Defence Destroyer</x:v>
      </x:c>
      <x:c r="D85" s="32" t="str">
        <x:v>Added to PRODUCT MASTER</x:v>
      </x:c>
      <x:c r="E85" s="32" t="str">
        <x:v>Verified against current official/OEM source.</x:v>
      </x:c>
    </x:row>
    <x:row r="86">
      <x:c r="A86" s="32" t="str">
        <x:v>Verified addition</x:v>
      </x:c>
      <x:c r="B86" s="32" t="str">
        <x:v>Elbit Systems</x:v>
      </x:c>
      <x:c r="C86" s="32" t="str">
        <x:v>Hermes 450 Tactical UAS</x:v>
      </x:c>
      <x:c r="D86" s="32" t="str">
        <x:v>Added to PRODUCT MASTER</x:v>
      </x:c>
      <x:c r="E86" s="32" t="str">
        <x:v>Verified against current official/OEM source.</x:v>
      </x:c>
    </x:row>
    <x:row r="87">
      <x:c r="A87" s="32" t="str">
        <x:v>Verified addition</x:v>
      </x:c>
      <x:c r="B87" s="32" t="str">
        <x:v>Elbit Systems</x:v>
      </x:c>
      <x:c r="C87" s="32" t="str">
        <x:v>Iron Fist Active Protection System</x:v>
      </x:c>
      <x:c r="D87" s="32" t="str">
        <x:v>Added to subsystem appendix</x:v>
      </x:c>
      <x:c r="E87" s="32" t="str">
        <x:v>Not counted as a complete protected-vehicle product.</x:v>
      </x:c>
    </x:row>
  </x:sheetData>
  <x:pageMargins left="0.7" right="0.7" top="0.75" bottom="0.75" header="0.3" footer="0.3"/>
  <x:tableParts count="1">
    <x:tablePart xmlns:r="http://schemas.openxmlformats.org/officeDocument/2006/relationships" r:id="Rf9160194c5ab483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60" hidden="0" customWidth="1"/>
    <x:col min="5" max="5" width="104" hidden="0" customWidth="1"/>
    <x:col min="6" max="6" width="84" hidden="0" customWidth="1"/>
    <x:col min="7" max="7" width="100" hidden="0" customWidth="1"/>
    <x:col min="8" max="8" width="78" hidden="0" customWidth="1"/>
    <x:col min="9" max="9" width="82" hidden="0" customWidth="1"/>
  </x:cols>
  <x:sheetData>
    <x:row r="1">
      <x:c r="A1" s="24" t="str">
        <x:v>Record Type</x:v>
      </x:c>
      <x:c r="B1" s="24" t="str">
        <x:v>Company</x:v>
      </x:c>
      <x:c r="C1" s="24" t="str">
        <x:v>Original Category</x:v>
      </x:c>
      <x:c r="D1" s="24" t="str">
        <x:v>Product</x:v>
      </x:c>
      <x:c r="E1" s="24" t="str">
        <x:v>Technical Specifications</x:v>
      </x:c>
      <x:c r="F1" s="24" t="str">
        <x:v>Features &amp; Capabilities</x:v>
      </x:c>
      <x:c r="G1" s="24" t="str">
        <x:v>Sources</x:v>
      </x:c>
      <x:c r="H1" s="24" t="str">
        <x:v>Reason</x:v>
      </x:c>
      <x:c r="I1" s="24" t="str">
        <x:v>Relation / Handling</x:v>
      </x:c>
    </x:row>
    <x:row r="2" ht="170" customHeight="1">
      <x:c r="A2" s="32" t="str">
        <x:v>SUBSYSTEM</x:v>
      </x:c>
      <x:c r="B2" s="32" t="str">
        <x:v>BAE Systems</x:v>
      </x:c>
      <x:c r="C2" s="32" t="str">
        <x:v>Artillery</x:v>
      </x:c>
      <x:c r="D2" s="32" t="str">
        <x:v>LEMUR</x:v>
      </x:c>
      <x:c r="E2" s="32" t="str">
        <x:v>• Remote/stabilised weapon system
• exact mass/range depend on weapon/sensor configuration.</x:v>
      </x:c>
      <x:c r="F2" s="32" t="str">
        <x:v>• Fully mature and combat-proven
• stabilised weapon/sensor mount
• integration with different effectors.</x:v>
      </x:c>
      <x:c r="G2" s="32" t="str">
        <x:v>https://www.baesystems.com/en-us/what-we-do/land/artillery</x:v>
      </x:c>
      <x:c r="H2" s="32" t="str">
        <x:v>Subsystem rather than a complete protected vehicle/platform.</x:v>
      </x:c>
      <x:c r="I2" s="32" t="str">
        <x:v>Retained in SUBSYSTEMS &amp; WORKSHARES sheet.</x:v>
      </x:c>
    </x:row>
    <x:row r="3" ht="170" customHeight="1">
      <x:c r="A3" s="32" t="str">
        <x:v>SUBSYSTEM</x:v>
      </x:c>
      <x:c r="B3" s="32" t="str">
        <x:v>BAE Systems</x:v>
      </x:c>
      <x:c r="C3" s="32" t="str">
        <x:v>Marine/Naval</x:v>
      </x:c>
      <x:c r="D3" s="32" t="str">
        <x:v>Bofors LEMUR</x:v>
      </x:c>
      <x:c r="E3" s="32" t="str">
        <x:v>• Stabilised naval sensor/weapon system
• exact configuration dependent.</x:v>
      </x:c>
      <x:c r="F3" s="32" t="str">
        <x:v>• EO/IR and tracking
• remote weapon/sensor integration.</x:v>
      </x:c>
      <x:c r="G3" s="32" t="str">
        <x:v>https://www.baesystems.com/en-us/who-we-are/platforms-and-services/products-and-services</x:v>
      </x:c>
      <x:c r="H3" s="32" t="str">
        <x:v>Subsystem rather than a complete protected vehicle/platform.</x:v>
      </x:c>
      <x:c r="I3" s="32" t="str">
        <x:v>Retained in SUBSYSTEMS &amp; WORKSHARES sheet.</x:v>
      </x:c>
    </x:row>
    <x:row r="4" ht="170" customHeight="1">
      <x:c r="A4" s="32" t="str">
        <x:v>SUBSYSTEM</x:v>
      </x:c>
      <x:c r="B4" s="32" t="str">
        <x:v>Huta Stalowa Wola (HSW)</x:v>
      </x:c>
      <x:c r="C4" s="32" t="str">
        <x:v>Protected Vehicles</x:v>
      </x:c>
      <x:c r="D4" s="32" t="str">
        <x:v>ZSSW-30 Remote Turret System</x:v>
      </x:c>
      <x:c r="E4" s="32" t="str">
        <x:v>• Main armament: 30 mm Mk44S Bushmaster II
• Coaxial armament: 7.62 mm machine gun
• Anti-tank armament: SPIKE LR missiles</x:v>
      </x:c>
      <x:c r="F4" s="32" t="str">
        <x:v>• Unmanned remotely controlled turret
• Hunter-killer sights
• Integrated on Rosomak and Borsuk platforms</x:v>
      </x:c>
      <x:c r="G4" s="32" t="str">
        <x:v>https://www.hsw.pl/en/news/hsw-presents-new-research-materials-from-the-zssw-30-research-firing-of-the-spike-atgm/</x:v>
      </x:c>
      <x:c r="H4" s="32" t="str">
        <x:v>Subsystem rather than a complete protected vehicle/platform.</x:v>
      </x:c>
      <x:c r="I4" s="32" t="str">
        <x:v>Retained in SUBSYSTEMS &amp; WORKSHARES sheet.</x:v>
      </x:c>
    </x:row>
    <x:row r="5" ht="170" customHeight="1">
      <x:c r="A5" s="32" t="str">
        <x:v>SUBSYSTEM</x:v>
      </x:c>
      <x:c r="B5" s="32" t="str">
        <x:v>Rafael Advanced Defense Systems</x:v>
      </x:c>
      <x:c r="C5" s="32" t="str">
        <x:v>Protected Vehicles</x:v>
      </x:c>
      <x:c r="D5" s="32" t="str">
        <x:v>SAMSON 30 Integrated RWS</x:v>
      </x:c>
      <x:c r="E5" s="32" t="str">
        <x:v>• Main gun: 30 mm automatic cannon with airburst capability
• Coaxial: 7.62 mm MG
• Missiles: dual SPIKE LR2 launcher
• Integrated TROPHY APS</x:v>
      </x:c>
      <x:c r="F5" s="32" t="str">
        <x:v>• Remote weapon station + APS integration
• Advanced FCS and image processing
• Under-armour ammunition loading</x:v>
      </x:c>
      <x:c r="G5" s="32" t="str">
        <x:v>https://he.rafael.co.il/wp-content/uploads/2019/03/Samson-30-integrated-RWS.pdf</x:v>
      </x:c>
      <x:c r="H5" s="32" t="str">
        <x:v>Subsystem rather than a complete protected vehicle/platform.</x:v>
      </x:c>
      <x:c r="I5" s="32" t="str">
        <x:v>Retained in SUBSYSTEMS &amp; WORKSHARES sheet.</x:v>
      </x:c>
    </x:row>
    <x:row r="6" ht="170" customHeight="1">
      <x:c r="A6" s="32" t="str">
        <x:v>SUBSYSTEM</x:v>
      </x:c>
      <x:c r="B6" s="32" t="str">
        <x:v>Rafael Advanced Defense Systems</x:v>
      </x:c>
      <x:c r="C6" s="32" t="str">
        <x:v>Protected Vehicles</x:v>
      </x:c>
      <x:c r="D6" s="32" t="str">
        <x:v>TROPHY / Windbreaker</x:v>
      </x:c>
      <x:c r="E6" s="32" t="str">
        <x:v>• Active protection system for armored fighting vehicles
• 360° threat detection; autonomously neutralizes incoming anti-tank threats.
• Combat-proven hard-kill APS
• 500,000+ operational hours stated in 2024 brochure</x:v>
      </x:c>
      <x:c r="F6" s="32" t="str">
        <x:v>• Vehicle survivability, remote weapon operation, EO/ISR and threat interception.
• Detects/classifies/intercepts anti-tank threats
• Low false-alarm / low collateral-risk design
• Adaptable across combat vehicle classes</x:v>
      </x:c>
      <x:c r="G6" s="32" t="str">
        <x:v>https://www.rafael.co.il/wp-content/uploads/2025/02/Refael_ENGLISH100225MINA_All_compressed.pdf
https://www.rafael.co.il/wp-content/uploads/2024/03/toplite-eos-family-of-targeting-systems.pdf
https://www.rafael.co.il/wp-content/uploads/2024/10/TROPHY.pdf</x:v>
      </x:c>
      <x:c r="H6" s="32" t="str">
        <x:v>Subsystem rather than a complete protected vehicle/platform.</x:v>
      </x:c>
      <x:c r="I6" s="32" t="str">
        <x:v>Retained in SUBSYSTEMS &amp; WORKSHARES sheet.</x:v>
      </x:c>
    </x:row>
    <x:row r="7" ht="170" customHeight="1">
      <x:c r="A7" s="32" t="str">
        <x:v>SUBSYSTEM</x:v>
      </x:c>
      <x:c r="B7" s="32" t="str">
        <x:v>KONGSBERG</x:v>
      </x:c>
      <x:c r="C7" s="32" t="str">
        <x:v>Protected Vehicles</x:v>
      </x:c>
      <x:c r="D7" s="32" t="str">
        <x:v>PROTECTOR CUAS</x:v>
      </x:c>
      <x:c r="E7" s="32" t="str">
        <x:v>• Counter-UAS configuration of PROTECTOR family; collaborative fire control; integrates sensor/effector architecture.</x:v>
      </x:c>
      <x:c r="F7" s="32" t="str">
        <x:v>• Remote weapon station/turret; crew-under-armour operation; stabilization; sensors; modular effectors.</x:v>
      </x:c>
      <x:c r="G7" s="32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x:v>
      </x:c>
      <x:c r="H7" s="32" t="str">
        <x:v>Subsystem rather than a complete protected vehicle/platform.</x:v>
      </x:c>
      <x:c r="I7" s="32" t="str">
        <x:v>Retained in SUBSYSTEMS &amp; WORKSHARES sheet.</x:v>
      </x:c>
    </x:row>
    <x:row r="8" ht="170" customHeight="1">
      <x:c r="A8" s="32" t="str">
        <x:v>SUBSYSTEM</x:v>
      </x:c>
      <x:c r="B8" s="32" t="str">
        <x:v>KONGSBERG</x:v>
      </x:c>
      <x:c r="C8" s="32" t="str">
        <x:v>Protected Vehicles</x:v>
      </x:c>
      <x:c r="D8" s="32" t="str">
        <x:v>PROTECTOR MCT Medium Caliber Turret</x:v>
      </x:c>
      <x:c r="E8" s="32" t="str">
        <x:v>• Medium Calibre Turret
• 30 mm or 40 mm cannon; dual-feed
• 30×173 or 40×180 ammunition
• 7.62 mm coax
• 2×75 ready rounds; optional ATGM/FPV drones
• 3,000 m precision target defeat.
• Unmanned medium-calibre turret architecture
• Under-armour reloading
• Weapon/sensor configuration customer-specific</x:v>
      </x:c>
      <x:c r="F8" s="32" t="str">
        <x:v>• Remote weapon station/turret; crew-under-armour operation; stabilization; sensors; modular effectors.
• High-resolution day/night/thermal sensors
• Laser ranging
• Commander independent weapon-system option
• Counter-UAS capability and network integration</x:v>
      </x:c>
      <x:c r="G8" s="32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x:v>
      </x:c>
      <x:c r="H8" s="32" t="str">
        <x:v>Subsystem rather than a complete protected vehicle/platform.</x:v>
      </x:c>
      <x:c r="I8" s="32" t="str">
        <x:v>Retained in SUBSYSTEMS &amp; WORKSHARES sheet.</x:v>
      </x:c>
    </x:row>
    <x:row r="9" ht="170" customHeight="1">
      <x:c r="A9" s="32" t="str">
        <x:v>SUBSYSTEM</x:v>
      </x:c>
      <x:c r="B9" s="32" t="str">
        <x:v>KONGSBERG</x:v>
      </x:c>
      <x:c r="C9" s="32" t="str">
        <x:v>Protected Vehicles</x:v>
      </x:c>
      <x:c r="D9" s="32" t="str">
        <x:v>PROTECTOR RS2</x:v>
      </x:c>
      <x:c r="E9" s="32" t="str">
        <x:v>• Lightweight/low-height RWS; supports small/medium-calibre weapons; sensor suite includes day camera, thermal imager and LRF; optional ATGM/C-UAS integration.</x:v>
      </x:c>
      <x:c r="F9" s="32" t="str">
        <x:v>• Remote weapon station/turret; crew-under-armour operation; stabilization; sensors; modular effectors.</x:v>
      </x:c>
      <x:c r="G9" s="32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x:v>
      </x:c>
      <x:c r="H9" s="32" t="str">
        <x:v>Subsystem rather than a complete protected vehicle/platform.</x:v>
      </x:c>
      <x:c r="I9" s="32" t="str">
        <x:v>Retained in SUBSYSTEMS &amp; WORKSHARES sheet.</x:v>
      </x:c>
    </x:row>
    <x:row r="10" ht="170" customHeight="1">
      <x:c r="A10" s="32" t="str">
        <x:v>SUBSYSTEM</x:v>
      </x:c>
      <x:c r="B10" s="32" t="str">
        <x:v>KONGSBERG</x:v>
      </x:c>
      <x:c r="C10" s="32" t="str">
        <x:v>Protected Vehicles</x:v>
      </x:c>
      <x:c r="D10" s="32" t="str">
        <x:v>PROTECTOR RS4 Remote Weapon System</x:v>
      </x:c>
      <x:c r="E10" s="32" t="str">
        <x:v>• RWS supporting 5.56, 7.62, 12.7 mm MGs and 40 mm AGL; optional ATGM/coaxial MG; day camera, thermal imager and LRF.
• System weight excluding weapon/ammunition: ~135–190 kg depending variant
• Height: ~505–765 mm
• Azimuth: unlimited 360° at ~90°/s
• Elevation: -20° to +60° at ~70°/s
• Weapon options: 5.56, 7.62 and 12.7 mm MGs
• 40 mm AGL; optional ATGM / coaxial weapon</x:v>
      </x:c>
      <x:c r="F10" s="32" t="str">
        <x:v>• Remote weapon station/turret; crew-under-armour operation; stabilization; sensors; modular effectors.
• 4-axis Detached Line of Sight stabilisation
• Day/night/thermal/LRF sensor integration
• 99% operational-readiness reference
• Counter-UAS software integration
• Wired or wireless operation</x:v>
      </x:c>
      <x:c r="G10" s="32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
https://www.kongsberg.com/globalassets/kongsberg-defence--aerospace/2.1.-products/defence-and-security/remote-weapon-systems/protector-mct/protector-rs4.pdf</x:v>
      </x:c>
      <x:c r="H10" s="32" t="str">
        <x:v>Subsystem rather than a complete protected vehicle/platform.</x:v>
      </x:c>
      <x:c r="I10" s="32" t="str">
        <x:v>Retained in SUBSYSTEMS &amp; WORKSHARES sheet.</x:v>
      </x:c>
    </x:row>
    <x:row r="11" ht="170" customHeight="1">
      <x:c r="A11" s="32" t="str">
        <x:v>SUBSYSTEM</x:v>
      </x:c>
      <x:c r="B11" s="32" t="str">
        <x:v>KONGSBERG</x:v>
      </x:c>
      <x:c r="C11" s="32" t="str">
        <x:v>Protected Vehicles</x:v>
      </x:c>
      <x:c r="D11" s="32" t="str">
        <x:v>PROTECTOR RS6 Remote Weapon System</x:v>
      </x:c>
      <x:c r="E11" s="32" t="str">
        <x:v>• Up-gunned RWS for lightweight medium-calibre cannon; optional missiles, short-range air defence and C-UAS; bolt-on/no vehicle-compartment intrusion.
• Medium-calibre remote weapon station; exact public weight varies by weapon and configuration
• Designed for increased firepower compared with RS4</x:v>
      </x:c>
      <x:c r="F11" s="32" t="str">
        <x:v>• Remote weapon station/turret; crew-under-armour operation; stabilization; sensors; modular effectors.
• Stabilised medium-calibre weapon integration
• Advanced sensor suite
• CUAS-ready architecture
• Vehicle/platform integration</x:v>
      </x:c>
      <x:c r="G11" s="32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x:v>
      </x:c>
      <x:c r="H11" s="32" t="str">
        <x:v>Subsystem rather than a complete protected vehicle/platform.</x:v>
      </x:c>
      <x:c r="I11" s="32" t="str">
        <x:v>Retained in SUBSYSTEMS &amp; WORKSHARES sheet.</x:v>
      </x:c>
    </x:row>
    <x:row r="12" ht="170" customHeight="1">
      <x:c r="A12" s="32" t="str">
        <x:v>SUBSYSTEM</x:v>
      </x:c>
      <x:c r="B12" s="32" t="str">
        <x:v>KONGSBERG</x:v>
      </x:c>
      <x:c r="C12" s="32" t="str">
        <x:v>Protected Vehicles</x:v>
      </x:c>
      <x:c r="D12" s="32" t="str">
        <x:v>PROTECTOR RT60</x:v>
      </x:c>
      <x:c r="E12" s="32" t="str">
        <x:v>• Remote turret
• XM813/MK44 30/40 mm cannon; linkless feed
• 2×75 ready rounds
• 7.62 mm coax with 400 ready rounds; optional 12.7 mm/40 mm AGL/ATGM; day/thermal/LRF.</x:v>
      </x:c>
      <x:c r="F12" s="32" t="str">
        <x:v>• Remote weapon station/turret; crew-under-armour operation; stabilization; sensors; modular effectors.</x:v>
      </x:c>
      <x:c r="G12" s="32" t="str">
        <x:v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x:v>
      </x:c>
      <x:c r="H12" s="32" t="str">
        <x:v>Subsystem rather than a complete protected vehicle/platform.</x:v>
      </x:c>
      <x:c r="I12" s="32" t="str">
        <x:v>Retained in SUBSYSTEMS &amp; WORKSHARES sheet.</x:v>
      </x:c>
    </x:row>
    <x:row r="13" ht="170" customHeight="1">
      <x:c r="A13" s="32" t="str">
        <x:v>SUBSYSTEM</x:v>
      </x:c>
      <x:c r="B13" s="32" t="str">
        <x:v>Northrop Grumman</x:v>
      </x:c>
      <x:c r="C13" s="32" t="str">
        <x:v>Protected Vehicles</x:v>
      </x:c>
      <x:c r="D13" s="32" t="str">
        <x:v>M230LF 30×113 mm Bushmaster Chain Gun</x:v>
      </x:c>
      <x:c r="E13" s="32" t="str">
        <x:v>• Calibre: 30×113 mm
• Link-fed chain gun for lightweight ground/naval platforms
• Rate/weight depend on configuration; public product suite supports advanced proximity and HEDP ammunition</x:v>
      </x:c>
      <x:c r="F13" s="32" t="str">
        <x:v>• Ground adaptation of AH-64 M230 heritage
• Counter-UAS / ground target capability
• Low recoil for light platforms</x:v>
      </x:c>
      <x:c r="G13" s="32" t="str">
        <x:v>https://www.northropgrumman.com/what-we-do/advanced-weapons/armament-systems/bushmaster-chain-guns/30x113mm
https://www.northropgrumman.com/what-we-do/advanced-weapons/armament-systems/bushmaster-chain-guns/evolution-of-the-m230</x:v>
      </x:c>
      <x:c r="H13" s="32" t="str">
        <x:v>Subsystem rather than a complete protected vehicle/platform.</x:v>
      </x:c>
      <x:c r="I13" s="32" t="str">
        <x:v>Retained in SUBSYSTEMS &amp; WORKSHARES sheet.</x:v>
      </x:c>
    </x:row>
    <x:row r="14" ht="170" customHeight="1">
      <x:c r="A14" s="32" t="str">
        <x:v>SUBSYSTEM</x:v>
      </x:c>
      <x:c r="B14" s="32" t="str">
        <x:v>Northrop Grumman</x:v>
      </x:c>
      <x:c r="C14" s="32" t="str">
        <x:v>Protected Vehicles</x:v>
      </x:c>
      <x:c r="D14" s="32" t="str">
        <x:v>Mk44 / Mk44S Bushmaster II Chain Gun</x:v>
      </x:c>
      <x:c r="E14" s="32" t="str">
        <x:v>• Calibre: 30×173 mm
• Mk44S field-convertible to 40 mm Super Forty
• Externally powered chain-gun architecture</x:v>
      </x:c>
      <x:c r="F14" s="32" t="str">
        <x:v>• Ground and naval weapon
• Programmable airburst compatibility
• Widely integrated internationally</x:v>
      </x:c>
      <x:c r="G14" s="32" t="str">
        <x:v>https://www.northropgrumman.com/what-we-do/advanced-weapons/armament-systems/bushmaster-chain-guns/30x173mm</x:v>
      </x:c>
      <x:c r="H14" s="32" t="str">
        <x:v>Subsystem rather than a complete protected vehicle/platform.</x:v>
      </x:c>
      <x:c r="I14" s="32" t="str">
        <x:v>Retained in SUBSYSTEMS &amp; WORKSHARES sheet.</x:v>
      </x:c>
    </x:row>
    <x:row r="15" ht="170" customHeight="1">
      <x:c r="A15" s="32" t="str">
        <x:v>SUBSYSTEM</x:v>
      </x:c>
      <x:c r="B15" s="32" t="str">
        <x:v>Northrop Grumman</x:v>
      </x:c>
      <x:c r="C15" s="32" t="str">
        <x:v>Protected Vehicles</x:v>
      </x:c>
      <x:c r="D15" s="32" t="str">
        <x:v>XM813 30/40 mm Bushmaster Chain Gun</x:v>
      </x:c>
      <x:c r="E15" s="32" t="str">
        <x:v>• Calibre: 30×173 mm; convertible to 40 mm Super Forty architecture
• Total weapon weight: ~195 kg
• Rate of fire: up to 200 rounds/min
• Recoil: ~28.9 kN with 30 mm ammunition</x:v>
      </x:c>
      <x:c r="F15" s="32" t="str">
        <x:v>• Programmable airburst compatible
• Stryker Dragoon integration
• High commonality with M242</x:v>
      </x:c>
      <x:c r="G15" s="32" t="str">
        <x:v>https://www.northropgrumman.com/-/media/wp-content/uploads/XM813-30-40mm-Bushmaster-Chain-Gun.pdf
https://www.northropgrumman.com/what-we-do/advanced-weapons/armament-systems/bushmaster-chain-guns/30x173mm</x:v>
      </x:c>
      <x:c r="H15" s="32" t="str">
        <x:v>Subsystem rather than a complete protected vehicle/platform.</x:v>
      </x:c>
      <x:c r="I15" s="32" t="str">
        <x:v>Retained in SUBSYSTEMS &amp; WORKSHARES sheet.</x:v>
      </x:c>
    </x:row>
    <x:row r="16" ht="170" customHeight="1">
      <x:c r="A16" s="32" t="str">
        <x:v>SUBSYSTEM</x:v>
      </x:c>
      <x:c r="B16" s="32" t="str">
        <x:v>Northrop Grumman</x:v>
      </x:c>
      <x:c r="C16" s="32" t="str">
        <x:v>Protected Vehicles</x:v>
      </x:c>
      <x:c r="D16" s="32" t="str">
        <x:v>XM913 50 mm Bushmaster Chain Gun</x:v>
      </x:c>
      <x:c r="E16" s="32" t="str">
        <x:v>• Calibre: 50×228 mm
• Total weapon weight: ~314 kg
• Rate of fire: up to 200 rounds/min
• Recoil: ~106.8 kN
• Power: 3.5 hp at 270/28 VDC</x:v>
      </x:c>
      <x:c r="F16" s="32" t="str">
        <x:v>• Designed for next-generation fighting vehicles
• First-round select / remote safe actuator
• Digital control and triple-recoil system</x:v>
      </x:c>
      <x:c r="G16" s="32" t="str">
        <x:v>https://cdn.northropgrumman.com/-/media/wp-content/uploads/XM913-50mm-Bushmaster-Chain-Gun.pdf
https://www.northropgrumman.com/what-we-do/advanced-weapons/ensuring-mission-readiness-for-the-us-army</x:v>
      </x:c>
      <x:c r="H16" s="32" t="str">
        <x:v>Subsystem rather than a complete protected vehicle/platform.</x:v>
      </x:c>
      <x:c r="I16" s="32" t="str">
        <x:v>Retained in SUBSYSTEMS &amp; WORKSHARES sheet.</x:v>
      </x:c>
    </x:row>
    <x:row r="17" ht="170" customHeight="1">
      <x:c r="A17" s="32" t="str">
        <x:v>SUBSYSTEM</x:v>
      </x:c>
      <x:c r="B17" s="32" t="str">
        <x:v>Northrop Grumman</x:v>
      </x:c>
      <x:c r="C17" s="32" t="str">
        <x:v>Protected Vehicles</x:v>
      </x:c>
      <x:c r="D17" s="32" t="str">
        <x:v>XM914 30×113 mm Chain Gun</x:v>
      </x:c>
      <x:c r="E17" s="32" t="str">
        <x:v>• Calibre: 30×113 mm
• M230LF-derived chain gun
• Fielded on U.S. Army IM-SHORAD / M-LIDS programmes</x:v>
      </x:c>
      <x:c r="F17" s="32" t="str">
        <x:v>• Counter-UAS kinetic effector
• Vehicle-mounted medium-calibre weapon</x:v>
      </x:c>
      <x:c r="G17" s="32" t="str">
        <x:v>https://www.northropgrumman.com/what-we-do/advanced-weapons/armament-systems/bushmaster-chain-guns/30x113mm
https://www.northropgrumman.com/what-we-do/advanced-weapons/ensuring-mission-readiness-for-the-us-army</x:v>
      </x:c>
      <x:c r="H17" s="32" t="str">
        <x:v>Subsystem rather than a complete protected vehicle/platform.</x:v>
      </x:c>
      <x:c r="I17" s="32" t="str">
        <x:v>Retained in SUBSYSTEMS &amp; WORKSHARES sheet.</x:v>
      </x:c>
    </x:row>
    <x:row r="18" ht="170" customHeight="1">
      <x:c r="A18" s="32" t="str">
        <x:v>SUBSYSTEM</x:v>
      </x:c>
      <x:c r="B18" s="32" t="str">
        <x:v>SAAB</x:v>
      </x:c>
      <x:c r="C18" s="32" t="str">
        <x:v>Protected Vehicles</x:v>
      </x:c>
      <x:c r="D18" s="32" t="str">
        <x:v>Trackfire Remote Weapon Station</x:v>
      </x:c>
      <x:c r="E18" s="32" t="str">
        <x:v>• Director-unit weight: ~280 kg excluding weapon/ammunition
• Height: ~950 mm
• Width: ~1,050 mm
• Elevation: -20° to +55°
• Azimuth: continuous 360°
• Angular velocity: 120°/s
• Example weapons: 12.7 mm M2; 30×113 mm M230LF; 7.62 mm MG</x:v>
      </x:c>
      <x:c r="F18" s="32" t="str">
        <x:v>• Land/naval RWS
• Day/thermal/LRF sensor suite
• Missile/jammer/smoke integration
• Counter-UAS modes</x:v>
      </x:c>
      <x:c r="G18" s="32" t="str">
        <x:v>https://www.saab.com/products/trackfire-remote-weapon-station</x:v>
      </x:c>
      <x:c r="H18" s="32" t="str">
        <x:v>Subsystem rather than a complete protected vehicle/platform.</x:v>
      </x:c>
      <x:c r="I18" s="32" t="str">
        <x:v>Retained in SUBSYSTEMS &amp; WORKSHARES sheet.</x:v>
      </x:c>
    </x:row>
    <x:row r="19" ht="170" customHeight="1">
      <x:c r="A19" s="32" t="str">
        <x:v>SUBSYSTEM</x:v>
      </x:c>
      <x:c r="B19" s="32" t="str">
        <x:v>Elbit Systems</x:v>
      </x:c>
      <x:c r="C19" s="32" t="str">
        <x:v>Protected Vehicles</x:v>
      </x:c>
      <x:c r="D19" s="32" t="str">
        <x:v>Iron Fist Active Protection System</x:v>
      </x:c>
      <x:c r="E19" s="32" t="str">
        <x:v>• Hard-kill active protection system
• Dual sensing: RF radar + passive IR
• 360° threat detection/coverage
• Heavy configuration defeats ATR, ATGM, recoilless rifle, HEAT and APFSDS threats; light configuration optimized for light/medium AFVs</x:v>
      </x:c>
      <x:c r="F19" s="32" t="str">
        <x:v>• Compact modular design with low size/weight/power burden
• Miss-to-kill interceptor concept
• Optional soft-kill jammer
• Integrated on Bradley, CV90, Eitan and other platforms</x:v>
      </x:c>
      <x:c r="G19" s="32" t="str">
        <x:v>https://www.elbitsystems.com/land/combat-vehicle-systems/warning-self-protection/iron-fist-aps</x:v>
      </x:c>
      <x:c r="H19" s="32" t="str">
        <x:v>Subsystem rather than a complete protected vehicle.</x:v>
      </x:c>
      <x:c r="I19" s="32" t="str">
        <x:v>Retained in SUBSYSTEMS &amp; WORKSHARES sheet.</x:v>
      </x:c>
    </x:row>
    <x:row r="20" ht="170" customHeight="1">
      <x:c r="A20" s="32" t="str">
        <x:v>INDUSTRIAL WORKSHARE</x:v>
      </x:c>
      <x:c r="B20" s="32" t="str">
        <x:v>BAE Systems</x:v>
      </x:c>
      <x:c r="C20" s="32" t="str">
        <x:v>Missiles</x:v>
      </x:c>
      <x:c r="D20" s="32" t="str">
        <x:v>ASRAAM</x:v>
      </x:c>
      <x:c r="E20" s="32" t="str">
        <x:v>• Missile product is not solely owned by BAE Systems
• BAE role is programme-specific.</x:v>
      </x:c>
      <x:c r="F20" s="32" t="str">
        <x:v>• BAE source pages document industrial/manufacturing/integration roles
• exact missile specifications should be attributed to the missile OEM/consortium.</x:v>
      </x:c>
      <x:c r="G20" s="32" t="str">
        <x:v>https://www.baesystems.com/en-us/product/precision-guided-munitions</x:v>
      </x:c>
      <x:c r="H20" s="32" t="str">
        <x:v>Industrial workshare / licensed production / parent-company portfolio duplication.</x:v>
      </x:c>
      <x:c r="I20" s="32" t="str">
        <x:v>Primary OEM/product authority represented elsewhere in master.</x:v>
      </x:c>
    </x:row>
    <x:row r="21" ht="170" customHeight="1">
      <x:c r="A21" s="32" t="str">
        <x:v>INDUSTRIAL WORKSHARE</x:v>
      </x:c>
      <x:c r="B21" s="32" t="str">
        <x:v>BAE Systems</x:v>
      </x:c>
      <x:c r="C21" s="32" t="str">
        <x:v>Missiles</x:v>
      </x:c>
      <x:c r="D21" s="32" t="str">
        <x:v>Brimstone</x:v>
      </x:c>
      <x:c r="E21" s="32" t="str">
        <x:v>• Missile product is not solely owned by BAE Systems
• BAE role is programme-specific.</x:v>
      </x:c>
      <x:c r="F21" s="32" t="str">
        <x:v>• BAE source pages document industrial/manufacturing/integration roles
• exact missile specifications should be attributed to the missile OEM/consortium.</x:v>
      </x:c>
      <x:c r="G21" s="32" t="str">
        <x:v>https://www.baesystems.com/en/article/brimstone-missile-contract-boosts-manufacturing-at-bae-systems</x:v>
      </x:c>
      <x:c r="H21" s="32" t="str">
        <x:v>Industrial workshare / licensed production / parent-company portfolio duplication.</x:v>
      </x:c>
      <x:c r="I21" s="32" t="str">
        <x:v>Primary OEM/product authority represented elsewhere in master.</x:v>
      </x:c>
    </x:row>
    <x:row r="22" ht="170" customHeight="1">
      <x:c r="A22" s="32" t="str">
        <x:v>INDUSTRIAL WORKSHARE</x:v>
      </x:c>
      <x:c r="B22" s="32" t="str">
        <x:v>BAE Systems</x:v>
      </x:c>
      <x:c r="C22" s="32" t="str">
        <x:v>Missiles</x:v>
      </x:c>
      <x:c r="D22" s="32" t="str">
        <x:v>Meteor</x:v>
      </x:c>
      <x:c r="E22" s="32" t="str">
        <x:v>• Missile product is not solely owned by BAE Systems
• BAE role is programme-specific.</x:v>
      </x:c>
      <x:c r="F22" s="32" t="str">
        <x:v>• BAE source pages document industrial/manufacturing/integration roles
• exact missile specifications should be attributed to the missile OEM/consortium.</x:v>
      </x:c>
      <x:c r="G22" s="32" t="str">
        <x:v>https://www.baesystems.com/en-us/product/precision-guided-munitions</x:v>
      </x:c>
      <x:c r="H22" s="32" t="str">
        <x:v>Industrial workshare / licensed production / parent-company portfolio duplication.</x:v>
      </x:c>
      <x:c r="I22" s="32" t="str">
        <x:v>Primary OEM/product authority represented elsewhere in master.</x:v>
      </x:c>
    </x:row>
    <x:row r="23" ht="170" customHeight="1">
      <x:c r="A23" s="32" t="str">
        <x:v>INDUSTRIAL WORKSHARE</x:v>
      </x:c>
      <x:c r="B23" s="32" t="str">
        <x:v>BAE Systems</x:v>
      </x:c>
      <x:c r="C23" s="32" t="str">
        <x:v>Missiles</x:v>
      </x:c>
      <x:c r="D23" s="32" t="str">
        <x:v>NLAW</x:v>
      </x:c>
      <x:c r="E23" s="32" t="str">
        <x:v>• Missile product is not solely owned by BAE Systems
• BAE role is programme-specific.</x:v>
      </x:c>
      <x:c r="F23" s="32" t="str">
        <x:v>• BAE source pages document industrial/manufacturing/integration roles
• exact missile specifications should be attributed to the missile OEM/consortium.</x:v>
      </x:c>
      <x:c r="G23" s="32" t="str">
        <x:v>https://www.baesystems.com/en-us/product/precision-guided-munitions</x:v>
      </x:c>
      <x:c r="H23" s="32" t="str">
        <x:v>Industrial workshare / licensed production / parent-company portfolio duplication.</x:v>
      </x:c>
      <x:c r="I23" s="32" t="str">
        <x:v>Primary OEM/product authority represented elsewhere in master.</x:v>
      </x:c>
    </x:row>
    <x:row r="24" ht="170" customHeight="1">
      <x:c r="A24" s="32" t="str">
        <x:v>INDUSTRIAL WORKSHARE</x:v>
      </x:c>
      <x:c r="B24" s="32" t="str">
        <x:v>BAE Systems</x:v>
      </x:c>
      <x:c r="C24" s="32" t="str">
        <x:v>Missiles</x:v>
      </x:c>
      <x:c r="D24" s="32" t="str">
        <x:v>SPEAR</x:v>
      </x:c>
      <x:c r="E24" s="32" t="str">
        <x:v>• Missile product is not solely owned by BAE Systems
• BAE role is programme-specific.</x:v>
      </x:c>
      <x:c r="F24" s="32" t="str">
        <x:v>• BAE source pages document industrial/manufacturing/integration roles
• exact missile specifications should be attributed to the missile OEM/consortium.</x:v>
      </x:c>
      <x:c r="G24" s="32" t="str">
        <x:v>https://www.baesystems.com/en-us/product/precision-guided-munitions</x:v>
      </x:c>
      <x:c r="H24" s="32" t="str">
        <x:v>Industrial workshare / licensed production / parent-company portfolio duplication.</x:v>
      </x:c>
      <x:c r="I24" s="32" t="str">
        <x:v>Primary OEM/product authority represented elsewhere in master.</x:v>
      </x:c>
    </x:row>
    <x:row r="25" ht="170" customHeight="1">
      <x:c r="A25" s="32" t="str">
        <x:v>INDUSTRIAL WORKSHARE</x:v>
      </x:c>
      <x:c r="B25" s="32" t="str">
        <x:v>BAE Systems</x:v>
      </x:c>
      <x:c r="C25" s="32" t="str">
        <x:v>Missiles</x:v>
      </x:c>
      <x:c r="D25" s="32" t="str">
        <x:v>Storm Shadow / SCALP</x:v>
      </x:c>
      <x:c r="E25" s="32" t="str">
        <x:v>• Missile product is not solely owned by BAE Systems
• BAE role is programme-specific.</x:v>
      </x:c>
      <x:c r="F25" s="32" t="str">
        <x:v>• BAE source pages document industrial/manufacturing/integration roles
• exact missile specifications should be attributed to the missile OEM/consortium.</x:v>
      </x:c>
      <x:c r="G25" s="32" t="str">
        <x:v>https://www.baesystems.com/en-us/product/precision-guided-munitions</x:v>
      </x:c>
      <x:c r="H25" s="32" t="str">
        <x:v>Industrial workshare / licensed production / parent-company portfolio duplication.</x:v>
      </x:c>
      <x:c r="I25" s="32" t="str">
        <x:v>Primary OEM/product authority represented elsewhere in master.</x:v>
      </x:c>
    </x:row>
    <x:row r="26" ht="170" customHeight="1">
      <x:c r="A26" s="32" t="str">
        <x:v>INDUSTRIAL WORKSHARE</x:v>
      </x:c>
      <x:c r="B26" s="32" t="str">
        <x:v>Leonardo</x:v>
      </x:c>
      <x:c r="C26" s="32" t="str">
        <x:v>Missiles</x:v>
      </x:c>
      <x:c r="D26" s="32" t="str">
        <x:v>ASTER</x:v>
      </x:c>
      <x:c r="E26" s="32" t="str">
        <x:v>• MBDA missile family
• Leonardo is an Italian industrial partner/shareholder through MBDA. Missile-specific technical parameters should be attributed to MBDA.</x:v>
      </x:c>
      <x:c r="F26" s="32" t="str">
        <x:v>• Leonardo contribution is programme/industrial-participation based rather than sole ownership.</x:v>
      </x:c>
      <x:c r="G26" s="32" t="str">
        <x:v>https://www.leonardo.us/defense-systems</x:v>
      </x:c>
      <x:c r="H26" s="32" t="str">
        <x:v>Industrial workshare / licensed production / parent-company portfolio duplication.</x:v>
      </x:c>
      <x:c r="I26" s="32" t="str">
        <x:v>Primary OEM/product authority represented elsewhere in master.</x:v>
      </x:c>
    </x:row>
    <x:row r="27" ht="170" customHeight="1">
      <x:c r="A27" s="32" t="str">
        <x:v>INDUSTRIAL WORKSHARE</x:v>
      </x:c>
      <x:c r="B27" s="32" t="str">
        <x:v>Leonardo</x:v>
      </x:c>
      <x:c r="C27" s="32" t="str">
        <x:v>Missiles</x:v>
      </x:c>
      <x:c r="D27" s="32" t="str">
        <x:v>Brimstone</x:v>
      </x:c>
      <x:c r="E27" s="32" t="str">
        <x:v>• MBDA precision strike missile
• Leonardo industrial participation/integration
• exact missile specs should be attributed to MBDA.</x:v>
      </x:c>
      <x:c r="F27" s="32" t="str">
        <x:v>• Leonardo contribution is programme/industrial-participation based rather than sole ownership.</x:v>
      </x:c>
      <x:c r="G27" s="32" t="str">
        <x:v>https://www.leonardo.us/defense-systems</x:v>
      </x:c>
      <x:c r="H27" s="32" t="str">
        <x:v>Industrial workshare / licensed production / parent-company portfolio duplication.</x:v>
      </x:c>
      <x:c r="I27" s="32" t="str">
        <x:v>Primary OEM/product authority represented elsewhere in master.</x:v>
      </x:c>
    </x:row>
    <x:row r="28" ht="170" customHeight="1">
      <x:c r="A28" s="32" t="str">
        <x:v>INDUSTRIAL WORKSHARE</x:v>
      </x:c>
      <x:c r="B28" s="32" t="str">
        <x:v>Leonardo</x:v>
      </x:c>
      <x:c r="C28" s="32" t="str">
        <x:v>Missiles</x:v>
      </x:c>
      <x:c r="D28" s="32" t="str">
        <x:v>CAMM / CAMM-ER</x:v>
      </x:c>
      <x:c r="E28" s="32" t="str">
        <x:v>• MBDA air-defence missile family
• Leonardo industrial participation/subsystems
• exact missile specs should be attributed to MBDA.</x:v>
      </x:c>
      <x:c r="F28" s="32" t="str">
        <x:v>• Leonardo contribution is programme/industrial-participation based rather than sole ownership.</x:v>
      </x:c>
      <x:c r="G28" s="32" t="str">
        <x:v>https://www.leonardo.us/defense-systems</x:v>
      </x:c>
      <x:c r="H28" s="32" t="str">
        <x:v>Industrial workshare / licensed production / parent-company portfolio duplication.</x:v>
      </x:c>
      <x:c r="I28" s="32" t="str">
        <x:v>Primary OEM/product authority represented elsewhere in master.</x:v>
      </x:c>
    </x:row>
    <x:row r="29" ht="170" customHeight="1">
      <x:c r="A29" s="32" t="str">
        <x:v>INDUSTRIAL WORKSHARE</x:v>
      </x:c>
      <x:c r="B29" s="32" t="str">
        <x:v>Leonardo</x:v>
      </x:c>
      <x:c r="C29" s="32" t="str">
        <x:v>Missiles</x:v>
      </x:c>
      <x:c r="D29" s="32" t="str">
        <x:v>MARTE ER</x:v>
      </x:c>
      <x:c r="E29" s="32" t="str">
        <x:v>• MBDA anti-ship missile
• Leonardo industrial participation
• exact missile specs should be attributed to MBDA.</x:v>
      </x:c>
      <x:c r="F29" s="32" t="str">
        <x:v>• Leonardo contribution is programme/industrial-participation based rather than sole ownership.</x:v>
      </x:c>
      <x:c r="G29" s="32" t="str">
        <x:v>https://www.leonardo.us/defense-systems</x:v>
      </x:c>
      <x:c r="H29" s="32" t="str">
        <x:v>Industrial workshare / licensed production / parent-company portfolio duplication.</x:v>
      </x:c>
      <x:c r="I29" s="32" t="str">
        <x:v>Primary OEM/product authority represented elsewhere in master.</x:v>
      </x:c>
    </x:row>
    <x:row r="30" ht="170" customHeight="1">
      <x:c r="A30" s="32" t="str">
        <x:v>INDUSTRIAL WORKSHARE</x:v>
      </x:c>
      <x:c r="B30" s="32" t="str">
        <x:v>Leonardo</x:v>
      </x:c>
      <x:c r="C30" s="32" t="str">
        <x:v>Missiles</x:v>
      </x:c>
      <x:c r="D30" s="32" t="str">
        <x:v>Meteor</x:v>
      </x:c>
      <x:c r="E30" s="32" t="str">
        <x:v>• MBDA beyond-visual-range air-to-air missile
• Leonardo industrial participation
• exact missile specs should be attributed to MBDA.</x:v>
      </x:c>
      <x:c r="F30" s="32" t="str">
        <x:v>• Leonardo contribution is programme/industrial-participation based rather than sole ownership.</x:v>
      </x:c>
      <x:c r="G30" s="32" t="str">
        <x:v>https://www.leonardo.us/defense-systems</x:v>
      </x:c>
      <x:c r="H30" s="32" t="str">
        <x:v>Industrial workshare / licensed production / parent-company portfolio duplication.</x:v>
      </x:c>
      <x:c r="I30" s="32" t="str">
        <x:v>Primary OEM/product authority represented elsewhere in master.</x:v>
      </x:c>
    </x:row>
    <x:row r="31" ht="170" customHeight="1">
      <x:c r="A31" s="32" t="str">
        <x:v>INDUSTRIAL WORKSHARE</x:v>
      </x:c>
      <x:c r="B31" s="32" t="str">
        <x:v>Leonardo</x:v>
      </x:c>
      <x:c r="C31" s="32" t="str">
        <x:v>Missiles</x:v>
      </x:c>
      <x:c r="D31" s="32" t="str">
        <x:v>SPEAR</x:v>
      </x:c>
      <x:c r="E31" s="32" t="str">
        <x:v>• MBDA precision strike weapon
• Leonardo industrial participation
• exact weapon specs should be attributed to MBDA.</x:v>
      </x:c>
      <x:c r="F31" s="32" t="str">
        <x:v>• Leonardo contribution is programme/industrial-participation based rather than sole ownership.</x:v>
      </x:c>
      <x:c r="G31" s="32" t="str">
        <x:v>https://www.leonardo.us/defense-systems</x:v>
      </x:c>
      <x:c r="H31" s="32" t="str">
        <x:v>Industrial workshare / licensed production / parent-company portfolio duplication.</x:v>
      </x:c>
      <x:c r="I31" s="32" t="str">
        <x:v>Primary OEM/product authority represented elsewhere in master.</x:v>
      </x:c>
    </x:row>
    <x:row r="32" ht="170" customHeight="1">
      <x:c r="A32" s="32" t="str">
        <x:v>INDUSTRIAL WORKSHARE</x:v>
      </x:c>
      <x:c r="B32" s="32" t="str">
        <x:v>Leonardo</x:v>
      </x:c>
      <x:c r="C32" s="32" t="str">
        <x:v>Missiles</x:v>
      </x:c>
      <x:c r="D32" s="32" t="str">
        <x:v>Storm Shadow / SCALP</x:v>
      </x:c>
      <x:c r="E32" s="32" t="str">
        <x:v>• MBDA cruise missile
• Leonardo industrial participation
• exact missile specs should be attributed to MBDA.</x:v>
      </x:c>
      <x:c r="F32" s="32" t="str">
        <x:v>• Leonardo contribution is programme/industrial-participation based rather than sole ownership.</x:v>
      </x:c>
      <x:c r="G32" s="32" t="str">
        <x:v>https://www.leonardo.us/defense-systems</x:v>
      </x:c>
      <x:c r="H32" s="32" t="str">
        <x:v>Industrial workshare / licensed production / parent-company portfolio duplication.</x:v>
      </x:c>
      <x:c r="I32" s="32" t="str">
        <x:v>Primary OEM/product authority represented elsewhere in master.</x:v>
      </x:c>
    </x:row>
    <x:row r="33" ht="170" customHeight="1">
      <x:c r="A33" s="32" t="str">
        <x:v>INDUSTRIAL WORKSHARE</x:v>
      </x:c>
      <x:c r="B33" s="32" t="str">
        <x:v>Rheinmetall</x:v>
      </x:c>
      <x:c r="C33" s="32" t="str">
        <x:v>UAVs/Drones</x:v>
      </x:c>
      <x:c r="D33" s="32" t="str">
        <x:v>HERO 120</x:v>
      </x:c>
      <x:c r="E33" s="32" t="str">
        <x:v>• System weight: 12 kg
• Warhead: 4.5 kg
• Operational range: 40 km
• Endurance: 60 min
• Propulsion: Electric
• Launch method: Single/multi-canister
• Motor: Electric</x:v>
      </x:c>
      <x:c r="F33" s="32" t="str">
        <x:v>• Loitering-munition family
• Electro-optical guidance / man-in-the-loop engagement
• Abort/re-engage capability depending variant</x:v>
      </x:c>
      <x:c r="G33" s="32" t="str">
        <x:v>https://www.rheinmetall.com/en/products/weapons-and-ammunition/loitering-munition/loitering-munitions-hero</x:v>
      </x:c>
      <x:c r="H33" s="32" t="str">
        <x:v>Industrial workshare / licensed production / parent-company portfolio duplication.</x:v>
      </x:c>
      <x:c r="I33" s="32" t="str">
        <x:v>Primary OEM/product authority represented elsewhere in master.</x:v>
      </x:c>
    </x:row>
    <x:row r="34" ht="170" customHeight="1">
      <x:c r="A34" s="32" t="str">
        <x:v>INDUSTRIAL WORKSHARE</x:v>
      </x:c>
      <x:c r="B34" s="32" t="str">
        <x:v>Rheinmetall</x:v>
      </x:c>
      <x:c r="C34" s="32" t="str">
        <x:v>UAVs/Drones</x:v>
      </x:c>
      <x:c r="D34" s="32" t="str">
        <x:v>HERO 1250</x:v>
      </x:c>
      <x:c r="E34" s="32" t="str">
        <x:v>• System weight: 125 kg
• Warhead: 50 kg
• Operational range: 200 km
• Endurance: 6 h
• Propulsion: Propulsion per current family configuration
• Launch method: Rail or single/multi-canister
• Motor: Gasoline</x:v>
      </x:c>
      <x:c r="F34" s="32" t="str">
        <x:v>• Loitering-munition family
• Electro-optical guidance / man-in-the-loop engagement
• Abort/re-engage capability depending variant</x:v>
      </x:c>
      <x:c r="G34" s="32" t="str">
        <x:v>https://www.rheinmetall.com/en/products/weapons-and-ammunition/loitering-munition/loitering-munitions-hero</x:v>
      </x:c>
      <x:c r="H34" s="32" t="str">
        <x:v>Industrial workshare / licensed production / parent-company portfolio duplication.</x:v>
      </x:c>
      <x:c r="I34" s="32" t="str">
        <x:v>Primary OEM/product authority represented elsewhere in master.</x:v>
      </x:c>
    </x:row>
    <x:row r="35" ht="170" customHeight="1">
      <x:c r="A35" s="32" t="str">
        <x:v>INDUSTRIAL WORKSHARE</x:v>
      </x:c>
      <x:c r="B35" s="32" t="str">
        <x:v>Rheinmetall</x:v>
      </x:c>
      <x:c r="C35" s="32" t="str">
        <x:v>UAVs/Drones</x:v>
      </x:c>
      <x:c r="D35" s="32" t="str">
        <x:v>HERO 30</x:v>
      </x:c>
      <x:c r="E35" s="32" t="str">
        <x:v>• System weight: 3 kg
• Warhead: 0.5 kg
• Operational range: 10 km
• Endurance: 30 min
• Propulsion: Electric
• Alternative U.S. Army ODIN reference: 3.5 kg air vehicle / 7.8 kg with canister
• Typical operating altitude: ~650–1,650 ft AGL
• Sensor: EO/IR three-gimbal camera</x:v>
      </x:c>
      <x:c r="F35" s="32" t="str">
        <x:v>• Loitering-munition family
• Electro-optical guidance / man-in-the-loop engagement
• Abort/re-engage capability depending variant</x:v>
      </x:c>
      <x:c r="G35" s="32" t="str">
        <x:v>https://www.rheinmetall.com/en/products/weapons-and-ammunition/loitering-munition/loitering-munitions-hero
https://odin.t2com.army.mil/WEG/Asset/8011f1c0abea03f72a80034fa8a17630</x:v>
      </x:c>
      <x:c r="H35" s="32" t="str">
        <x:v>Industrial workshare / licensed production / parent-company portfolio duplication.</x:v>
      </x:c>
      <x:c r="I35" s="32" t="str">
        <x:v>Primary OEM/product authority represented elsewhere in master.</x:v>
      </x:c>
    </x:row>
    <x:row r="36" ht="170" customHeight="1">
      <x:c r="A36" s="32" t="str">
        <x:v>INDUSTRIAL WORKSHARE</x:v>
      </x:c>
      <x:c r="B36" s="32" t="str">
        <x:v>Rheinmetall</x:v>
      </x:c>
      <x:c r="C36" s="32" t="str">
        <x:v>UAVs/Drones</x:v>
      </x:c>
      <x:c r="D36" s="32" t="str">
        <x:v>HERO 400</x:v>
      </x:c>
      <x:c r="E36" s="32" t="str">
        <x:v>• System weight: 40 kg
• Warhead: 10 kg
• Operational range: 60 km
• Endurance: 2 h
• Propulsion: Electric
• Launch method: Rail or single/multi-canister
• Motor: Electric</x:v>
      </x:c>
      <x:c r="F36" s="32" t="str">
        <x:v>• Loitering-munition family
• Electro-optical guidance / man-in-the-loop engagement
• Abort/re-engage capability depending variant</x:v>
      </x:c>
      <x:c r="G36" s="32" t="str">
        <x:v>https://www.rheinmetall.com/en/products/weapons-and-ammunition/loitering-munition/loitering-munitions-hero</x:v>
      </x:c>
      <x:c r="H36" s="32" t="str">
        <x:v>Industrial workshare / licensed production / parent-company portfolio duplication.</x:v>
      </x:c>
      <x:c r="I36" s="32" t="str">
        <x:v>Primary OEM/product authority represented elsewhere in master.</x:v>
      </x:c>
    </x:row>
    <x:row r="37" ht="170" customHeight="1">
      <x:c r="A37" s="32" t="str">
        <x:v>INDUSTRIAL WORKSHARE</x:v>
      </x:c>
      <x:c r="B37" s="32" t="str">
        <x:v>Rheinmetall</x:v>
      </x:c>
      <x:c r="C37" s="32" t="str">
        <x:v>UAVs/Drones</x:v>
      </x:c>
      <x:c r="D37" s="32" t="str">
        <x:v>HERO 900</x:v>
      </x:c>
      <x:c r="E37" s="32" t="str">
        <x:v>• System weight: 90 kg
• Warhead: 25 kg
• Operational range: 150 km
• Endurance: 2 h
• Propulsion: Propulsion per current family configuration
• Launch method: Rail or single/multi-canister
• Motor: Gasoline</x:v>
      </x:c>
      <x:c r="F37" s="32" t="str">
        <x:v>• Loitering-munition family
• Electro-optical guidance / man-in-the-loop engagement
• Abort/re-engage capability depending variant</x:v>
      </x:c>
      <x:c r="G37" s="32" t="str">
        <x:v>https://www.rheinmetall.com/en/products/weapons-and-ammunition/loitering-munition/loitering-munitions-hero</x:v>
      </x:c>
      <x:c r="H37" s="32" t="str">
        <x:v>Industrial workshare / licensed production / parent-company portfolio duplication.</x:v>
      </x:c>
      <x:c r="I37" s="32" t="str">
        <x:v>Primary OEM/product authority represented elsewhere in master.</x:v>
      </x:c>
    </x:row>
    <x:row r="38" ht="170" customHeight="1">
      <x:c r="A38" s="32" t="str">
        <x:v>INDUSTRIAL WORKSHARE</x:v>
      </x:c>
      <x:c r="B38" s="32" t="str">
        <x:v>Rheinmetall</x:v>
      </x:c>
      <x:c r="C38" s="32" t="str">
        <x:v>Missiles</x:v>
      </x:c>
      <x:c r="D38" s="32" t="str">
        <x:v>Barracuda 500M Cruise Missile</x:v>
      </x:c>
      <x:c r="E38" s="32" t="str">
        <x:v>• Range: &gt;500 nautical miles / &gt;926 km for the surface-launched Barracuda-500M
• Munition payload: 100 lb / ~45 kg
• Propulsion: turbojet / air-breathing
• Maximum speed: approximately Mach 0.85 / ~500 kt in public reference data
• Containerized launcher: standard 20 ft ISO container
• Launcher capacity: up to 16 all-up rounds per container</x:v>
      </x:c>
      <x:c r="F38" s="32" t="str">
        <x:v>• Cruise-missile / stand-off strike product shown in Rheinmetall 2026 portfolio</x:v>
      </x:c>
      <x:c r="G38" s="32" t="str">
        <x:v>https://ir.rheinmetall.com/media/document/6d4637c5-eafa-47cc-afe2-b8810256e0cd/assets/Rheinmetall_AG_2026_Investor_Presentation_January.pdf
https://www.anduril.com/news/anduril-department-of-war-sign-production-agreement-for-surface-launched-barracuda-500m
https://www.armyrecognition.com/news/army-news/2026/u-s-army-orders-3-000-anduril-barracuda-500m-cruise-missiles-for-indo-pacific-long-range-warfare
https://www.designation-systems.net/dusrm/m-189.html
https://www.rheinmetall.com/en/media/news-watch/news/2025/06/2025-06-18-strategic-partnership</x:v>
      </x:c>
      <x:c r="H38" s="32" t="str">
        <x:v>Industrial workshare / licensed production / parent-company portfolio duplication.</x:v>
      </x:c>
      <x:c r="I38" s="32" t="str">
        <x:v>Primary OEM/product authority represented elsewhere in master.</x:v>
      </x:c>
    </x:row>
    <x:row r="39" ht="170" customHeight="1">
      <x:c r="A39" s="32" t="str">
        <x:v>INDUSTRIAL WORKSHARE</x:v>
      </x:c>
      <x:c r="B39" s="32" t="str">
        <x:v>Tata Advanced Systems</x:v>
      </x:c>
      <x:c r="C39" s="32" t="str">
        <x:v>Missiles</x:v>
      </x:c>
      <x:c r="D39" s="32" t="str">
        <x:v>Javelin Anti-Tank Guided Missile — India Co-production Portfolio</x:v>
      </x:c>
      <x:c r="E39" s="32" t="str">
        <x:v>• Missile: FGM-148 Javelin
• System type: man-portable anti-tank guided missile
• Fire-and-forget
• Imaging infrared seeker
• Tandem HEAT warhead
• TASL signed 2026 MoU for co-production in India; detailed Indian production configuration not yet public
• Missile diameter: 127 mm
• Missile length: ~1.08 m
• Missile mass: ~11.8 kg; complete round with launch tube ~15.9 kg
• Effective range: up to ~4 km+ for current Javelin variants, configuration dependent
• Guidance: imaging-infrared fire-and-forget
• Warhead: tandem HEAT</x:v>
      </x:c>
      <x:c r="F39" s="32" t="str">
        <x:v>• Top-attack/direct-attack modes
• Portable anti-armour precision strike
• Shoulder-launched anti-armour missile
• Top-attack and direct-attack modes
• Tata Advanced Systems signed 2026 MOU with Javelin Joint Venture for Indian AUR co-production</x:v>
      </x:c>
      <x:c r="G39" s="32" t="str">
        <x:v>https://www.tataadvancedsystems.com/
https://www.indianexpress.com/article/india/us-javelin-missiles-to-be-made-in-india-in-partnership-with-tata-firm-10857303/
https://www.tataadvancedsystems.com/public/index
https://www.lockheedmartin.com/en-us/products/javelin.html
https://www.rtx.com/raytheon/what-we-do/land/javelin</x:v>
      </x:c>
      <x:c r="H39" s="32" t="str">
        <x:v>Industrial workshare / licensed production / parent-company portfolio duplication.</x:v>
      </x:c>
      <x:c r="I39" s="32" t="str">
        <x:v>Primary OEM/product authority represented elsewhere in master.</x:v>
      </x:c>
    </x:row>
    <x:row r="40" ht="170" customHeight="1">
      <x:c r="A40" s="32" t="str">
        <x:v>INDUSTRIAL WORKSHARE</x:v>
      </x:c>
      <x:c r="B40" s="32" t="str">
        <x:v>Adani Defence</x:v>
      </x:c>
      <x:c r="C40" s="32" t="str">
        <x:v>Small Arms</x:v>
      </x:c>
      <x:c r="D40" s="32" t="str">
        <x:v>ARAD Assault Rifle</x:v>
      </x:c>
      <x:c r="E40" s="32" t="str">
        <x:v>• Type: assault rifle
• Fire-control: selective-fire architecture
• Calibre, barrel length, mass, cyclic rate and effective range: not publicly disclosed in a complete official datasheet.</x:v>
      </x:c>
      <x:c r="F40" s="32" t="str">
        <x:v>• AI-enabled assault rifle concept; indigenous small-arms development.</x:v>
      </x:c>
      <x:c r="G40" s="32" t="str">
        <x:v>https://connect.adani.com/2026/mar2026/show/</x:v>
      </x:c>
      <x:c r="H40" s="32" t="str">
        <x:v>Industrial workshare / licensed production / parent-company portfolio duplication.</x:v>
      </x:c>
      <x:c r="I40" s="32" t="str">
        <x:v>Primary OEM/product authority represented elsewhere in master.</x:v>
      </x:c>
    </x:row>
    <x:row r="41" ht="170" customHeight="1">
      <x:c r="A41" s="32" t="str">
        <x:v>INDUSTRIAL WORKSHARE</x:v>
      </x:c>
      <x:c r="B41" s="32" t="str">
        <x:v>Adani Defence</x:v>
      </x:c>
      <x:c r="C41" s="32" t="str">
        <x:v>Small Arms</x:v>
      </x:c>
      <x:c r="D41" s="32" t="str">
        <x:v>GALIL ACE 31</x:v>
      </x:c>
      <x:c r="E41" s="32" t="str">
        <x:v>• Calibre: 7.62×39 mm
• Barrel: ~216 mm
• Weight: ~3.0 kg</x:v>
      </x:c>
      <x:c r="F41" s="32" t="str">
        <x:v>• Compact assault rifle</x:v>
      </x:c>
      <x:c r="G41" s="32" t="str">
        <x:v>https://www.adanienterprises.com/-/media/Project/Enterprises/Investors/Investor-Downloads/Annual-Report/AEL-FY25.pdf
https://www.adanienterprises.com/digital-reports/enterprises/2026/defence-and-aerospace.html</x:v>
      </x:c>
      <x:c r="H41" s="32" t="str">
        <x:v>Industrial workshare / licensed production / parent-company portfolio duplication.</x:v>
      </x:c>
      <x:c r="I41" s="32" t="str">
        <x:v>Primary OEM/product authority represented elsewhere in master.</x:v>
      </x:c>
    </x:row>
    <x:row r="42" ht="170" customHeight="1">
      <x:c r="A42" s="32" t="str">
        <x:v>INDUSTRIAL WORKSHARE</x:v>
      </x:c>
      <x:c r="B42" s="32" t="str">
        <x:v>Adani Defence</x:v>
      </x:c>
      <x:c r="C42" s="32" t="str">
        <x:v>Small Arms</x:v>
      </x:c>
      <x:c r="D42" s="32" t="str">
        <x:v>GALIL ACE 32</x:v>
      </x:c>
      <x:c r="E42" s="32" t="str">
        <x:v>• Calibre: 7.62×39 mm
• Barrel: ~409 mm
• Weight: ~3.5 kg</x:v>
      </x:c>
      <x:c r="F42" s="32" t="str">
        <x:v>• Full-length assault rifle</x:v>
      </x:c>
      <x:c r="G42" s="32" t="str">
        <x:v>https://www.adanienterprises.com/-/media/Project/Enterprises/Investors/Investor-Downloads/Annual-Report/AEL-FY25.pdf
https://www.adanienterprises.com/digital-reports/enterprises/2026/defence-and-aerospace.html</x:v>
      </x:c>
      <x:c r="H42" s="32" t="str">
        <x:v>Industrial workshare / licensed production / parent-company portfolio duplication.</x:v>
      </x:c>
      <x:c r="I42" s="32" t="str">
        <x:v>Primary OEM/product authority represented elsewhere in master.</x:v>
      </x:c>
    </x:row>
    <x:row r="43" ht="170" customHeight="1">
      <x:c r="A43" s="32" t="str">
        <x:v>INDUSTRIAL WORKSHARE</x:v>
      </x:c>
      <x:c r="B43" s="32" t="str">
        <x:v>Adani Defence</x:v>
      </x:c>
      <x:c r="C43" s="32" t="str">
        <x:v>Small Arms</x:v>
      </x:c>
      <x:c r="D43" s="32" t="str">
        <x:v>GALIL Sniper S.A.</x:v>
      </x:c>
      <x:c r="E43" s="32" t="str">
        <x:v>• Calibre: 7.62×51 mm
• Barrel: ~584 mm incl. brake
• Weight: ~5.46 kg
• Effective range: up to ~1,000 m</x:v>
      </x:c>
      <x:c r="F43" s="32" t="str">
        <x:v>• Semi-automatic precision/sniper rifle</x:v>
      </x:c>
      <x:c r="G43" s="32" t="str">
        <x:v>https://www.adanienterprises.com/-/media/Project/Enterprises/Investors/Investor-Downloads/Annual-Report/AEL-FY25.pdf
https://www.adanienterprises.com/digital-reports/enterprises/2026/defence-and-aerospace.html</x:v>
      </x:c>
      <x:c r="H43" s="32" t="str">
        <x:v>Industrial workshare / licensed production / parent-company portfolio duplication.</x:v>
      </x:c>
      <x:c r="I43" s="32" t="str">
        <x:v>Primary OEM/product authority represented elsewhere in master.</x:v>
      </x:c>
    </x:row>
    <x:row r="44" ht="170" customHeight="1">
      <x:c r="A44" s="32" t="str">
        <x:v>INDUSTRIAL WORKSHARE</x:v>
      </x:c>
      <x:c r="B44" s="32" t="str">
        <x:v>Adani Defence</x:v>
      </x:c>
      <x:c r="C44" s="32" t="str">
        <x:v>Small Arms</x:v>
      </x:c>
      <x:c r="D44" s="32" t="str">
        <x:v>MASADA Pistol</x:v>
      </x:c>
      <x:c r="E44" s="32" t="str">
        <x:v>• Calibre: 9×19 mm
• Striker-fired pistol family
• Model-specific size/magazine varies</x:v>
      </x:c>
      <x:c r="F44" s="32" t="str">
        <x:v>• Service / duty pistol</x:v>
      </x:c>
      <x:c r="G44" s="32" t="str">
        <x:v>https://www.adanienterprises.com/-/media/Project/Enterprises/Investors/Investor-Downloads/Annual-Report/AEL-FY25.pdf
https://www.adanienterprises.com/digital-reports/enterprises/2026/defence-and-aerospace.html</x:v>
      </x:c>
      <x:c r="H44" s="32" t="str">
        <x:v>Industrial workshare / licensed production / parent-company portfolio duplication.</x:v>
      </x:c>
      <x:c r="I44" s="32" t="str">
        <x:v>Primary OEM/product authority represented elsewhere in master.</x:v>
      </x:c>
    </x:row>
    <x:row r="45" ht="170" customHeight="1">
      <x:c r="A45" s="32" t="str">
        <x:v>INDUSTRIAL WORKSHARE</x:v>
      </x:c>
      <x:c r="B45" s="32" t="str">
        <x:v>Adani Defence</x:v>
      </x:c>
      <x:c r="C45" s="32" t="str">
        <x:v>Small Arms</x:v>
      </x:c>
      <x:c r="D45" s="32" t="str">
        <x:v>NEGEV 5.56 LMG</x:v>
      </x:c>
      <x:c r="E45" s="32" t="str">
        <x:v>• Calibre: 5.56×45 mm
• Barrel: ~460 mm
• Weight: ~7.6 kg
• Rate of fire: ~850–1,050 rpm</x:v>
      </x:c>
      <x:c r="F45" s="32" t="str">
        <x:v>• Belt/magazine-fed light machine gun</x:v>
      </x:c>
      <x:c r="G45" s="32" t="str">
        <x:v>https://www.adanienterprises.com/-/media/Project/Enterprises/Investors/Investor-Downloads/Annual-Report/AEL-FY25.pdf
https://www.adanienterprises.com/digital-reports/enterprises/2026/defence-and-aerospace.html</x:v>
      </x:c>
      <x:c r="H45" s="32" t="str">
        <x:v>Industrial workshare / licensed production / parent-company portfolio duplication.</x:v>
      </x:c>
      <x:c r="I45" s="32" t="str">
        <x:v>Primary OEM/product authority represented elsewhere in master.</x:v>
      </x:c>
    </x:row>
    <x:row r="46" ht="170" customHeight="1">
      <x:c r="A46" s="32" t="str">
        <x:v>INDUSTRIAL WORKSHARE</x:v>
      </x:c>
      <x:c r="B46" s="32" t="str">
        <x:v>Adani Defence</x:v>
      </x:c>
      <x:c r="C46" s="32" t="str">
        <x:v>Small Arms</x:v>
      </x:c>
      <x:c r="D46" s="32" t="str">
        <x:v>PRAHAR / NEGEV NG-7 LMG</x:v>
      </x:c>
      <x:c r="E46" s="32" t="str">
        <x:v>• Calibre: 7.62×51 mm
• Barrel length: 508 mm (20 in)
• Total length: 1,100 mm
• Weapon weight: 8 kg
• Effective range: 1,000 m
• Feed: 120-round assault drum or belt chain.
• Barrel: ~508 mm
• Weight: ~7.95 kg
• Rate: ~600–750 rpm</x:v>
      </x:c>
      <x:c r="F46" s="32" t="str">
        <x:v>• Open-bolt operation; gas-operated piston; rotating bolt; safe/semi-auto/auto; adjustable gas regulator; bipod; adjustable stock/cheek rest; backup iron sights.
• Indian local-production general-purpose/light machine gun</x:v>
      </x:c>
      <x:c r="G46" s="32" t="str">
        <x:v>https://www.ndtvprofit.com/business/adani-defence-delivers-2000-indigneously-made-light-machine-guns-to-indian-army-11279227
https://www.tribuneindia.com/news/business/adani-defence-delivers-first-batch-of-indigenously-manufactured-light-machine-guns-to-indian-army-11-months-ahead-of-schedule/amp
https://www.adanienterprises.com/-/media/Project/Enterprises/Investors/Investor-Downloads/Annual-Report/AEL-FY25.pdf
https://www.adanienterprises.com/digital-reports/enterprises/2026/defence-and-aerospace.html</x:v>
      </x:c>
      <x:c r="H46" s="32" t="str">
        <x:v>Industrial workshare / licensed production / parent-company portfolio duplication.</x:v>
      </x:c>
      <x:c r="I46" s="32" t="str">
        <x:v>Primary OEM/product authority represented elsewhere in master.</x:v>
      </x:c>
    </x:row>
    <x:row r="47" ht="170" customHeight="1">
      <x:c r="A47" s="32" t="str">
        <x:v>INDUSTRIAL WORKSHARE</x:v>
      </x:c>
      <x:c r="B47" s="32" t="str">
        <x:v>Adani Defence</x:v>
      </x:c>
      <x:c r="C47" s="32" t="str">
        <x:v>Small Arms</x:v>
      </x:c>
      <x:c r="D47" s="32" t="str">
        <x:v>TAVOR 7</x:v>
      </x:c>
      <x:c r="E47" s="32" t="str">
        <x:v>• Calibre: 7.62×51 mm
• Barrel options: 432 / 508 mm
• Weight: ~4.1–4.2 kg by configuration</x:v>
      </x:c>
      <x:c r="F47" s="32" t="str">
        <x:v>• Battle-rifle / DMR-capable bullpup</x:v>
      </x:c>
      <x:c r="G47" s="32" t="str">
        <x:v>https://www.adanienterprises.com/-/media/Project/Enterprises/Investors/Investor-Downloads/Annual-Report/AEL-FY25.pdf
https://www.adanienterprises.com/digital-reports/enterprises/2026/defence-and-aerospace.html</x:v>
      </x:c>
      <x:c r="H47" s="32" t="str">
        <x:v>Industrial workshare / licensed production / parent-company portfolio duplication.</x:v>
      </x:c>
      <x:c r="I47" s="32" t="str">
        <x:v>Primary OEM/product authority represented elsewhere in master.</x:v>
      </x:c>
    </x:row>
    <x:row r="48" ht="170" customHeight="1">
      <x:c r="A48" s="32" t="str">
        <x:v>INDUSTRIAL WORKSHARE</x:v>
      </x:c>
      <x:c r="B48" s="32" t="str">
        <x:v>Adani Defence</x:v>
      </x:c>
      <x:c r="C48" s="32" t="str">
        <x:v>Small Arms</x:v>
      </x:c>
      <x:c r="D48" s="32" t="str">
        <x:v>TAVOR TAR-21 / TAR Flattop</x:v>
      </x:c>
      <x:c r="E48" s="32" t="str">
        <x:v>• Calibre: 5.56×45 mm
• Barrel: ~457 mm reference configuration
• Bullpup, gas-operated rotating bolt
• 30-round magazine</x:v>
      </x:c>
      <x:c r="F48" s="32" t="str">
        <x:v>• Compact assault rifle; ambidextrous / rail-equipped</x:v>
      </x:c>
      <x:c r="G48" s="32" t="str">
        <x:v>https://www.adanienterprises.com/-/media/Project/Enterprises/Investors/Investor-Downloads/Annual-Report/AEL-FY25.pdf
https://www.adanienterprises.com/digital-reports/enterprises/2026/defence-and-aerospace.html</x:v>
      </x:c>
      <x:c r="H48" s="32" t="str">
        <x:v>Industrial workshare / licensed production / parent-company portfolio duplication.</x:v>
      </x:c>
      <x:c r="I48" s="32" t="str">
        <x:v>Primary OEM/product authority represented elsewhere in master.</x:v>
      </x:c>
    </x:row>
    <x:row r="49" ht="170" customHeight="1">
      <x:c r="A49" s="32" t="str">
        <x:v>INDUSTRIAL WORKSHARE</x:v>
      </x:c>
      <x:c r="B49" s="32" t="str">
        <x:v>Adani Defence</x:v>
      </x:c>
      <x:c r="C49" s="32" t="str">
        <x:v>Small Arms</x:v>
      </x:c>
      <x:c r="D49" s="32" t="str">
        <x:v>UZI PRO SMG</x:v>
      </x:c>
      <x:c r="E49" s="32" t="str">
        <x:v>• Calibre: 9×19 mm
• Barrel options: 170 / 210 / 240 mm
• Rate: ~1,000–1,150 rpm</x:v>
      </x:c>
      <x:c r="F49" s="32" t="str">
        <x:v>• Compact blowback submachine gun</x:v>
      </x:c>
      <x:c r="G49" s="32" t="str">
        <x:v>https://www.adanienterprises.com/-/media/Project/Enterprises/Investors/Investor-Downloads/Annual-Report/AEL-FY25.pdf
https://www.adanienterprises.com/digital-reports/enterprises/2026/defence-and-aerospace.html</x:v>
      </x:c>
      <x:c r="H49" s="32" t="str">
        <x:v>Industrial workshare / licensed production / parent-company portfolio duplication.</x:v>
      </x:c>
      <x:c r="I49" s="32" t="str">
        <x:v>Primary OEM/product authority represented elsewhere in master.</x:v>
      </x:c>
    </x:row>
    <x:row r="50" ht="170" customHeight="1">
      <x:c r="A50" s="32" t="str">
        <x:v>INDUSTRIAL WORKSHARE</x:v>
      </x:c>
      <x:c r="B50" s="32" t="str">
        <x:v>Adani Defence</x:v>
      </x:c>
      <x:c r="C50" s="32" t="str">
        <x:v>Small Arms</x:v>
      </x:c>
      <x:c r="D50" s="32" t="str">
        <x:v>X95 Flattop 419</x:v>
      </x:c>
      <x:c r="E50" s="32" t="str">
        <x:v>• Calibres: 5.56×45 mm / .300 BLK family
• 419 mm barrel reference variant
• Bullpup architecture</x:v>
      </x:c>
      <x:c r="F50" s="32" t="str">
        <x:v>• Assault rifle / carbine; modular calibre family</x:v>
      </x:c>
      <x:c r="G50" s="32" t="str">
        <x:v>https://www.adanienterprises.com/-/media/Project/Enterprises/Investors/Investor-Downloads/Annual-Report/AEL-FY25.pdf
https://www.adanienterprises.com/digital-reports/enterprises/2026/defence-and-aerospace.html</x:v>
      </x:c>
      <x:c r="H50" s="32" t="str">
        <x:v>Industrial workshare / licensed production / parent-company portfolio duplication.</x:v>
      </x:c>
      <x:c r="I50" s="32" t="str">
        <x:v>Primary OEM/product authority represented elsewhere in master.</x:v>
      </x:c>
    </x:row>
    <x:row r="51" ht="170" customHeight="1">
      <x:c r="A51" s="32" t="str">
        <x:v>OUT-OF-SCOPE</x:v>
      </x:c>
      <x:c r="B51" s="32" t="str">
        <x:v>Hanwha (Aerospace/Group)</x:v>
      </x:c>
      <x:c r="C51" s="32" t="str">
        <x:v>UAVs/Drones</x:v>
      </x:c>
      <x:c r="D51" s="32" t="str">
        <x:v>ARION-SMET / ARION-L</x:v>
      </x:c>
      <x:c r="E51" s="32" t="str">
        <x:v>• Unmanned ground-vehicle family (not aerial UAV)
• Configuration: 6×6 fully electric UGV
• Vehicle weight: ~2,000 kg in 2026 procurement configuration
• Dimensions: approx. 3.0 m L × 1.7 m W × 1.7 m H with RCWS
• Payload: ~450–550 kg depending configuration
• Range: up to 100 km per charge
• Maximum paved-road speed: ~43 km/h
• Maximum unpaved speed: ~22 km/h
• Optional RCWS: 5.56 mm, extendable to 7.62 mm</x:v>
      </x:c>
      <x:c r="F51" s="32" t="str">
        <x:v>• Autonomous logistics / reconnaissance / combat-support ground platform
• Included here only under the broader unmanned-systems scope</x:v>
      </x:c>
      <x:c r="G51" s="32" t="str">
        <x:v>https://www.hanwhaaerospace.com/eng/whatwedo/product/land.do
https://www.armyrecognition.com/news/army-news/2026/hanwha-arion-smet-south-korea-army-ugv-contract
https://www.armyrecognition.com/archives/archives-land-defense/land-defense-2024/mspo-2024-hanwhas-arion-smet-6x6-ugv-steps-into-the-global-arena-following-us-defense-endorsement</x:v>
      </x:c>
      <x:c r="H51" s="32" t="str">
        <x:v>Unmanned ground vehicle, not an aerial UAV/Drone.</x:v>
      </x:c>
      <x:c r="I51" s="32" t="str">
        <x:v>Removed from strict master; retained in audit appendix.</x:v>
      </x:c>
    </x:row>
    <x:row r="52" ht="170" customHeight="1">
      <x:c r="A52" s="32" t="str">
        <x:v>OUT-OF-SCOPE</x:v>
      </x:c>
      <x:c r="B52" s="32" t="str">
        <x:v>Supacat</x:v>
      </x:c>
      <x:c r="C52" s="32" t="str">
        <x:v>UAVs/Drones</x:v>
      </x:c>
      <x:c r="D52" s="32" t="str">
        <x:v>ATMP / eATMP 6×6</x:v>
      </x:c>
      <x:c r="E52" s="32" t="str">
        <x:v>• Electric/hybrid ATMP derivative
• Individual batteries power each wheel
• Same basic chassis as ATMP
• Optionally manned/remote operation
• Designed for autonomous delivery of food, ammunition, fuel and supplies
• Configuration: 6×6
• Third-generation platform
• More than 200 ATMPs in service worldwide according to Supacat
• Air transportable within/below multiple air platforms
• Payload is substantial for vehicle size but exact current figure not published on current page
• GVW: 3,500 kg
• Kerb weight: ~1,900 kg
• Payload: 1,600 kg
• Length: 3,443 mm
• Width: 1,935 mm
• Height with ROPS: 2,152 mm
• Ground clearance: 226 mm
• Maximum speed: 60 km/h
• Fording: 600 mm
• Gradient: 45°
• Side slope: 40°
• Power: 58 kW
• Propulsion options: 1.9 L diesel; 1.5 L diesel-electric hybrid; fully electric axle motors</x:v>
      </x:c>
      <x:c r="F52" s="32" t="str">
        <x:v>• Silent watch
• Remote logistics
• Casualty-risk reduction
• Autonomous last-mile resupply
• Air-mobile logistics
• Ammunition/fuel/food transport
• Unmanned/optionally manned eATMP development path
• Extreme cross-country mobility
• Optional manning / remote operation
• Four-wheel steering plus skid-steer
• Can be upgraded to electric/hybrid
• Weapons, RWS, winch and autonomy options
• Air-mobile logistics platform</x:v>
      </x:c>
      <x:c r="G52" s="32" t="str">
        <x:v>https://supacat.com/products/atmp/
https://supacat.com/wp-content/uploads/2024/05/eATMP.pdf
https://supacat.com/projects/autonomous-vehicle/</x:v>
      </x:c>
      <x:c r="H52" s="32" t="str">
        <x:v>Ground mobility/UGV platform; outside the strict aerial UAV/Drone taxonomy.</x:v>
      </x:c>
      <x:c r="I52" s="32" t="str">
        <x:v>Removed from strict master; retained in audit appendix.</x:v>
      </x:c>
    </x:row>
    <x:row r="53" ht="170" customHeight="1">
      <x:c r="A53" s="32" t="str">
        <x:v>OUT-OF-SCOPE</x:v>
      </x:c>
      <x:c r="B53" s="32" t="str">
        <x:v>IDV (Iveco Defence)</x:v>
      </x:c>
      <x:c r="C53" s="32" t="str">
        <x:v>UAVs/Drones</x:v>
      </x:c>
      <x:c r="D53" s="32" t="str">
        <x:v>Viking UGV</x:v>
      </x:c>
      <x:c r="E53" s="32" t="str">
        <x:v>• 6x6 uncrewed ground vehicle; hybrid-electric powertrain; dedicated autonomous platform; exact mass, payload, speed and endurance are not consistently published in the current public technical material.
• Configuration: 6×6 plug-in series-hybrid UGV
• Power-to-weight: ~50 kW/t
• Electric-only range: up to ~30 km
• Maximum speed: ~45 km/h
• Payload: ~750 kg</x:v>
      </x:c>
      <x:c r="F53" s="32" t="str">
        <x:v>• MACE proprietary autonomy stack; autonomous navigation; mission payload integration; designed for complex terrain and higher payload-to-weight performance.
• Uncrewed ground vehicle — included under broader unmanned/drone portfolio
• Autonomous, tele-operated and remote-control modes
• GNSS-denied autonomy with MACE/ATLAS technologies
• Mission payload integration</x:v>
      </x:c>
      <x:c r="G53" s="32" t="str">
        <x:v>https://www.idvgroup.com/2025/09/09/idv-showcases-latest-innovations-in-land-vehicles-and-autonomous-systems-at-dsei-uk/
https://www.idvgroup.com/products/</x:v>
      </x:c>
      <x:c r="H53" s="32" t="str">
        <x:v>Unmanned ground vehicle, not an aerial UAV/Drone.</x:v>
      </x:c>
      <x:c r="I53" s="32" t="str">
        <x:v>Removed from strict master; retained in audit appendix.</x:v>
      </x:c>
    </x:row>
    <x:row r="54" ht="170" customHeight="1">
      <x:c r="A54" s="32" t="str">
        <x:v>DUPLICATE REMOVED</x:v>
      </x:c>
      <x:c r="B54" s="32" t="str">
        <x:v>Nexter (KNDS France)</x:v>
      </x:c>
      <x:c r="C54" s="32" t="str">
        <x:v>Marine/Naval</x:v>
      </x:c>
      <x:c r="D54" s="32" t="str">
        <x:v>100 mm Naval Ammunition</x:v>
      </x:c>
      <x:c r="E54" s="32" t="str">
        <x:v>• 100 mm naval ammunition family identified by KNDS Ammo France
• exact projectile variants and ballistic data vary.</x:v>
      </x:c>
      <x:c r="F54" s="32" t="str">
        <x:v>• Naval ammunition for medium/large-calibre naval guns.</x:v>
      </x:c>
      <x:c r="G54" s="32" t="str">
        <x:v>https://knds.com/en/subsidiaries/knds-ammo-france
https://knds.com/en/products/ammunition</x:v>
      </x:c>
      <x:c r="H54" s="32" t="str">
        <x:v>Duplicate of same-company ammunition row already present under Ammunition.</x:v>
      </x:c>
      <x:c r="I54" s="32" t="str">
        <x:v>Removed duplicate Marine/Naval row.</x:v>
      </x:c>
    </x:row>
    <x:row r="55" ht="170" customHeight="1">
      <x:c r="A55" s="32" t="str">
        <x:v>DUPLICATE REMOVED</x:v>
      </x:c>
      <x:c r="B55" s="32" t="str">
        <x:v>Nexter (KNDS France)</x:v>
      </x:c>
      <x:c r="C55" s="32" t="str">
        <x:v>Marine/Naval</x:v>
      </x:c>
      <x:c r="D55" s="32" t="str">
        <x:v>127 L54 Naval Ammunition</x:v>
      </x:c>
      <x:c r="E55" s="32" t="str">
        <x:v>• 127 mm L/54 naval ammunition family
• exact projectile variants and range depend on round/gun.</x:v>
      </x:c>
      <x:c r="F55" s="32" t="str">
        <x:v>• Naval ammunition for medium/large-calibre naval guns.</x:v>
      </x:c>
      <x:c r="G55" s="32" t="str">
        <x:v>https://knds.com/en/subsidiaries/knds-ammo-france
https://knds.com/en/products/ammunition</x:v>
      </x:c>
      <x:c r="H55" s="32" t="str">
        <x:v>Duplicate of same-company ammunition row already present under Ammunition.</x:v>
      </x:c>
      <x:c r="I55" s="32" t="str">
        <x:v>Removed duplicate Marine/Naval row.</x:v>
      </x:c>
    </x:row>
    <x:row r="56" ht="170" customHeight="1">
      <x:c r="A56" s="32" t="str">
        <x:v>DUPLICATE REMOVED</x:v>
      </x:c>
      <x:c r="B56" s="32" t="str">
        <x:v>Nexter (KNDS France)</x:v>
      </x:c>
      <x:c r="C56" s="32" t="str">
        <x:v>Marine/Naval</x:v>
      </x:c>
      <x:c r="D56" s="32" t="str">
        <x:v>76 L62 Naval Ammunition</x:v>
      </x:c>
      <x:c r="E56" s="32" t="str">
        <x:v>• 76 mm L/62 naval ammunition family
• exact projectile variants and range depend on round/gun.</x:v>
      </x:c>
      <x:c r="F56" s="32" t="str">
        <x:v>• Naval ammunition for medium/large-calibre naval guns.</x:v>
      </x:c>
      <x:c r="G56" s="32" t="str">
        <x:v>https://knds.com/en/subsidiaries/knds-ammo-france
https://knds.com/en/products/ammunition</x:v>
      </x:c>
      <x:c r="H56" s="32" t="str">
        <x:v>Duplicate of same-company ammunition row already present under Ammunition.</x:v>
      </x:c>
      <x:c r="I56" s="32" t="str">
        <x:v>Removed duplicate Marine/Naval row.</x:v>
      </x:c>
    </x:row>
  </x:sheetData>
  <x:pageMargins left="0.7" right="0.7" top="0.75" bottom="0.75" header="0.3" footer="0.3"/>
  <x:tableParts count="1">
    <x:tablePart xmlns:r="http://schemas.openxmlformats.org/officeDocument/2006/relationships" r:id="Ra03d79f332bf43da"/>
  </x:tableParts>
</x:worksheet>
</file>